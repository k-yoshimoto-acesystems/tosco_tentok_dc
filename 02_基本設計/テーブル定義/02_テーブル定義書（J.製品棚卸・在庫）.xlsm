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8.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7.xml" ContentType="application/vnd.openxmlformats-officedocument.drawing+xml"/>
  <Override PartName="/xl/worksheets/sheet1.xml" ContentType="application/vnd.openxmlformats-officedocument.spreadsheetml.worksheet+xml"/>
  <Override PartName="/xl/drawings/drawing6.xml" ContentType="application/vnd.openxmlformats-officedocument.drawing+xml"/>
  <Override PartName="/xl/drawings/drawing2.xml" ContentType="application/vnd.openxmlformats-officedocument.drawing+xml"/>
  <Override PartName="/xl/worksheets/sheet23.xml" ContentType="application/vnd.openxmlformats-officedocument.spreadsheetml.worksheet+xml"/>
  <Override PartName="/xl/worksheets/sheet22.xml" ContentType="application/vnd.openxmlformats-officedocument.spreadsheetml.worksheet+xml"/>
  <Override PartName="/xl/drawings/drawing4.xml" ContentType="application/vnd.openxmlformats-officedocument.drawing+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27.xml" ContentType="application/vnd.openxmlformats-officedocument.spreadsheetml.worksheet+xml"/>
  <Override PartName="/xl/drawings/drawing3.xml" ContentType="application/vnd.openxmlformats-officedocument.drawing+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5.xml" ContentType="application/vnd.openxmlformats-officedocument.spreadsheetml.worksheet+xml"/>
  <Override PartName="/xl/drawings/drawing1.xml" ContentType="application/vnd.openxmlformats-officedocument.drawing+xml"/>
  <Override PartName="/xl/worksheets/sheet14.xml" ContentType="application/vnd.openxmlformats-officedocument.spreadsheetml.worksheet+xml"/>
  <Override PartName="/xl/worksheets/sheet12.xml" ContentType="application/vnd.openxmlformats-officedocument.spreadsheetml.worksheet+xml"/>
  <Override PartName="/xl/worksheets/sheet11.xml" ContentType="application/vnd.openxmlformats-officedocument.spreadsheetml.worksheet+xml"/>
  <Override PartName="/xl/worksheets/sheet13.xml" ContentType="application/vnd.openxmlformats-officedocument.spreadsheetml.worksheet+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activeX/activeX1.xml" ContentType="application/vnd.ms-office.activeX+xml"/>
  <Override PartName="/xl/activeX/activeX1.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xml" ContentType="application/vnd.openxmlformats-officedocument.spreadsheetml.comments+xml"/>
  <Override PartName="/xl/comments6.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10.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4.xml" ContentType="application/vnd.openxmlformats-officedocument.spreadsheetml.comments+xml"/>
  <Override PartName="/xl/comments13.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4fsv13\JOB\2021\開発\天間\2100747_天間特殊製紙／新基幹システム_2基本設計以降\31_基本設計\04.テーブル設計\"/>
    </mc:Choice>
  </mc:AlternateContent>
  <bookViews>
    <workbookView xWindow="-120" yWindow="-120" windowWidth="29040" windowHeight="15840" tabRatio="776" firstSheet="1" activeTab="1"/>
  </bookViews>
  <sheets>
    <sheet name="マクロ" sheetId="57" state="hidden" r:id="rId1"/>
    <sheet name="実行シート" sheetId="126" r:id="rId2"/>
    <sheet name="テーブル一覧" sheetId="123" r:id="rId3"/>
    <sheet name="製品在庫データのイメージ" sheetId="108" r:id="rId4"/>
    <sheet name="資材在庫データのイメージ(原本)" sheetId="109" state="hidden" r:id="rId5"/>
    <sheet name="製品在庫データのイメージ_原本" sheetId="116" state="hidden" r:id="rId6"/>
    <sheet name="資材在庫データのイメージ" sheetId="111" r:id="rId7"/>
    <sheet name="棚卸情報" sheetId="107" r:id="rId8"/>
    <sheet name="棚卸中製品在庫情報" sheetId="112" r:id="rId9"/>
    <sheet name="棚卸実績情報" sheetId="113" r:id="rId10"/>
    <sheet name="製品在庫情報" sheetId="127" r:id="rId11"/>
    <sheet name="製品在庫予定情報" sheetId="103" r:id="rId12"/>
    <sheet name="製品在庫実績情報" sheetId="121" r:id="rId13"/>
    <sheet name="製品在庫月末情報" sheetId="125" r:id="rId14"/>
    <sheet name="パレット在庫情報" sheetId="124" r:id="rId15"/>
    <sheet name="ロットトレース情報" sheetId="98" r:id="rId16"/>
    <sheet name="資材在庫情報" sheetId="104" r:id="rId17"/>
    <sheet name="資材在庫月末情報" sheetId="115" r:id="rId18"/>
    <sheet name="資材在庫月別受払情報 " sheetId="120" r:id="rId19"/>
    <sheet name="資材在庫予定情報" sheetId="110" r:id="rId20"/>
    <sheet name="資材在庫実績情報" sheetId="119" r:id="rId21"/>
    <sheet name="資材在庫実績情報_一時退避" sheetId="122" r:id="rId22"/>
    <sheet name="資材在庫受払情報" sheetId="106" state="hidden" r:id="rId23"/>
    <sheet name="資材在庫受払伝票情報" sheetId="114" state="hidden" r:id="rId24"/>
    <sheet name="項目一覧" sheetId="60" r:id="rId25"/>
    <sheet name="項目一覧 (項目別)" sheetId="61" r:id="rId26"/>
    <sheet name="Sheet1" sheetId="117" r:id="rId27"/>
  </sheets>
  <functionGroups builtInGroupCount="18"/>
  <definedNames>
    <definedName name="_xlnm._FilterDatabase" localSheetId="26" hidden="1">Sheet1!$A$1:$B$250</definedName>
    <definedName name="_xlnm._FilterDatabase" localSheetId="2" hidden="1">テーブル一覧!#REF!</definedName>
    <definedName name="_xlnm._FilterDatabase" localSheetId="14" hidden="1">パレット在庫情報!$A$6:$BD$29</definedName>
    <definedName name="_xlnm._FilterDatabase" localSheetId="15" hidden="1">ロットトレース情報!$A$6:$BD$29</definedName>
    <definedName name="_xlnm._FilterDatabase" localSheetId="24" hidden="1">項目一覧!$A$3:$I$801</definedName>
    <definedName name="_xlnm._FilterDatabase" localSheetId="25" hidden="1">'項目一覧 (項目別)'!$A$3:$I$813</definedName>
    <definedName name="_xlnm._FilterDatabase" localSheetId="6" hidden="1">資材在庫データのイメージ!$B$3:$T$3</definedName>
    <definedName name="_xlnm._FilterDatabase" localSheetId="18" hidden="1">'資材在庫月別受払情報 '!$A$6:$BD$31</definedName>
    <definedName name="_xlnm._FilterDatabase" localSheetId="17" hidden="1">資材在庫月末情報!$A$6:$BD$26</definedName>
    <definedName name="_xlnm._FilterDatabase" localSheetId="20" hidden="1">資材在庫実績情報!$A$6:$BD$59</definedName>
    <definedName name="_xlnm._FilterDatabase" localSheetId="21" hidden="1">資材在庫実績情報_一時退避!$A$6:$BD$50</definedName>
    <definedName name="_xlnm._FilterDatabase" localSheetId="22" hidden="1">資材在庫受払情報!$A$6:$BD$22</definedName>
    <definedName name="_xlnm._FilterDatabase" localSheetId="23" hidden="1">資材在庫受払伝票情報!$A$6:$BD$49</definedName>
    <definedName name="_xlnm._FilterDatabase" localSheetId="16" hidden="1">資材在庫情報!$A$6:$BD$24</definedName>
    <definedName name="_xlnm._FilterDatabase" localSheetId="19" hidden="1">資材在庫予定情報!$A$6:$BD$33</definedName>
    <definedName name="_xlnm._FilterDatabase" localSheetId="13" hidden="1">製品在庫月末情報!$A$6:$BD$29</definedName>
    <definedName name="_xlnm._FilterDatabase" localSheetId="12" hidden="1">製品在庫実績情報!$A$6:$BD$53</definedName>
    <definedName name="_xlnm._FilterDatabase" localSheetId="10" hidden="1">製品在庫情報!$A$6:$BD$57</definedName>
    <definedName name="_xlnm._FilterDatabase" localSheetId="11" hidden="1">製品在庫予定情報!$A$6:$BD$53</definedName>
    <definedName name="_xlnm._FilterDatabase" localSheetId="9" hidden="1">棚卸実績情報!$A$6:$BD$44</definedName>
    <definedName name="_xlnm._FilterDatabase" localSheetId="7" hidden="1">棚卸情報!$A$6:$BD$19</definedName>
    <definedName name="_xlnm._FilterDatabase" localSheetId="8" hidden="1">棚卸中製品在庫情報!$A$6:$BD$38</definedName>
    <definedName name="_xlnm.Print_Titles" localSheetId="2">テーブル一覧!$1:$6</definedName>
    <definedName name="_xlnm.Print_Titles" localSheetId="14">パレット在庫情報!$1:$7</definedName>
    <definedName name="_xlnm.Print_Titles" localSheetId="20">資材在庫実績情報!$1:$7</definedName>
    <definedName name="_xlnm.Print_Titles" localSheetId="12">製品在庫実績情報!$1:$7</definedName>
    <definedName name="_xlnm.Print_Titles" localSheetId="10">製品在庫情報!$1:$7</definedName>
    <definedName name="_xlnm.Print_Titles" localSheetId="11">製品在庫予定情報!$1:$7</definedName>
    <definedName name="_xlnm.Print_Titles" localSheetId="7">棚卸情報!$1:$7</definedName>
    <definedName name="_xlnm.Print_Titles" localSheetId="8">棚卸中製品在庫情報!$1:$7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13" i="61" l="1"/>
  <c r="A812" i="61"/>
  <c r="A811" i="61"/>
  <c r="A810" i="61"/>
  <c r="A809" i="61"/>
  <c r="A808" i="61"/>
  <c r="A807" i="61"/>
  <c r="A806" i="61"/>
  <c r="A805" i="61"/>
  <c r="A804" i="61"/>
  <c r="A803" i="61"/>
  <c r="A802" i="61"/>
  <c r="A801" i="61"/>
  <c r="A800" i="61"/>
  <c r="A799" i="61"/>
  <c r="A798" i="61"/>
  <c r="A797" i="61"/>
  <c r="A796" i="61"/>
  <c r="A795" i="61"/>
  <c r="A794" i="61"/>
  <c r="A793" i="61"/>
  <c r="A792" i="61"/>
  <c r="A791" i="61"/>
  <c r="A790" i="61"/>
  <c r="A789" i="61"/>
  <c r="A788" i="61"/>
  <c r="A787" i="61"/>
  <c r="A786" i="61"/>
  <c r="A785" i="61"/>
  <c r="A784" i="61"/>
  <c r="A783" i="61"/>
  <c r="A782" i="61"/>
  <c r="A781" i="61"/>
  <c r="A780" i="61"/>
  <c r="A779" i="61"/>
  <c r="A778" i="61"/>
  <c r="A777" i="61"/>
  <c r="A776" i="61"/>
  <c r="A775" i="61"/>
  <c r="A774" i="61"/>
  <c r="A773" i="61"/>
  <c r="A772" i="61"/>
  <c r="A771" i="61"/>
  <c r="A770" i="61"/>
  <c r="A769" i="61"/>
  <c r="A768" i="61"/>
  <c r="A767" i="61"/>
  <c r="A766" i="61"/>
  <c r="A765" i="61"/>
  <c r="A764" i="61"/>
  <c r="A763" i="61"/>
  <c r="A762" i="61"/>
  <c r="A761" i="61"/>
  <c r="A760" i="61"/>
  <c r="A759" i="61"/>
  <c r="A758" i="61"/>
  <c r="A757" i="61"/>
  <c r="A756" i="61"/>
  <c r="A755" i="61"/>
  <c r="A754" i="61"/>
  <c r="A753" i="61"/>
  <c r="A752" i="61"/>
  <c r="A751" i="61"/>
  <c r="A750" i="61"/>
  <c r="A749" i="61"/>
  <c r="A748" i="61"/>
  <c r="A747" i="61"/>
  <c r="A746" i="61"/>
  <c r="A745" i="61"/>
  <c r="A744" i="61"/>
  <c r="A743" i="61"/>
  <c r="A742" i="61"/>
  <c r="A741" i="61"/>
  <c r="A740" i="61"/>
  <c r="A739" i="61"/>
  <c r="A738" i="61"/>
  <c r="A737" i="61"/>
  <c r="A736" i="61"/>
  <c r="A735" i="61"/>
  <c r="A734" i="61"/>
  <c r="A733" i="61"/>
  <c r="A732" i="61"/>
  <c r="A731" i="61"/>
  <c r="A730" i="61"/>
  <c r="A729" i="61"/>
  <c r="A728" i="61"/>
  <c r="A727" i="61"/>
  <c r="A726" i="61"/>
  <c r="A725" i="61"/>
  <c r="A724" i="61"/>
  <c r="A723" i="61"/>
  <c r="A722" i="61"/>
  <c r="A721" i="61"/>
  <c r="A720" i="61"/>
  <c r="A719" i="61"/>
  <c r="A718" i="61"/>
  <c r="A717" i="61"/>
  <c r="A716" i="61"/>
  <c r="A715" i="61"/>
  <c r="A714" i="61"/>
  <c r="A713" i="61"/>
  <c r="A712" i="61"/>
  <c r="A711" i="61"/>
  <c r="A710" i="61"/>
  <c r="A709" i="61"/>
  <c r="A708" i="61"/>
  <c r="A707" i="61"/>
  <c r="A706" i="61"/>
  <c r="A705" i="61"/>
  <c r="A704" i="61"/>
  <c r="A703" i="61"/>
  <c r="A702" i="61"/>
  <c r="A701" i="61"/>
  <c r="A700" i="61"/>
  <c r="A699" i="61"/>
  <c r="A698" i="61"/>
  <c r="A697" i="61"/>
  <c r="A696" i="61"/>
  <c r="A695" i="61"/>
  <c r="A694" i="61"/>
  <c r="A693" i="61"/>
  <c r="A692" i="61"/>
  <c r="A691" i="61"/>
  <c r="A690" i="61"/>
  <c r="A689" i="61"/>
  <c r="A688" i="61"/>
  <c r="A687" i="61"/>
  <c r="A686" i="61"/>
  <c r="A685" i="61"/>
  <c r="A684" i="61"/>
  <c r="A683" i="61"/>
  <c r="A682" i="61"/>
  <c r="A681" i="61"/>
  <c r="A680" i="61"/>
  <c r="A679" i="61"/>
  <c r="A678" i="61"/>
  <c r="A677" i="61"/>
  <c r="A676" i="61"/>
  <c r="A675" i="61"/>
  <c r="A674" i="61"/>
  <c r="A673" i="61"/>
  <c r="A672" i="61"/>
  <c r="A671" i="61"/>
  <c r="A670" i="61"/>
  <c r="A669" i="61"/>
  <c r="A668" i="61"/>
  <c r="A667" i="61"/>
  <c r="A666" i="61"/>
  <c r="A665" i="61"/>
  <c r="A664" i="61"/>
  <c r="A663" i="61"/>
  <c r="A662" i="61"/>
  <c r="A661" i="61"/>
  <c r="A660" i="61"/>
  <c r="A659" i="61"/>
  <c r="A658" i="61"/>
  <c r="A657" i="61"/>
  <c r="A656" i="61"/>
  <c r="A655" i="61"/>
  <c r="A654" i="61"/>
  <c r="A653" i="61"/>
  <c r="A652" i="61"/>
  <c r="A651" i="61"/>
  <c r="A650" i="61"/>
  <c r="A649" i="61"/>
  <c r="A648" i="61"/>
  <c r="A647" i="61"/>
  <c r="A646" i="61"/>
  <c r="A645" i="61"/>
  <c r="A644" i="61"/>
  <c r="A643" i="61"/>
  <c r="A642" i="61"/>
  <c r="A641" i="61"/>
  <c r="A640" i="61"/>
  <c r="A639" i="61"/>
  <c r="A638" i="61"/>
  <c r="A637" i="61"/>
  <c r="A636" i="61"/>
  <c r="A635" i="61"/>
  <c r="A634" i="61"/>
  <c r="A633" i="61"/>
  <c r="A632" i="61"/>
  <c r="A631" i="61"/>
  <c r="A630" i="61"/>
  <c r="A629" i="61"/>
  <c r="A628" i="61"/>
  <c r="A627" i="61"/>
  <c r="A626" i="61"/>
  <c r="A625" i="61"/>
  <c r="A624" i="61"/>
  <c r="A623" i="61"/>
  <c r="A622" i="61"/>
  <c r="A621" i="61"/>
  <c r="A620" i="61"/>
  <c r="A619" i="61"/>
  <c r="A618" i="61"/>
  <c r="A617" i="61"/>
  <c r="A616" i="61"/>
  <c r="A615" i="61"/>
  <c r="A614" i="61"/>
  <c r="A613" i="61"/>
  <c r="A612" i="61"/>
  <c r="A611" i="61"/>
  <c r="A610" i="61"/>
  <c r="A609" i="61"/>
  <c r="A608" i="61"/>
  <c r="A607" i="61"/>
  <c r="A606" i="61"/>
  <c r="A605" i="61"/>
  <c r="A604" i="61"/>
  <c r="A603" i="61"/>
  <c r="A602" i="61"/>
  <c r="A601" i="61"/>
  <c r="A600" i="61"/>
  <c r="A599" i="61"/>
  <c r="A598" i="61"/>
  <c r="A597" i="61"/>
  <c r="A596" i="61"/>
  <c r="A595" i="61"/>
  <c r="A594" i="61"/>
  <c r="A593" i="61"/>
  <c r="A592" i="61"/>
  <c r="A591" i="61"/>
  <c r="A590" i="61"/>
  <c r="A589" i="61"/>
  <c r="A588" i="61"/>
  <c r="A587" i="61"/>
  <c r="A586" i="61"/>
  <c r="A585" i="61"/>
  <c r="A584" i="61"/>
  <c r="A583" i="61"/>
  <c r="A582" i="61"/>
  <c r="A581" i="61"/>
  <c r="A580" i="61"/>
  <c r="A579" i="61"/>
  <c r="A578" i="61"/>
  <c r="A577" i="61"/>
  <c r="A576" i="61"/>
  <c r="A575" i="61"/>
  <c r="A574" i="61"/>
  <c r="A573" i="61"/>
  <c r="A572" i="61"/>
  <c r="A571" i="61"/>
  <c r="A570" i="61"/>
  <c r="A569" i="61"/>
  <c r="A568" i="61"/>
  <c r="A567" i="61"/>
  <c r="A566" i="61"/>
  <c r="A565" i="61"/>
  <c r="A564" i="61"/>
  <c r="A563" i="61"/>
  <c r="A562" i="61"/>
  <c r="A561" i="61"/>
  <c r="A560" i="61"/>
  <c r="A559" i="61"/>
  <c r="A558" i="61"/>
  <c r="A557" i="61"/>
  <c r="A556" i="61"/>
  <c r="A555" i="61"/>
  <c r="A554" i="61"/>
  <c r="A553" i="61"/>
  <c r="A552" i="61"/>
  <c r="A551" i="61"/>
  <c r="A550" i="61"/>
  <c r="A549" i="61"/>
  <c r="A548" i="61"/>
  <c r="A547" i="61"/>
  <c r="A546" i="61"/>
  <c r="A545" i="61"/>
  <c r="A544" i="61"/>
  <c r="A543" i="61"/>
  <c r="A542" i="61"/>
  <c r="A541" i="61"/>
  <c r="A540" i="61"/>
  <c r="A539" i="61"/>
  <c r="A538" i="61"/>
  <c r="A537" i="61"/>
  <c r="A536" i="61"/>
  <c r="A157" i="61"/>
  <c r="A141" i="61"/>
  <c r="A125" i="61"/>
  <c r="A410" i="61"/>
  <c r="A394" i="61"/>
  <c r="A378" i="61"/>
  <c r="A223" i="61"/>
  <c r="A225" i="61"/>
  <c r="A224" i="61"/>
  <c r="A186" i="61"/>
  <c r="A188" i="61"/>
  <c r="A187" i="61"/>
  <c r="A195" i="61"/>
  <c r="A197" i="61"/>
  <c r="A196" i="61"/>
  <c r="A265" i="61"/>
  <c r="A267" i="61"/>
  <c r="A266" i="61"/>
  <c r="A504" i="61"/>
  <c r="A518" i="61"/>
  <c r="A220" i="61"/>
  <c r="A243" i="61"/>
  <c r="A337" i="61"/>
  <c r="A340" i="61"/>
  <c r="A247" i="61"/>
  <c r="A249" i="61"/>
  <c r="A307" i="61"/>
  <c r="A303" i="61"/>
  <c r="A483" i="61"/>
  <c r="A479" i="61"/>
  <c r="A471" i="61"/>
  <c r="A467" i="61"/>
  <c r="A495" i="61"/>
  <c r="A459" i="61"/>
  <c r="A297" i="61"/>
  <c r="A419" i="61"/>
  <c r="A418" i="61"/>
  <c r="A269" i="61"/>
  <c r="A268" i="61"/>
  <c r="A310" i="61"/>
  <c r="A210" i="61"/>
  <c r="A65" i="61"/>
  <c r="A156" i="61"/>
  <c r="A140" i="61"/>
  <c r="A124" i="61"/>
  <c r="A409" i="61"/>
  <c r="A393" i="61"/>
  <c r="A377" i="61"/>
  <c r="A108" i="61"/>
  <c r="A342" i="61"/>
  <c r="A242" i="61"/>
  <c r="A306" i="61"/>
  <c r="A302" i="61"/>
  <c r="A494" i="61"/>
  <c r="A296" i="61"/>
  <c r="A458" i="61"/>
  <c r="A211" i="61"/>
  <c r="A155" i="61"/>
  <c r="A139" i="61"/>
  <c r="A123" i="61"/>
  <c r="A408" i="61"/>
  <c r="A392" i="61"/>
  <c r="A376" i="61"/>
  <c r="A185" i="61"/>
  <c r="A107" i="61"/>
  <c r="A219" i="61"/>
  <c r="A339" i="61"/>
  <c r="A241" i="61"/>
  <c r="A246" i="61"/>
  <c r="A248" i="61"/>
  <c r="A305" i="61"/>
  <c r="A301" i="61"/>
  <c r="A482" i="61"/>
  <c r="A478" i="61"/>
  <c r="A470" i="61"/>
  <c r="A466" i="61"/>
  <c r="A503" i="61"/>
  <c r="A517" i="61"/>
  <c r="A493" i="61"/>
  <c r="A457" i="61"/>
  <c r="A295" i="61"/>
  <c r="A444" i="61"/>
  <c r="A441" i="61"/>
  <c r="A202" i="61"/>
  <c r="A200" i="61"/>
  <c r="A205" i="61"/>
  <c r="A35" i="61"/>
  <c r="A16" i="61"/>
  <c r="A33" i="61"/>
  <c r="A24" i="61"/>
  <c r="A18" i="61"/>
  <c r="A31" i="61"/>
  <c r="A20" i="61"/>
  <c r="A22" i="61"/>
  <c r="A27" i="61"/>
  <c r="A29" i="61"/>
  <c r="A59" i="61"/>
  <c r="A60" i="61"/>
  <c r="A57" i="61"/>
  <c r="A193" i="61"/>
  <c r="A154" i="61"/>
  <c r="A138" i="61"/>
  <c r="A122" i="61"/>
  <c r="A407" i="61"/>
  <c r="A391" i="61"/>
  <c r="A375" i="61"/>
  <c r="A212" i="61"/>
  <c r="A158" i="61"/>
  <c r="A311" i="61"/>
  <c r="A106" i="61"/>
  <c r="A341" i="61"/>
  <c r="A218" i="61"/>
  <c r="A338" i="61"/>
  <c r="A240" i="61"/>
  <c r="A245" i="61"/>
  <c r="A336" i="61"/>
  <c r="A304" i="61"/>
  <c r="A300" i="61"/>
  <c r="A481" i="61"/>
  <c r="A477" i="61"/>
  <c r="A469" i="61"/>
  <c r="A465" i="61"/>
  <c r="A502" i="61"/>
  <c r="A516" i="61"/>
  <c r="A492" i="61"/>
  <c r="A456" i="61"/>
  <c r="A294" i="61"/>
  <c r="A443" i="61"/>
  <c r="A440" i="61"/>
  <c r="A78" i="61"/>
  <c r="A199" i="61"/>
  <c r="A204" i="61"/>
  <c r="A346" i="61"/>
  <c r="A345" i="61"/>
  <c r="A344" i="61"/>
  <c r="A362" i="61"/>
  <c r="A34" i="61"/>
  <c r="A15" i="61"/>
  <c r="A32" i="61"/>
  <c r="A17" i="61"/>
  <c r="A23" i="61"/>
  <c r="A30" i="61"/>
  <c r="A19" i="61"/>
  <c r="A21" i="61"/>
  <c r="A26" i="61"/>
  <c r="A28" i="61"/>
  <c r="A25" i="61"/>
  <c r="A14" i="61"/>
  <c r="A13" i="61"/>
  <c r="A12" i="61"/>
  <c r="A192" i="61"/>
  <c r="A153" i="61"/>
  <c r="A137" i="61"/>
  <c r="A121" i="61"/>
  <c r="A406" i="61"/>
  <c r="A390" i="61"/>
  <c r="A374" i="61"/>
  <c r="A105" i="61"/>
  <c r="A217" i="61"/>
  <c r="A239" i="61"/>
  <c r="A335" i="61"/>
  <c r="A476" i="61"/>
  <c r="A464" i="61"/>
  <c r="A515" i="61"/>
  <c r="A455" i="61"/>
  <c r="A293" i="61"/>
  <c r="A439" i="61"/>
  <c r="A77" i="61"/>
  <c r="A525" i="61"/>
  <c r="A528" i="61"/>
  <c r="A55" i="61"/>
  <c r="A52" i="61"/>
  <c r="A53" i="61"/>
  <c r="A58" i="61"/>
  <c r="A61" i="61"/>
  <c r="A56" i="61"/>
  <c r="A194" i="61"/>
  <c r="A152" i="61"/>
  <c r="A136" i="61"/>
  <c r="A120" i="61"/>
  <c r="A405" i="61"/>
  <c r="A389" i="61"/>
  <c r="A373" i="61"/>
  <c r="A98" i="61"/>
  <c r="A416" i="61"/>
  <c r="A417" i="61"/>
  <c r="A412" i="61"/>
  <c r="A413" i="61"/>
  <c r="A414" i="61"/>
  <c r="A415" i="61"/>
  <c r="A316" i="61"/>
  <c r="A317" i="61"/>
  <c r="A480" i="61"/>
  <c r="A475" i="61"/>
  <c r="A468" i="61"/>
  <c r="A463" i="61"/>
  <c r="A491" i="61"/>
  <c r="A292" i="61"/>
  <c r="A361" i="61"/>
  <c r="A454" i="61"/>
  <c r="A322" i="61"/>
  <c r="A151" i="61"/>
  <c r="A135" i="61"/>
  <c r="A119" i="61"/>
  <c r="A404" i="61"/>
  <c r="A388" i="61"/>
  <c r="A372" i="61"/>
  <c r="A104" i="61"/>
  <c r="A216" i="61"/>
  <c r="A299" i="61"/>
  <c r="A474" i="61"/>
  <c r="A462" i="61"/>
  <c r="A442" i="61"/>
  <c r="A438" i="61"/>
  <c r="A520" i="61"/>
  <c r="A490" i="61"/>
  <c r="A291" i="61"/>
  <c r="A514" i="61"/>
  <c r="A453" i="61"/>
  <c r="A360" i="61"/>
  <c r="A150" i="61"/>
  <c r="A134" i="61"/>
  <c r="A118" i="61"/>
  <c r="A403" i="61"/>
  <c r="A387" i="61"/>
  <c r="A371" i="61"/>
  <c r="A167" i="61"/>
  <c r="A215" i="61"/>
  <c r="A473" i="61"/>
  <c r="A461" i="61"/>
  <c r="A437" i="61"/>
  <c r="A290" i="61"/>
  <c r="A513" i="61"/>
  <c r="A452" i="61"/>
  <c r="A79" i="61"/>
  <c r="A256" i="61"/>
  <c r="A522" i="61"/>
  <c r="A250" i="61"/>
  <c r="A255" i="61"/>
  <c r="A222" i="61"/>
  <c r="A221" i="61"/>
  <c r="A177" i="61"/>
  <c r="A184" i="61"/>
  <c r="A99" i="61"/>
  <c r="A259" i="61"/>
  <c r="A174" i="61"/>
  <c r="A183" i="61"/>
  <c r="A254" i="61"/>
  <c r="A176" i="61"/>
  <c r="A101" i="61"/>
  <c r="A258" i="61"/>
  <c r="A175" i="61"/>
  <c r="A100" i="61"/>
  <c r="A257" i="61"/>
  <c r="A179" i="61"/>
  <c r="A102" i="61"/>
  <c r="A261" i="61"/>
  <c r="A178" i="61"/>
  <c r="A260" i="61"/>
  <c r="A264" i="61"/>
  <c r="A263" i="61"/>
  <c r="A97" i="61"/>
  <c r="A96" i="61"/>
  <c r="A162" i="61"/>
  <c r="A161" i="61"/>
  <c r="A208" i="61"/>
  <c r="A181" i="61"/>
  <c r="A429" i="61"/>
  <c r="A318" i="61"/>
  <c r="A535" i="61"/>
  <c r="A276" i="61"/>
  <c r="A281" i="61"/>
  <c r="A190" i="61"/>
  <c r="A191" i="61"/>
  <c r="A229" i="61"/>
  <c r="A230" i="61"/>
  <c r="A76" i="61"/>
  <c r="A430" i="61"/>
  <c r="A149" i="61"/>
  <c r="A133" i="61"/>
  <c r="A117" i="61"/>
  <c r="A402" i="61"/>
  <c r="A386" i="61"/>
  <c r="A370" i="61"/>
  <c r="A206" i="61"/>
  <c r="A207" i="61"/>
  <c r="A512" i="61"/>
  <c r="A182" i="61"/>
  <c r="A253" i="61"/>
  <c r="A422" i="61"/>
  <c r="A232" i="61"/>
  <c r="A489" i="61"/>
  <c r="A451" i="61"/>
  <c r="A289" i="61"/>
  <c r="A103" i="61"/>
  <c r="A88" i="61"/>
  <c r="A148" i="61"/>
  <c r="A132" i="61"/>
  <c r="A116" i="61"/>
  <c r="A401" i="61"/>
  <c r="A385" i="61"/>
  <c r="A369" i="61"/>
  <c r="A315" i="61"/>
  <c r="A511" i="61"/>
  <c r="A87" i="61"/>
  <c r="A81" i="61"/>
  <c r="A94" i="61"/>
  <c r="A238" i="61"/>
  <c r="A334" i="61"/>
  <c r="A172" i="61"/>
  <c r="A534" i="61"/>
  <c r="A352" i="61"/>
  <c r="A501" i="61"/>
  <c r="A358" i="61"/>
  <c r="A488" i="61"/>
  <c r="A450" i="61"/>
  <c r="A436" i="61"/>
  <c r="A428" i="61"/>
  <c r="A280" i="61"/>
  <c r="A275" i="61"/>
  <c r="A359" i="61"/>
  <c r="A147" i="61"/>
  <c r="A131" i="61"/>
  <c r="A115" i="61"/>
  <c r="A400" i="61"/>
  <c r="A384" i="61"/>
  <c r="A368" i="61"/>
  <c r="A90" i="61"/>
  <c r="A86" i="61"/>
  <c r="A510" i="61"/>
  <c r="A95" i="61"/>
  <c r="A214" i="61"/>
  <c r="A237" i="61"/>
  <c r="A244" i="61"/>
  <c r="A333" i="61"/>
  <c r="A533" i="61"/>
  <c r="A351" i="61"/>
  <c r="A500" i="61"/>
  <c r="A357" i="61"/>
  <c r="A487" i="61"/>
  <c r="A449" i="61"/>
  <c r="A288" i="61"/>
  <c r="A435" i="61"/>
  <c r="A75" i="61"/>
  <c r="A201" i="61"/>
  <c r="A198" i="61"/>
  <c r="A203" i="61"/>
  <c r="A274" i="61"/>
  <c r="A279" i="61"/>
  <c r="A273" i="61"/>
  <c r="A427" i="61"/>
  <c r="A165" i="61"/>
  <c r="A11" i="61"/>
  <c r="A9" i="61"/>
  <c r="A39" i="61"/>
  <c r="A41" i="61"/>
  <c r="A43" i="61"/>
  <c r="A47" i="61"/>
  <c r="A45" i="61"/>
  <c r="A7" i="61"/>
  <c r="A5" i="61"/>
  <c r="A51" i="61"/>
  <c r="A49" i="61"/>
  <c r="A37" i="61"/>
  <c r="A283" i="61"/>
  <c r="A146" i="61"/>
  <c r="A130" i="61"/>
  <c r="A114" i="61"/>
  <c r="A399" i="61"/>
  <c r="A383" i="61"/>
  <c r="A367" i="61"/>
  <c r="A89" i="61"/>
  <c r="A424" i="61"/>
  <c r="A85" i="61"/>
  <c r="A509" i="61"/>
  <c r="A332" i="61"/>
  <c r="A236" i="61"/>
  <c r="A523" i="61"/>
  <c r="A532" i="61"/>
  <c r="A350" i="61"/>
  <c r="A499" i="61"/>
  <c r="A356" i="61"/>
  <c r="A448" i="61"/>
  <c r="A287" i="61"/>
  <c r="A434" i="61"/>
  <c r="A228" i="61"/>
  <c r="A74" i="61"/>
  <c r="A526" i="61"/>
  <c r="A524" i="61"/>
  <c r="A527" i="61"/>
  <c r="A278" i="61"/>
  <c r="A272" i="61"/>
  <c r="A426" i="61"/>
  <c r="A164" i="61"/>
  <c r="A54" i="61"/>
  <c r="A10" i="61"/>
  <c r="A8" i="61"/>
  <c r="A38" i="61"/>
  <c r="A40" i="61"/>
  <c r="A42" i="61"/>
  <c r="A46" i="61"/>
  <c r="A44" i="61"/>
  <c r="A6" i="61"/>
  <c r="A4" i="61"/>
  <c r="A50" i="61"/>
  <c r="A48" i="61"/>
  <c r="A36" i="61"/>
  <c r="A284" i="61"/>
  <c r="A145" i="61"/>
  <c r="A129" i="61"/>
  <c r="A113" i="61"/>
  <c r="A398" i="61"/>
  <c r="A382" i="61"/>
  <c r="A366" i="61"/>
  <c r="A314" i="61"/>
  <c r="A508" i="61"/>
  <c r="A227" i="61"/>
  <c r="A70" i="61"/>
  <c r="A189" i="61"/>
  <c r="A226" i="61"/>
  <c r="A69" i="61"/>
  <c r="A251" i="61"/>
  <c r="A252" i="61"/>
  <c r="A209" i="61"/>
  <c r="A91" i="61"/>
  <c r="A84" i="61"/>
  <c r="A262" i="61"/>
  <c r="A343" i="61"/>
  <c r="A68" i="61"/>
  <c r="A67" i="61"/>
  <c r="A62" i="61"/>
  <c r="A173" i="61"/>
  <c r="A64" i="61"/>
  <c r="A231" i="61"/>
  <c r="A308" i="61"/>
  <c r="A235" i="61"/>
  <c r="A331" i="61"/>
  <c r="A171" i="61"/>
  <c r="A531" i="61"/>
  <c r="A349" i="61"/>
  <c r="A498" i="61"/>
  <c r="A355" i="61"/>
  <c r="A486" i="61"/>
  <c r="A447" i="61"/>
  <c r="A286" i="61"/>
  <c r="A433" i="61"/>
  <c r="A180" i="61"/>
  <c r="A282" i="61"/>
  <c r="A309" i="61"/>
  <c r="A109" i="61"/>
  <c r="A423" i="61"/>
  <c r="A163" i="61"/>
  <c r="A63" i="61"/>
  <c r="A425" i="61"/>
  <c r="A521" i="61"/>
  <c r="A277" i="61"/>
  <c r="A144" i="61"/>
  <c r="A128" i="61"/>
  <c r="A112" i="61"/>
  <c r="A397" i="61"/>
  <c r="A381" i="61"/>
  <c r="A365" i="61"/>
  <c r="A168" i="61"/>
  <c r="A420" i="61"/>
  <c r="A160" i="61"/>
  <c r="A73" i="61"/>
  <c r="A325" i="61"/>
  <c r="A421" i="61"/>
  <c r="A411" i="61"/>
  <c r="A519" i="61"/>
  <c r="A328" i="61"/>
  <c r="A166" i="61"/>
  <c r="A313" i="61"/>
  <c r="A507" i="61"/>
  <c r="A83" i="61"/>
  <c r="A80" i="61"/>
  <c r="A93" i="61"/>
  <c r="A234" i="61"/>
  <c r="A330" i="61"/>
  <c r="A170" i="61"/>
  <c r="A530" i="61"/>
  <c r="A348" i="61"/>
  <c r="A497" i="61"/>
  <c r="A354" i="61"/>
  <c r="A298" i="61"/>
  <c r="A472" i="61"/>
  <c r="A460" i="61"/>
  <c r="A485" i="61"/>
  <c r="A446" i="61"/>
  <c r="A285" i="61"/>
  <c r="A432" i="61"/>
  <c r="A271" i="61"/>
  <c r="A321" i="61"/>
  <c r="A143" i="61"/>
  <c r="A127" i="61"/>
  <c r="A111" i="61"/>
  <c r="A396" i="61"/>
  <c r="A380" i="61"/>
  <c r="A364" i="61"/>
  <c r="A159" i="61"/>
  <c r="A72" i="61"/>
  <c r="A324" i="61"/>
  <c r="A312" i="61"/>
  <c r="A506" i="61"/>
  <c r="A82" i="61"/>
  <c r="A92" i="61"/>
  <c r="A213" i="61"/>
  <c r="A233" i="61"/>
  <c r="A329" i="61"/>
  <c r="A169" i="61"/>
  <c r="A529" i="61"/>
  <c r="A347" i="61"/>
  <c r="A496" i="61"/>
  <c r="A353" i="61"/>
  <c r="A66" i="61"/>
  <c r="A484" i="61"/>
  <c r="A445" i="61"/>
  <c r="A431" i="61"/>
  <c r="A270" i="61"/>
  <c r="A320" i="61"/>
  <c r="A142" i="61"/>
  <c r="A126" i="61"/>
  <c r="A110" i="61"/>
  <c r="A395" i="61"/>
  <c r="A379" i="61"/>
  <c r="A363" i="61"/>
  <c r="A326" i="61"/>
  <c r="A71" i="61"/>
  <c r="A327" i="61"/>
  <c r="A323" i="61"/>
  <c r="A505" i="61"/>
  <c r="A319" i="61"/>
  <c r="A85" i="119"/>
  <c r="A84" i="119"/>
  <c r="A83" i="119"/>
  <c r="A82" i="119"/>
  <c r="A81" i="119"/>
  <c r="A80" i="119"/>
  <c r="A79" i="119"/>
  <c r="A78" i="119"/>
  <c r="A77" i="119"/>
  <c r="A76" i="119"/>
  <c r="A75" i="119"/>
  <c r="A74" i="119"/>
  <c r="A73" i="119"/>
  <c r="A72" i="119"/>
  <c r="A71" i="119"/>
  <c r="A70" i="119"/>
  <c r="A69" i="119"/>
  <c r="A68" i="119"/>
  <c r="A46" i="110"/>
  <c r="A45" i="110"/>
  <c r="A44" i="110"/>
  <c r="A43" i="110"/>
  <c r="A42" i="110"/>
  <c r="A46" i="120"/>
  <c r="A45" i="120"/>
  <c r="A44" i="120"/>
  <c r="A43" i="120"/>
  <c r="A42" i="120"/>
  <c r="A41" i="120"/>
  <c r="A40" i="120"/>
  <c r="A39" i="120"/>
  <c r="A38" i="120"/>
  <c r="A37" i="120"/>
  <c r="A36" i="120"/>
  <c r="A35" i="120"/>
  <c r="A34" i="120"/>
  <c r="A33" i="120"/>
  <c r="A32" i="120"/>
  <c r="A31" i="120"/>
  <c r="A30" i="120"/>
  <c r="A29" i="120"/>
  <c r="A28" i="120"/>
  <c r="A27" i="120"/>
  <c r="A26" i="120"/>
  <c r="A25" i="120"/>
  <c r="A24" i="120"/>
  <c r="A23" i="120"/>
  <c r="A22" i="120"/>
  <c r="A21" i="120"/>
  <c r="A20" i="120"/>
  <c r="A19" i="120"/>
  <c r="A18" i="120"/>
  <c r="A17" i="120"/>
  <c r="A16" i="120"/>
  <c r="A15" i="120"/>
  <c r="A14" i="120"/>
  <c r="A13" i="120"/>
  <c r="A12" i="120"/>
  <c r="A11" i="120"/>
  <c r="A10" i="120"/>
  <c r="A9" i="120"/>
  <c r="A8" i="120"/>
  <c r="A46" i="115"/>
  <c r="A45" i="115"/>
  <c r="A44" i="115"/>
  <c r="A43" i="115"/>
  <c r="A42" i="115"/>
  <c r="A41" i="115"/>
  <c r="A40" i="115"/>
  <c r="A39" i="115"/>
  <c r="A46" i="104"/>
  <c r="A45" i="104"/>
  <c r="A44" i="104"/>
  <c r="A43" i="104"/>
  <c r="A42" i="104"/>
  <c r="A41" i="104"/>
  <c r="A40" i="104"/>
  <c r="A39" i="104"/>
  <c r="A38" i="104"/>
  <c r="A37" i="104"/>
  <c r="A85" i="98"/>
  <c r="A84" i="98"/>
  <c r="A83" i="98"/>
  <c r="A82" i="98"/>
  <c r="A81" i="98"/>
  <c r="A80" i="98"/>
  <c r="A79" i="98"/>
  <c r="A78" i="98"/>
  <c r="A77" i="98"/>
  <c r="A46" i="125"/>
  <c r="A45" i="125"/>
  <c r="A44" i="125"/>
  <c r="A43" i="125"/>
  <c r="A42" i="125"/>
  <c r="A23" i="123"/>
  <c r="A19" i="123"/>
  <c r="A13" i="123"/>
  <c r="A34" i="127"/>
  <c r="A36" i="127"/>
  <c r="A41" i="103" l="1"/>
  <c r="A35" i="127"/>
  <c r="A33" i="127"/>
  <c r="A10" i="125" l="1"/>
  <c r="A85" i="121"/>
  <c r="A84" i="121"/>
  <c r="A83" i="121"/>
  <c r="A82" i="121"/>
  <c r="A81" i="121"/>
  <c r="A80" i="121"/>
  <c r="A79" i="121"/>
  <c r="A78" i="121"/>
  <c r="A77" i="121"/>
  <c r="A76" i="121"/>
  <c r="A75" i="121"/>
  <c r="A74" i="121"/>
  <c r="A73" i="121"/>
  <c r="A72" i="121"/>
  <c r="A71" i="121"/>
  <c r="A70" i="121"/>
  <c r="A69" i="121"/>
  <c r="A68" i="121"/>
  <c r="A67" i="121"/>
  <c r="A66" i="121"/>
  <c r="A65" i="121"/>
  <c r="A64" i="121"/>
  <c r="A63" i="121"/>
  <c r="A21" i="121"/>
  <c r="A85" i="103"/>
  <c r="A84" i="103"/>
  <c r="A83" i="103"/>
  <c r="A82" i="103"/>
  <c r="A81" i="103"/>
  <c r="A80" i="103"/>
  <c r="A79" i="103"/>
  <c r="A78" i="103"/>
  <c r="A77" i="103"/>
  <c r="A76" i="103"/>
  <c r="A75" i="103"/>
  <c r="A74" i="103"/>
  <c r="A73" i="103"/>
  <c r="A72" i="103"/>
  <c r="A71" i="103"/>
  <c r="A70" i="103"/>
  <c r="A69" i="103"/>
  <c r="A68" i="103"/>
  <c r="A67" i="103"/>
  <c r="A66" i="103"/>
  <c r="A65" i="103"/>
  <c r="A64" i="103"/>
  <c r="A63" i="103"/>
  <c r="A22" i="103"/>
  <c r="A38" i="115" l="1"/>
  <c r="A37" i="115"/>
  <c r="A36" i="115"/>
  <c r="A35" i="115"/>
  <c r="A34" i="115"/>
  <c r="A33" i="115"/>
  <c r="A32" i="115"/>
  <c r="A31" i="115"/>
  <c r="A30" i="115"/>
  <c r="A29" i="115"/>
  <c r="A28" i="115"/>
  <c r="A27" i="115"/>
  <c r="A26" i="115"/>
  <c r="A25" i="115"/>
  <c r="A24" i="115"/>
  <c r="A23" i="115"/>
  <c r="A22" i="115"/>
  <c r="A21" i="115"/>
  <c r="A20" i="115"/>
  <c r="A19" i="115"/>
  <c r="A18" i="115"/>
  <c r="A17" i="115"/>
  <c r="A16" i="115"/>
  <c r="A15" i="115"/>
  <c r="A14" i="115"/>
  <c r="A13" i="115"/>
  <c r="A12" i="115"/>
  <c r="A11" i="115"/>
  <c r="A10" i="115"/>
  <c r="A9" i="115"/>
  <c r="A8" i="115"/>
  <c r="A24" i="121"/>
  <c r="A23" i="121"/>
  <c r="A24" i="103"/>
  <c r="A37" i="127" l="1"/>
  <c r="A10" i="127" l="1"/>
  <c r="A21" i="127" l="1"/>
  <c r="A33" i="103" l="1"/>
  <c r="A39" i="127"/>
  <c r="A44" i="127"/>
  <c r="A38" i="127" l="1"/>
  <c r="A23" i="127"/>
  <c r="A22" i="127"/>
  <c r="A20" i="127"/>
  <c r="A19" i="127"/>
  <c r="A18" i="127"/>
  <c r="A17" i="127"/>
  <c r="A16" i="127"/>
  <c r="A15" i="127"/>
  <c r="A14" i="127"/>
  <c r="A43" i="127"/>
  <c r="A42" i="127"/>
  <c r="A31" i="127"/>
  <c r="Y4" i="127" l="1"/>
  <c r="Y2" i="127"/>
  <c r="R2" i="127"/>
  <c r="A85" i="127"/>
  <c r="A84" i="127"/>
  <c r="A83" i="127"/>
  <c r="A82" i="127"/>
  <c r="A81" i="127"/>
  <c r="A80" i="127"/>
  <c r="A79" i="127"/>
  <c r="A78" i="127"/>
  <c r="A77" i="127"/>
  <c r="A76" i="127"/>
  <c r="A75" i="127"/>
  <c r="A74" i="127"/>
  <c r="A73" i="127"/>
  <c r="A72" i="127"/>
  <c r="A71" i="127"/>
  <c r="A70" i="127"/>
  <c r="A69" i="127"/>
  <c r="A68" i="127"/>
  <c r="A67" i="127"/>
  <c r="A66" i="127"/>
  <c r="A65" i="127"/>
  <c r="A64" i="127"/>
  <c r="A63" i="127"/>
  <c r="A62" i="127"/>
  <c r="A61" i="127"/>
  <c r="A60" i="127"/>
  <c r="A59" i="127"/>
  <c r="A58" i="127"/>
  <c r="A57" i="127"/>
  <c r="A56" i="127"/>
  <c r="A55" i="127"/>
  <c r="A54" i="127"/>
  <c r="A53" i="127"/>
  <c r="A52" i="127"/>
  <c r="A51" i="127"/>
  <c r="A50" i="127"/>
  <c r="A49" i="127"/>
  <c r="A48" i="127"/>
  <c r="A47" i="127"/>
  <c r="A46" i="127"/>
  <c r="A45" i="127"/>
  <c r="A41" i="127"/>
  <c r="A40" i="127"/>
  <c r="A32" i="127"/>
  <c r="A30" i="127"/>
  <c r="A29" i="127"/>
  <c r="A28" i="127"/>
  <c r="A27" i="127"/>
  <c r="A26" i="127"/>
  <c r="A25" i="127"/>
  <c r="A24" i="127"/>
  <c r="A13" i="127"/>
  <c r="A12" i="127"/>
  <c r="A11" i="127"/>
  <c r="A9" i="127"/>
  <c r="A8" i="127"/>
  <c r="A9" i="119" l="1"/>
  <c r="A10" i="119"/>
  <c r="A11" i="119"/>
  <c r="A12" i="119"/>
  <c r="A13" i="119"/>
  <c r="A14" i="119"/>
  <c r="A15" i="119"/>
  <c r="A16" i="119"/>
  <c r="A17" i="119"/>
  <c r="A18" i="119"/>
  <c r="A19" i="119"/>
  <c r="A20" i="119"/>
  <c r="A21" i="119"/>
  <c r="A22" i="119"/>
  <c r="A23" i="119"/>
  <c r="A24" i="119"/>
  <c r="A25" i="119"/>
  <c r="A26" i="119"/>
  <c r="A27" i="119"/>
  <c r="A28" i="119"/>
  <c r="A29" i="119"/>
  <c r="A30" i="119"/>
  <c r="A31" i="119"/>
  <c r="A32" i="119"/>
  <c r="A33" i="119"/>
  <c r="A34" i="119"/>
  <c r="A35" i="119"/>
  <c r="A36" i="119"/>
  <c r="A37" i="119"/>
  <c r="A38" i="119"/>
  <c r="A39" i="119"/>
  <c r="A40" i="119"/>
  <c r="A41" i="119"/>
  <c r="A42" i="119"/>
  <c r="A43" i="119"/>
  <c r="A44" i="119"/>
  <c r="A45" i="119"/>
  <c r="A46" i="119"/>
  <c r="A47" i="119"/>
  <c r="A48" i="119"/>
  <c r="A49" i="119"/>
  <c r="A50" i="119"/>
  <c r="A51" i="119"/>
  <c r="A46" i="103" l="1"/>
  <c r="A36" i="113"/>
  <c r="A46" i="107" l="1"/>
  <c r="A45" i="107"/>
  <c r="A44" i="107"/>
  <c r="A43" i="107"/>
  <c r="A42" i="107"/>
  <c r="A41" i="107"/>
  <c r="A40" i="107"/>
  <c r="A39" i="107"/>
  <c r="A38" i="107"/>
  <c r="A37" i="107"/>
  <c r="A36" i="107"/>
  <c r="A35" i="107"/>
  <c r="A34" i="107"/>
  <c r="A33" i="107"/>
  <c r="A32" i="107"/>
  <c r="A37" i="113" l="1"/>
  <c r="A22" i="113" l="1"/>
  <c r="A29" i="112" l="1"/>
  <c r="A28" i="112"/>
  <c r="A27" i="112"/>
  <c r="A15" i="104" l="1"/>
  <c r="A52" i="119" l="1"/>
  <c r="A21" i="112"/>
  <c r="A20" i="112"/>
  <c r="A19" i="112"/>
  <c r="A13" i="112"/>
  <c r="A44" i="121" l="1"/>
  <c r="A20" i="125"/>
  <c r="A40" i="121"/>
  <c r="A21" i="125"/>
  <c r="A43" i="103"/>
  <c r="A9" i="125"/>
  <c r="A11" i="125"/>
  <c r="A12" i="125"/>
  <c r="A13" i="125"/>
  <c r="A14" i="125"/>
  <c r="A15" i="125"/>
  <c r="A16" i="125"/>
  <c r="A17" i="125"/>
  <c r="A18" i="125"/>
  <c r="A19" i="125"/>
  <c r="A22" i="125"/>
  <c r="A23" i="125"/>
  <c r="A24" i="125"/>
  <c r="A25" i="125"/>
  <c r="A26" i="125"/>
  <c r="A27" i="125"/>
  <c r="A28" i="125"/>
  <c r="A29" i="125"/>
  <c r="A30" i="125"/>
  <c r="A31" i="125"/>
  <c r="A32" i="125"/>
  <c r="A33" i="125"/>
  <c r="A34" i="125"/>
  <c r="A35" i="125"/>
  <c r="A36" i="125"/>
  <c r="A37" i="125"/>
  <c r="A38" i="125"/>
  <c r="A39" i="125"/>
  <c r="A40" i="125"/>
  <c r="A41" i="125"/>
  <c r="A8" i="125"/>
  <c r="Y4" i="125"/>
  <c r="Y2" i="125"/>
  <c r="R2" i="125"/>
  <c r="A42" i="103"/>
  <c r="A23" i="110" l="1"/>
  <c r="A24" i="110"/>
  <c r="A25" i="110"/>
  <c r="A26" i="110"/>
  <c r="A27" i="110"/>
  <c r="A28" i="110"/>
  <c r="A29" i="110"/>
  <c r="A30" i="110"/>
  <c r="A31" i="110"/>
  <c r="A32" i="110"/>
  <c r="A21" i="103"/>
  <c r="A22" i="112"/>
  <c r="A23" i="113"/>
  <c r="A21" i="113"/>
  <c r="A24" i="113" l="1"/>
  <c r="A9" i="113"/>
  <c r="A35" i="112" l="1"/>
  <c r="A34" i="112"/>
  <c r="A33" i="112"/>
  <c r="A32" i="112"/>
  <c r="A31" i="112"/>
  <c r="A30" i="112"/>
  <c r="A26" i="112"/>
  <c r="A25" i="112"/>
  <c r="A24" i="112"/>
  <c r="A23" i="112"/>
  <c r="A18" i="112"/>
  <c r="A17" i="112"/>
  <c r="A16" i="112"/>
  <c r="A15" i="112"/>
  <c r="A14" i="112"/>
  <c r="A12" i="112"/>
  <c r="A11" i="112"/>
  <c r="A10" i="112"/>
  <c r="A9" i="112"/>
  <c r="A8" i="112"/>
  <c r="A28" i="113" l="1"/>
  <c r="A27" i="113"/>
  <c r="A26" i="113"/>
  <c r="A25" i="113"/>
  <c r="A20" i="113"/>
  <c r="A19" i="113"/>
  <c r="A18" i="113"/>
  <c r="A17" i="113"/>
  <c r="A16" i="113"/>
  <c r="A15" i="113"/>
  <c r="A14" i="113"/>
  <c r="A13" i="113"/>
  <c r="A12" i="113"/>
  <c r="A11" i="113"/>
  <c r="A10" i="113"/>
  <c r="A8" i="113"/>
  <c r="A12" i="107" l="1"/>
  <c r="A12" i="124" l="1"/>
  <c r="A11" i="124" l="1"/>
  <c r="A10" i="124"/>
  <c r="Y4" i="113" l="1"/>
  <c r="Y2" i="113"/>
  <c r="R2" i="113"/>
  <c r="Y4" i="112"/>
  <c r="Y2" i="112"/>
  <c r="R2" i="112"/>
  <c r="Y2" i="107"/>
  <c r="R2" i="107"/>
  <c r="Y4" i="122"/>
  <c r="Y2" i="122"/>
  <c r="R2" i="122"/>
  <c r="Y4" i="119"/>
  <c r="Y2" i="119"/>
  <c r="R2" i="119"/>
  <c r="Y4" i="110"/>
  <c r="Y2" i="110"/>
  <c r="R2" i="110"/>
  <c r="Y4" i="120"/>
  <c r="Y2" i="120"/>
  <c r="R2" i="120"/>
  <c r="Y4" i="115"/>
  <c r="Y2" i="115"/>
  <c r="R2" i="115"/>
  <c r="Y4" i="104"/>
  <c r="Y2" i="104"/>
  <c r="R2" i="104"/>
  <c r="Y4" i="98"/>
  <c r="Y2" i="98"/>
  <c r="R2" i="98"/>
  <c r="Y4" i="124"/>
  <c r="Y2" i="124"/>
  <c r="R2" i="124"/>
  <c r="Y4" i="121"/>
  <c r="Y2" i="121"/>
  <c r="R2" i="121"/>
  <c r="Y4" i="103"/>
  <c r="Y2" i="103"/>
  <c r="R2" i="103"/>
  <c r="A46" i="124"/>
  <c r="A45" i="124"/>
  <c r="A44" i="124"/>
  <c r="A43" i="124"/>
  <c r="A42" i="124"/>
  <c r="A41" i="124"/>
  <c r="A40" i="124"/>
  <c r="A39" i="124"/>
  <c r="A38" i="124"/>
  <c r="A37" i="124"/>
  <c r="A36" i="124"/>
  <c r="A35" i="124"/>
  <c r="A34" i="124"/>
  <c r="A33" i="124"/>
  <c r="A32" i="124"/>
  <c r="A31" i="124"/>
  <c r="A30" i="124"/>
  <c r="A29" i="124"/>
  <c r="A28" i="124"/>
  <c r="A27" i="124"/>
  <c r="A26" i="124"/>
  <c r="A25" i="124"/>
  <c r="A24" i="124"/>
  <c r="A23" i="124"/>
  <c r="A22" i="124"/>
  <c r="A21" i="124"/>
  <c r="A20" i="124"/>
  <c r="A19" i="124"/>
  <c r="A18" i="124"/>
  <c r="A17" i="124"/>
  <c r="A16" i="124"/>
  <c r="A15" i="124"/>
  <c r="A14" i="124"/>
  <c r="A13" i="124"/>
  <c r="A9" i="124"/>
  <c r="A8" i="124"/>
  <c r="A14" i="123"/>
  <c r="A46" i="123"/>
  <c r="A45" i="123"/>
  <c r="A44" i="123"/>
  <c r="A43" i="123"/>
  <c r="A42" i="123"/>
  <c r="A41" i="123"/>
  <c r="A40" i="123"/>
  <c r="A39" i="123"/>
  <c r="A38" i="123"/>
  <c r="A37" i="123"/>
  <c r="A36" i="123"/>
  <c r="A35" i="123"/>
  <c r="A34" i="123"/>
  <c r="A33" i="123"/>
  <c r="A32" i="123"/>
  <c r="A31" i="123"/>
  <c r="A30" i="123"/>
  <c r="A29" i="123"/>
  <c r="A28" i="123"/>
  <c r="A27" i="123"/>
  <c r="A26" i="123"/>
  <c r="A25" i="123"/>
  <c r="A24" i="123"/>
  <c r="A22" i="123"/>
  <c r="A21" i="123"/>
  <c r="A20" i="123"/>
  <c r="A18" i="123"/>
  <c r="A17" i="123"/>
  <c r="A16" i="123"/>
  <c r="A15" i="123"/>
  <c r="A12" i="123"/>
  <c r="A11" i="123"/>
  <c r="A10" i="123"/>
  <c r="A9" i="123"/>
  <c r="A8" i="123"/>
  <c r="A7" i="123"/>
  <c r="A30" i="103" l="1"/>
  <c r="A28" i="103"/>
  <c r="A31" i="121"/>
  <c r="A30" i="121"/>
  <c r="A76" i="98"/>
  <c r="A75" i="98"/>
  <c r="A74" i="98"/>
  <c r="A73" i="98"/>
  <c r="A72" i="98"/>
  <c r="A71" i="98"/>
  <c r="A70" i="98"/>
  <c r="A69" i="98"/>
  <c r="A68" i="98"/>
  <c r="A67" i="98"/>
  <c r="A66" i="98"/>
  <c r="A65" i="98"/>
  <c r="A64" i="98"/>
  <c r="A63" i="98"/>
  <c r="A62" i="98"/>
  <c r="A61" i="98"/>
  <c r="A60" i="98"/>
  <c r="A59" i="98"/>
  <c r="A58" i="98"/>
  <c r="A57" i="98"/>
  <c r="A56" i="98"/>
  <c r="A55" i="98"/>
  <c r="A54" i="98"/>
  <c r="A53" i="98"/>
  <c r="A52" i="98"/>
  <c r="A51" i="98"/>
  <c r="A50" i="98"/>
  <c r="A49" i="98"/>
  <c r="A48" i="98"/>
  <c r="A47" i="98"/>
  <c r="A46" i="98"/>
  <c r="A45" i="98"/>
  <c r="A44" i="98"/>
  <c r="A43" i="98"/>
  <c r="A42" i="98"/>
  <c r="A41" i="98"/>
  <c r="A40" i="98"/>
  <c r="A39" i="98"/>
  <c r="A38" i="98"/>
  <c r="A37" i="98"/>
  <c r="A36" i="98"/>
  <c r="A35" i="98"/>
  <c r="A34" i="98"/>
  <c r="A33" i="98"/>
  <c r="A32" i="98"/>
  <c r="A31" i="98"/>
  <c r="A29" i="121" l="1"/>
  <c r="A28" i="121"/>
  <c r="A25" i="121"/>
  <c r="A22" i="121"/>
  <c r="A27" i="121"/>
  <c r="A26" i="121"/>
  <c r="A32" i="103"/>
  <c r="A31" i="103"/>
  <c r="A27" i="103"/>
  <c r="A26" i="103"/>
  <c r="A23" i="103"/>
  <c r="A58" i="122" l="1"/>
  <c r="A57" i="122"/>
  <c r="A56" i="122"/>
  <c r="A55" i="122"/>
  <c r="A54" i="122"/>
  <c r="A53" i="122"/>
  <c r="A52" i="122"/>
  <c r="A51" i="122"/>
  <c r="A50" i="122"/>
  <c r="A49" i="122"/>
  <c r="A48" i="122"/>
  <c r="A47" i="122"/>
  <c r="A46" i="122"/>
  <c r="A45" i="122"/>
  <c r="A44" i="122"/>
  <c r="A43" i="122"/>
  <c r="A42" i="122"/>
  <c r="A41" i="122"/>
  <c r="A40" i="122"/>
  <c r="A39" i="122"/>
  <c r="A38" i="122"/>
  <c r="A37" i="122"/>
  <c r="A36" i="122"/>
  <c r="A35" i="122"/>
  <c r="A34" i="122"/>
  <c r="A33" i="122"/>
  <c r="A32" i="122"/>
  <c r="A31" i="122"/>
  <c r="A30" i="122"/>
  <c r="A29" i="122"/>
  <c r="A28" i="122"/>
  <c r="A27" i="122"/>
  <c r="A26" i="122"/>
  <c r="A25" i="122"/>
  <c r="A24" i="122"/>
  <c r="A23" i="122"/>
  <c r="A22" i="122"/>
  <c r="A21" i="122"/>
  <c r="A20" i="122"/>
  <c r="A19" i="122"/>
  <c r="A18" i="122"/>
  <c r="A17" i="122"/>
  <c r="A16" i="122"/>
  <c r="A15" i="122"/>
  <c r="A14" i="122"/>
  <c r="A13" i="122"/>
  <c r="A12" i="122"/>
  <c r="A11" i="122"/>
  <c r="A10" i="122"/>
  <c r="A9" i="122"/>
  <c r="A8" i="122"/>
  <c r="A14" i="110" l="1"/>
  <c r="A13" i="110"/>
  <c r="A12" i="110"/>
  <c r="A62" i="121" l="1"/>
  <c r="A61" i="121"/>
  <c r="A60" i="121"/>
  <c r="A59" i="121"/>
  <c r="A58" i="121"/>
  <c r="A57" i="121"/>
  <c r="A56" i="121"/>
  <c r="A55" i="121"/>
  <c r="A54" i="121"/>
  <c r="A53" i="121"/>
  <c r="A52" i="121"/>
  <c r="A51" i="121"/>
  <c r="A50" i="121"/>
  <c r="A49" i="121"/>
  <c r="A48" i="121"/>
  <c r="A47" i="121"/>
  <c r="A46" i="121"/>
  <c r="A45" i="121"/>
  <c r="A43" i="121"/>
  <c r="A42" i="121"/>
  <c r="A41" i="121"/>
  <c r="A39" i="121"/>
  <c r="A38" i="121"/>
  <c r="A37" i="121"/>
  <c r="A36" i="121"/>
  <c r="A35" i="121"/>
  <c r="A34" i="121"/>
  <c r="A33" i="121"/>
  <c r="A32" i="121"/>
  <c r="A20" i="121"/>
  <c r="A19" i="121"/>
  <c r="A18" i="121"/>
  <c r="A17" i="121"/>
  <c r="A16" i="121"/>
  <c r="A15" i="121"/>
  <c r="A14" i="121"/>
  <c r="A13" i="121"/>
  <c r="A12" i="121"/>
  <c r="A11" i="121"/>
  <c r="A10" i="121"/>
  <c r="A9" i="121"/>
  <c r="A8" i="121"/>
  <c r="A20" i="103" l="1"/>
  <c r="A19" i="103"/>
  <c r="A18" i="103" l="1"/>
  <c r="A17" i="103" l="1"/>
  <c r="A16" i="103"/>
  <c r="A15" i="103"/>
  <c r="A14" i="103"/>
  <c r="A17" i="110" l="1"/>
  <c r="A13" i="103" l="1"/>
  <c r="A12" i="103"/>
  <c r="A11" i="103" l="1"/>
  <c r="A10" i="103"/>
  <c r="A9" i="103"/>
  <c r="A18" i="110" l="1"/>
  <c r="A67" i="119"/>
  <c r="A66" i="119"/>
  <c r="A65" i="119"/>
  <c r="A64" i="119"/>
  <c r="A63" i="119"/>
  <c r="A62" i="119"/>
  <c r="A61" i="119"/>
  <c r="A60" i="119"/>
  <c r="A59" i="119"/>
  <c r="A58" i="119"/>
  <c r="A57" i="119"/>
  <c r="A56" i="119"/>
  <c r="A55" i="119"/>
  <c r="A54" i="119"/>
  <c r="A8" i="119"/>
  <c r="A10" i="110"/>
  <c r="A21" i="110" l="1"/>
  <c r="A38" i="113" l="1"/>
  <c r="A35" i="113"/>
  <c r="A34" i="113"/>
  <c r="A33" i="113"/>
  <c r="A32" i="113"/>
  <c r="A31" i="113"/>
  <c r="A30" i="113"/>
  <c r="A29" i="113"/>
  <c r="A25" i="103" l="1"/>
  <c r="A34" i="103"/>
  <c r="A35" i="103"/>
  <c r="A36" i="103"/>
  <c r="A37" i="103"/>
  <c r="A38" i="103"/>
  <c r="A39" i="103"/>
  <c r="A40" i="103"/>
  <c r="A44" i="103"/>
  <c r="A45" i="103"/>
  <c r="A47" i="103"/>
  <c r="A48" i="103"/>
  <c r="A49" i="103"/>
  <c r="A50" i="103"/>
  <c r="A51" i="103"/>
  <c r="A52" i="103"/>
  <c r="A53" i="103"/>
  <c r="A54" i="103"/>
  <c r="A55" i="103"/>
  <c r="A56" i="103"/>
  <c r="A57" i="103"/>
  <c r="A58" i="103"/>
  <c r="A59" i="103"/>
  <c r="A60" i="103"/>
  <c r="A61" i="103"/>
  <c r="A62" i="103"/>
  <c r="A8" i="103"/>
  <c r="A16" i="110" l="1"/>
  <c r="A43" i="114" l="1"/>
  <c r="A40" i="114"/>
  <c r="A9" i="104" l="1"/>
  <c r="A10" i="104"/>
  <c r="A11" i="104"/>
  <c r="A12" i="104"/>
  <c r="A13" i="104"/>
  <c r="A14" i="104"/>
  <c r="A16" i="104"/>
  <c r="A17" i="104"/>
  <c r="A18" i="104"/>
  <c r="A19" i="104"/>
  <c r="A20" i="104"/>
  <c r="A21" i="104"/>
  <c r="A22" i="104"/>
  <c r="A23" i="104"/>
  <c r="A24" i="104"/>
  <c r="A34" i="114"/>
  <c r="A16" i="106"/>
  <c r="A9" i="106"/>
  <c r="A85" i="114"/>
  <c r="A84" i="114"/>
  <c r="A83" i="114"/>
  <c r="A82" i="114"/>
  <c r="A81" i="114"/>
  <c r="A80" i="114"/>
  <c r="A79" i="114"/>
  <c r="A78" i="114"/>
  <c r="A77" i="114"/>
  <c r="A76" i="114"/>
  <c r="A75" i="114"/>
  <c r="A74" i="114"/>
  <c r="A73" i="114"/>
  <c r="A72" i="114"/>
  <c r="A71" i="114"/>
  <c r="A70" i="114"/>
  <c r="A69" i="114"/>
  <c r="A68" i="114"/>
  <c r="A67" i="114"/>
  <c r="A66" i="114"/>
  <c r="A65" i="114"/>
  <c r="A64" i="114"/>
  <c r="A63" i="114"/>
  <c r="A62" i="114"/>
  <c r="A61" i="114"/>
  <c r="A60" i="114"/>
  <c r="A59" i="114"/>
  <c r="A58" i="114"/>
  <c r="A57" i="114"/>
  <c r="A56" i="114"/>
  <c r="A55" i="114"/>
  <c r="A54" i="114"/>
  <c r="A53" i="114"/>
  <c r="A52" i="114"/>
  <c r="A51" i="114"/>
  <c r="A50" i="114"/>
  <c r="A49" i="114"/>
  <c r="A48" i="114"/>
  <c r="A47" i="114"/>
  <c r="A46" i="114"/>
  <c r="A45" i="114"/>
  <c r="A44" i="114"/>
  <c r="A42" i="114"/>
  <c r="A41" i="114"/>
  <c r="A39" i="114"/>
  <c r="A38" i="114"/>
  <c r="A37" i="114"/>
  <c r="A36" i="114"/>
  <c r="A35" i="114"/>
  <c r="A33" i="114"/>
  <c r="A32" i="114"/>
  <c r="A31" i="114"/>
  <c r="A30" i="114"/>
  <c r="A29" i="114"/>
  <c r="A28" i="114"/>
  <c r="A27" i="114"/>
  <c r="A26" i="114"/>
  <c r="A25" i="114"/>
  <c r="A24" i="114"/>
  <c r="A23" i="114"/>
  <c r="A22" i="114"/>
  <c r="A21" i="114"/>
  <c r="A20" i="114"/>
  <c r="A19" i="114"/>
  <c r="A18" i="114"/>
  <c r="A17" i="114"/>
  <c r="A16" i="114"/>
  <c r="A15" i="114"/>
  <c r="A14" i="114"/>
  <c r="A13" i="114"/>
  <c r="A12" i="114"/>
  <c r="A11" i="114"/>
  <c r="A10" i="114"/>
  <c r="A9" i="114"/>
  <c r="A8" i="114"/>
  <c r="Y4" i="114"/>
  <c r="Y2" i="114"/>
  <c r="R2" i="114"/>
  <c r="A48" i="106" l="1"/>
  <c r="A47" i="106"/>
  <c r="A46" i="106"/>
  <c r="A51" i="106"/>
  <c r="A50" i="106"/>
  <c r="A49" i="106"/>
  <c r="A42" i="106"/>
  <c r="A41" i="106"/>
  <c r="A40" i="106"/>
  <c r="A45" i="106"/>
  <c r="A44" i="106"/>
  <c r="A43" i="106"/>
  <c r="A52" i="106"/>
  <c r="A39" i="106"/>
  <c r="A33" i="106"/>
  <c r="A32" i="106"/>
  <c r="A31" i="106"/>
  <c r="A30" i="106"/>
  <c r="A29" i="106"/>
  <c r="A28" i="106"/>
  <c r="A27" i="106"/>
  <c r="A26" i="106"/>
  <c r="A25" i="106"/>
  <c r="A24" i="106"/>
  <c r="A23" i="106"/>
  <c r="A48" i="113" l="1"/>
  <c r="A47" i="113"/>
  <c r="A46" i="113"/>
  <c r="A45" i="113"/>
  <c r="A44" i="113"/>
  <c r="A43" i="113"/>
  <c r="A42" i="113"/>
  <c r="A41" i="113"/>
  <c r="A40" i="113"/>
  <c r="A39" i="113"/>
  <c r="A46" i="112"/>
  <c r="A45" i="112"/>
  <c r="A44" i="112"/>
  <c r="A43" i="112"/>
  <c r="A42" i="112"/>
  <c r="A41" i="112"/>
  <c r="A40" i="112"/>
  <c r="A39" i="112"/>
  <c r="A11" i="110" l="1"/>
  <c r="A9" i="110"/>
  <c r="A15" i="110"/>
  <c r="A8" i="104" l="1"/>
  <c r="A25" i="104"/>
  <c r="A26" i="104"/>
  <c r="A27" i="104"/>
  <c r="A28" i="104"/>
  <c r="A29" i="104"/>
  <c r="A30" i="104"/>
  <c r="A31" i="104"/>
  <c r="A32" i="104"/>
  <c r="A33" i="104"/>
  <c r="A34" i="104"/>
  <c r="A35" i="104"/>
  <c r="A36" i="104"/>
  <c r="A41" i="110"/>
  <c r="A40" i="110"/>
  <c r="A39" i="110"/>
  <c r="A38" i="110"/>
  <c r="A37" i="110"/>
  <c r="A36" i="110"/>
  <c r="A35" i="110"/>
  <c r="A34" i="110"/>
  <c r="A33" i="110"/>
  <c r="A22" i="110"/>
  <c r="A20" i="110"/>
  <c r="A19" i="110"/>
  <c r="A8" i="110"/>
  <c r="A31" i="107" l="1"/>
  <c r="A30" i="107"/>
  <c r="A29" i="107"/>
  <c r="A28" i="107"/>
  <c r="A27" i="107"/>
  <c r="A26" i="107"/>
  <c r="A25" i="107"/>
  <c r="A24" i="107"/>
  <c r="A23" i="107"/>
  <c r="A22" i="107"/>
  <c r="A21" i="107"/>
  <c r="A20" i="107"/>
  <c r="A19" i="107"/>
  <c r="A18" i="107"/>
  <c r="A17" i="107"/>
  <c r="A16" i="107"/>
  <c r="A15" i="107"/>
  <c r="A14" i="107"/>
  <c r="A13" i="107"/>
  <c r="A11" i="107"/>
  <c r="A10" i="107"/>
  <c r="A9" i="107"/>
  <c r="A8" i="107"/>
  <c r="A14" i="106" l="1"/>
  <c r="A15" i="106"/>
  <c r="A58" i="106" l="1"/>
  <c r="A57" i="106"/>
  <c r="A56" i="106"/>
  <c r="A55" i="106"/>
  <c r="A54" i="106"/>
  <c r="A53" i="106"/>
  <c r="A38" i="106"/>
  <c r="A37" i="106"/>
  <c r="A36" i="106"/>
  <c r="A35" i="106"/>
  <c r="A34" i="106"/>
  <c r="A22" i="106"/>
  <c r="A21" i="106"/>
  <c r="A20" i="106"/>
  <c r="A19" i="106"/>
  <c r="A18" i="106"/>
  <c r="A17" i="106"/>
  <c r="A13" i="106"/>
  <c r="A12" i="106"/>
  <c r="A11" i="106"/>
  <c r="A10" i="106"/>
  <c r="A8" i="106"/>
  <c r="Y4" i="106"/>
  <c r="Y2" i="106"/>
  <c r="R2" i="106"/>
  <c r="A30" i="98" l="1"/>
  <c r="A29" i="98"/>
  <c r="A28" i="98"/>
  <c r="A27" i="98"/>
  <c r="A26" i="98"/>
  <c r="A25" i="98"/>
  <c r="A24" i="98"/>
  <c r="A23" i="98"/>
  <c r="A22" i="98"/>
  <c r="A21" i="98"/>
  <c r="A20" i="98"/>
  <c r="A19" i="98"/>
  <c r="A18" i="98"/>
  <c r="A17" i="98"/>
  <c r="A16" i="98"/>
  <c r="A15" i="98"/>
  <c r="A14" i="98"/>
  <c r="A13" i="98"/>
  <c r="A12" i="98"/>
  <c r="A11" i="98"/>
  <c r="A10" i="98"/>
  <c r="A9" i="98"/>
  <c r="A8" i="98"/>
  <c r="A813" i="60" l="1"/>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A4" i="60"/>
  <c r="A1" i="61" l="1"/>
  <c r="A1" i="60"/>
</calcChain>
</file>

<file path=xl/comments1.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2.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3.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4.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5.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6.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7.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8.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9.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10.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11.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12.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13.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14.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15.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16.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comments17.xml><?xml version="1.0" encoding="utf-8"?>
<comments xmlns="http://schemas.openxmlformats.org/spreadsheetml/2006/main">
  <authors>
    <author>shida</author>
  </authors>
  <commentList>
    <comment ref="AD6" authorId="0" shapeId="0">
      <text>
        <r>
          <rPr>
            <sz val="9"/>
            <color indexed="81"/>
            <rFont val="ＭＳ Ｐゴシック"/>
            <family val="3"/>
            <charset val="128"/>
          </rPr>
          <t>整数：整数部の桁数を入力
文字型の時：文字数
数値型の時：バイト数</t>
        </r>
      </text>
    </comment>
    <comment ref="AE6" authorId="0" shapeId="0">
      <text>
        <r>
          <rPr>
            <sz val="9"/>
            <color indexed="81"/>
            <rFont val="ＭＳ Ｐゴシック"/>
            <family val="3"/>
            <charset val="128"/>
          </rPr>
          <t>小数：小数部を桁数を入力</t>
        </r>
      </text>
    </comment>
    <comment ref="AF6" authorId="0" shapeId="0">
      <text>
        <r>
          <rPr>
            <sz val="9"/>
            <color indexed="81"/>
            <rFont val="ＭＳ Ｐゴシック"/>
            <family val="3"/>
            <charset val="128"/>
          </rPr>
          <t>ＰＫ：プライマリキー
主キーを入力</t>
        </r>
      </text>
    </comment>
    <comment ref="AG6" authorId="0" shapeId="0">
      <text>
        <r>
          <rPr>
            <sz val="9"/>
            <color indexed="81"/>
            <rFont val="ＭＳ Ｐゴシック"/>
            <family val="3"/>
            <charset val="128"/>
          </rPr>
          <t>ＮＮ：Ｎｏｔ Ｎｕｌｌ
Ｎｕｌｌを許可しないものに「＊」を入力</t>
        </r>
      </text>
    </comment>
    <comment ref="AH6" authorId="0" shapeId="0">
      <text>
        <r>
          <rPr>
            <sz val="9"/>
            <color indexed="81"/>
            <rFont val="ＭＳ Ｐゴシック"/>
            <family val="3"/>
            <charset val="128"/>
          </rPr>
          <t>ＤＦ：デフォルト値
数値の時：０
文字の時：空白
を入力</t>
        </r>
      </text>
    </comment>
    <comment ref="AI6" authorId="0" shapeId="0">
      <text>
        <r>
          <rPr>
            <sz val="9"/>
            <color indexed="81"/>
            <rFont val="ＭＳ Ｐゴシック"/>
            <family val="3"/>
            <charset val="128"/>
          </rPr>
          <t xml:space="preserve">インデックス
（５個まで表示）
</t>
        </r>
      </text>
    </comment>
  </commentList>
</comments>
</file>

<file path=xl/sharedStrings.xml><?xml version="1.0" encoding="utf-8"?>
<sst xmlns="http://schemas.openxmlformats.org/spreadsheetml/2006/main" count="12341" uniqueCount="2204">
  <si>
    <t>テーブル名／テーブルID</t>
    <rPh sb="4" eb="5">
      <t>メイ</t>
    </rPh>
    <phoneticPr fontId="13"/>
  </si>
  <si>
    <t>作成/修正日</t>
    <rPh sb="0" eb="2">
      <t>サクセイ</t>
    </rPh>
    <rPh sb="3" eb="5">
      <t>シュウセイ</t>
    </rPh>
    <rPh sb="5" eb="6">
      <t>ビ</t>
    </rPh>
    <phoneticPr fontId="13"/>
  </si>
  <si>
    <t>作成/修正者</t>
    <rPh sb="0" eb="2">
      <t>サクセイ</t>
    </rPh>
    <rPh sb="3" eb="5">
      <t>シュウセイ</t>
    </rPh>
    <rPh sb="5" eb="6">
      <t>シャ</t>
    </rPh>
    <phoneticPr fontId="13"/>
  </si>
  <si>
    <t>版数</t>
    <rPh sb="0" eb="2">
      <t>ハンスウ</t>
    </rPh>
    <phoneticPr fontId="13"/>
  </si>
  <si>
    <t>項目名</t>
    <rPh sb="0" eb="2">
      <t>コウモク</t>
    </rPh>
    <rPh sb="2" eb="3">
      <t>メイ</t>
    </rPh>
    <phoneticPr fontId="13"/>
  </si>
  <si>
    <t>項目ID</t>
    <rPh sb="0" eb="2">
      <t>コウモク</t>
    </rPh>
    <phoneticPr fontId="13"/>
  </si>
  <si>
    <t>型名</t>
    <rPh sb="0" eb="2">
      <t>カタメイ</t>
    </rPh>
    <phoneticPr fontId="13"/>
  </si>
  <si>
    <t>型</t>
    <rPh sb="0" eb="1">
      <t>カタ</t>
    </rPh>
    <phoneticPr fontId="13"/>
  </si>
  <si>
    <t>整数</t>
    <rPh sb="0" eb="2">
      <t>セイスウ</t>
    </rPh>
    <phoneticPr fontId="13"/>
  </si>
  <si>
    <t>小数</t>
    <rPh sb="0" eb="2">
      <t>ショウスウ</t>
    </rPh>
    <phoneticPr fontId="13"/>
  </si>
  <si>
    <t>ＰＫ</t>
    <phoneticPr fontId="13"/>
  </si>
  <si>
    <t>ＮＮ</t>
    <phoneticPr fontId="13"/>
  </si>
  <si>
    <t>ＤＦ</t>
    <phoneticPr fontId="13"/>
  </si>
  <si>
    <t>インデックス</t>
    <phoneticPr fontId="15"/>
  </si>
  <si>
    <t>項目説明</t>
  </si>
  <si>
    <t>1.0(初版)</t>
    <phoneticPr fontId="12"/>
  </si>
  <si>
    <t>Sub 項目生成()</t>
  </si>
  <si>
    <t>Dim iSheet  As Integer</t>
  </si>
  <si>
    <t>Dim i       As Integer</t>
  </si>
  <si>
    <t>Dim j       As Integer</t>
  </si>
  <si>
    <t>Dim flg     As Boolean</t>
  </si>
  <si>
    <t>Dim wsheet1 As Worksheet</t>
  </si>
  <si>
    <t>Dim wsheet2 As Worksheet</t>
  </si>
  <si>
    <t>Dim iRow    As Integer</t>
  </si>
  <si>
    <t>Dim MaxRow  As Integer</t>
  </si>
  <si>
    <t>Set wsheet1 = Sheets("項目一覧")</t>
  </si>
  <si>
    <t>iRow = 3</t>
  </si>
  <si>
    <t xml:space="preserve">    flg = False</t>
  </si>
  <si>
    <t xml:space="preserve">    If Worksheets(i).Name = "項目一覧" Then</t>
  </si>
  <si>
    <t xml:space="preserve">        flg = True</t>
  </si>
  <si>
    <t xml:space="preserve">    End If</t>
  </si>
  <si>
    <t xml:space="preserve">    If Worksheets(i).Name = "ＩＦマスタ一覧" Then</t>
  </si>
  <si>
    <t xml:space="preserve">    </t>
  </si>
  <si>
    <t xml:space="preserve">    If flg = False Then</t>
  </si>
  <si>
    <t xml:space="preserve">        Set wsheet2 = Sheets(Worksheets(i).Name)</t>
  </si>
  <si>
    <t xml:space="preserve">        MaxRow = wsheet2.Cells(Rows.Count, 1).End(xlUp).Row</t>
  </si>
  <si>
    <t xml:space="preserve">        For j = 8 To MaxRow</t>
  </si>
  <si>
    <t xml:space="preserve">            iRow = iRow + 1</t>
  </si>
  <si>
    <t xml:space="preserve">            wsheet1.Cells(iRow, 2) = Worksheets(i).Name</t>
  </si>
  <si>
    <t xml:space="preserve">            wsheet1.Cells(iRow, 3) = wsheet2.Cells(j, 3)</t>
  </si>
  <si>
    <t xml:space="preserve">            wsheet1.Cells(iRow, 4) = wsheet2.Cells(j, 13)</t>
  </si>
  <si>
    <t xml:space="preserve">            wsheet1.Cells(iRow, 5) = wsheet2.Cells(j, 27)</t>
  </si>
  <si>
    <t xml:space="preserve">            wsheet1.Cells(iRow, 6) = wsheet2.Cells(j, 31)</t>
  </si>
  <si>
    <t xml:space="preserve">            If wsheet2.Cells(j, 3).Interior.Color = RGB(191, 191, 191) Then</t>
  </si>
  <si>
    <t xml:space="preserve">                wsheet1.Cells(iRow, 9) = "×"</t>
  </si>
  <si>
    <t xml:space="preserve">            End If</t>
  </si>
  <si>
    <t xml:space="preserve">            If wsheet2.Cells(j, 3).Interior.Color = RGB(255, 204, 255) Then</t>
  </si>
  <si>
    <t xml:space="preserve">                wsheet1.Cells(iRow, 9) = "●"</t>
  </si>
  <si>
    <t xml:space="preserve">            If wsheet2.Cells(j, 3).Interior.Color = RGB(255, 255, 255) Then</t>
  </si>
  <si>
    <t xml:space="preserve">                wsheet1.Cells(iRow, 9) = "○"</t>
  </si>
  <si>
    <t xml:space="preserve">                </t>
  </si>
  <si>
    <t xml:space="preserve">        Next j</t>
  </si>
  <si>
    <t>Next i</t>
  </si>
  <si>
    <t>End Sub</t>
  </si>
  <si>
    <t xml:space="preserve">    If Worksheets(i).Name = "項目一覧 (項目別)" Then</t>
  </si>
  <si>
    <t xml:space="preserve">    If Worksheets(i).Name = "マクロ" Then</t>
  </si>
  <si>
    <t>For i = 1 To Worksheets.Count  '</t>
  </si>
  <si>
    <t xml:space="preserve">    If Worksheets(i).Name = "Salesforce連携一覧" Then</t>
  </si>
  <si>
    <t xml:space="preserve">    If Worksheets(i).Name = "施設担当者" Then</t>
  </si>
  <si>
    <t xml:space="preserve">    If Worksheets(i).Name = "ユーザ" Then</t>
  </si>
  <si>
    <t xml:space="preserve">            wsheet1.Cells(iRow, 7) = wsheet2.Cells(j, 38)</t>
  </si>
  <si>
    <t xml:space="preserve">            wsheet1.Cells(iRow, 8) = wsheet2.Cells(j, 39)</t>
  </si>
  <si>
    <t>Sub 項目編集()</t>
  </si>
  <si>
    <t>Dim MaxRowj  As Integer</t>
  </si>
  <si>
    <t>Dim sSheetName As String</t>
  </si>
  <si>
    <t>Set wsheet1 = Sheets("項目一覧 (項目別)")</t>
  </si>
  <si>
    <t>MaxRow = wsheet1.Cells(Rows.Count, 1).End(xlUp).Row</t>
  </si>
  <si>
    <t>For i = 4 To MaxRow</t>
  </si>
  <si>
    <t xml:space="preserve">    sSheetName = wsheet1.Cells(i, 2)</t>
  </si>
  <si>
    <t xml:space="preserve">    Set wsheet2 = Sheets(sSheetName)</t>
  </si>
  <si>
    <t xml:space="preserve">    MaxRowj = wsheet2.Cells(Rows.Count, 1).End(xlUp).Row</t>
  </si>
  <si>
    <t xml:space="preserve">    For j = 1 To MaxRowj</t>
  </si>
  <si>
    <t xml:space="preserve">        If Trim(wsheet1.Cells(i, 3)) = Trim(wsheet2.Cells(j, 3)) Then</t>
  </si>
  <si>
    <t xml:space="preserve">            wsheet2.Cells(j, 13) = wsheet1.Cells(i, 4)</t>
  </si>
  <si>
    <t xml:space="preserve">            wsheet2.Cells(j, 27) = wsheet1.Cells(i, 5)</t>
  </si>
  <si>
    <t xml:space="preserve">            wsheet2.Cells(j, 31) = wsheet1.Cells(i, 6)</t>
  </si>
  <si>
    <t xml:space="preserve">            wsheet2.Cells(j, 38) = wsheet1.Cells(i, 7)</t>
  </si>
  <si>
    <t xml:space="preserve">            If wsheet1.Cells(i, 8) &lt;&gt; "" Then</t>
  </si>
  <si>
    <t xml:space="preserve">                wsheet2.Cells(j, 39) = wsheet1.Cells(i, 8)</t>
  </si>
  <si>
    <t xml:space="preserve">            Else</t>
  </si>
  <si>
    <t xml:space="preserve">                wsheet2.Cells(j, 39) = ""</t>
  </si>
  <si>
    <t xml:space="preserve">            Exit For</t>
  </si>
  <si>
    <t xml:space="preserve">        End If</t>
  </si>
  <si>
    <t xml:space="preserve">    Next j</t>
  </si>
  <si>
    <t>*</t>
    <phoneticPr fontId="12"/>
  </si>
  <si>
    <t>MsgBox ("完了")</t>
  </si>
  <si>
    <t>日付</t>
  </si>
  <si>
    <t>№</t>
    <phoneticPr fontId="12"/>
  </si>
  <si>
    <t>テーブル</t>
    <phoneticPr fontId="12"/>
  </si>
  <si>
    <t>項目名</t>
  </si>
  <si>
    <t>項目ID</t>
  </si>
  <si>
    <t>型名</t>
  </si>
  <si>
    <t>型</t>
  </si>
  <si>
    <t>整数</t>
  </si>
  <si>
    <t>小数</t>
  </si>
  <si>
    <t>必要/不要</t>
    <rPh sb="0" eb="2">
      <t>ヒツヨウ</t>
    </rPh>
    <rPh sb="3" eb="5">
      <t>フヨウ</t>
    </rPh>
    <phoneticPr fontId="12"/>
  </si>
  <si>
    <t>新基幹システム</t>
    <phoneticPr fontId="12"/>
  </si>
  <si>
    <t>システム名</t>
    <rPh sb="4" eb="5">
      <t>メイ</t>
    </rPh>
    <phoneticPr fontId="13"/>
  </si>
  <si>
    <t>業務分類名</t>
    <rPh sb="0" eb="2">
      <t>ギョウム</t>
    </rPh>
    <rPh sb="2" eb="4">
      <t>ブンルイ</t>
    </rPh>
    <rPh sb="4" eb="5">
      <t>メイ</t>
    </rPh>
    <phoneticPr fontId="13"/>
  </si>
  <si>
    <t>テーブル項目定義</t>
    <rPh sb="6" eb="8">
      <t>テイギ</t>
    </rPh>
    <phoneticPr fontId="13"/>
  </si>
  <si>
    <t>№</t>
    <phoneticPr fontId="13"/>
  </si>
  <si>
    <t>テーブル概要</t>
    <rPh sb="4" eb="6">
      <t>ガイヨウ</t>
    </rPh>
    <phoneticPr fontId="12"/>
  </si>
  <si>
    <t>テーブル分類名</t>
    <rPh sb="4" eb="6">
      <t>ブンルイ</t>
    </rPh>
    <rPh sb="6" eb="7">
      <t>メイ</t>
    </rPh>
    <phoneticPr fontId="13"/>
  </si>
  <si>
    <t>トランザクション</t>
    <phoneticPr fontId="12"/>
  </si>
  <si>
    <t>テーブル名</t>
    <rPh sb="4" eb="5">
      <t>メイ</t>
    </rPh>
    <phoneticPr fontId="13"/>
  </si>
  <si>
    <t>テーブルID</t>
    <phoneticPr fontId="13"/>
  </si>
  <si>
    <t>varchar</t>
  </si>
  <si>
    <t>数値</t>
  </si>
  <si>
    <t>datetime</t>
  </si>
  <si>
    <t>numeric</t>
  </si>
  <si>
    <t>重量</t>
    <rPh sb="0" eb="2">
      <t>ジュウリョウ</t>
    </rPh>
    <phoneticPr fontId="12"/>
  </si>
  <si>
    <t>文字</t>
  </si>
  <si>
    <t>登録者コード</t>
  </si>
  <si>
    <t>登録日</t>
  </si>
  <si>
    <t>更新者コード</t>
  </si>
  <si>
    <t>更新日</t>
  </si>
  <si>
    <t>1</t>
    <phoneticPr fontId="12"/>
  </si>
  <si>
    <t>パレット№</t>
  </si>
  <si>
    <t>フルパレット№</t>
    <phoneticPr fontId="12"/>
  </si>
  <si>
    <t>項目コメント</t>
    <rPh sb="0" eb="2">
      <t>コウモク</t>
    </rPh>
    <phoneticPr fontId="12"/>
  </si>
  <si>
    <t>業務分類</t>
    <rPh sb="0" eb="2">
      <t>ギョウム</t>
    </rPh>
    <rPh sb="2" eb="4">
      <t>ブンルイ</t>
    </rPh>
    <phoneticPr fontId="12"/>
  </si>
  <si>
    <t>製品番号</t>
  </si>
  <si>
    <t>品種コード</t>
  </si>
  <si>
    <t>品名</t>
  </si>
  <si>
    <t>数量単位</t>
  </si>
  <si>
    <t>保管場所コード</t>
  </si>
  <si>
    <t>保管場所</t>
  </si>
  <si>
    <t>数量</t>
    <phoneticPr fontId="12"/>
  </si>
  <si>
    <t>トスコ</t>
    <phoneticPr fontId="12"/>
  </si>
  <si>
    <t>K.在庫</t>
  </si>
  <si>
    <t>ロットトレース情報</t>
  </si>
  <si>
    <t>J.製品棚卸／K.在庫</t>
    <rPh sb="9" eb="11">
      <t>ザイコ</t>
    </rPh>
    <phoneticPr fontId="12"/>
  </si>
  <si>
    <t>トスコ</t>
    <phoneticPr fontId="12"/>
  </si>
  <si>
    <t>製品分類コード</t>
  </si>
  <si>
    <t>数量</t>
  </si>
  <si>
    <t>生産実績数量（受入）</t>
  </si>
  <si>
    <t>出荷実績数量（払出）</t>
  </si>
  <si>
    <t>資材受入数量（購入品）</t>
  </si>
  <si>
    <t>使用実績数量（払出）</t>
  </si>
  <si>
    <t>使用実績重量（払出）</t>
  </si>
  <si>
    <t>品名</t>
    <phoneticPr fontId="15"/>
  </si>
  <si>
    <t>文字</t>
    <phoneticPr fontId="12"/>
  </si>
  <si>
    <t>棚卸情報</t>
    <rPh sb="0" eb="2">
      <t>タナオロシ</t>
    </rPh>
    <phoneticPr fontId="12"/>
  </si>
  <si>
    <t>ロット№</t>
    <phoneticPr fontId="12"/>
  </si>
  <si>
    <t>品種コード</t>
    <rPh sb="0" eb="2">
      <t>ヒンシュ</t>
    </rPh>
    <phoneticPr fontId="12"/>
  </si>
  <si>
    <t>本数</t>
    <rPh sb="0" eb="2">
      <t>ホンスウ</t>
    </rPh>
    <phoneticPr fontId="12"/>
  </si>
  <si>
    <t>受注登録</t>
    <rPh sb="0" eb="2">
      <t>ジュチュウ</t>
    </rPh>
    <rPh sb="2" eb="4">
      <t>トウロク</t>
    </rPh>
    <phoneticPr fontId="12"/>
  </si>
  <si>
    <t>生産指示</t>
    <rPh sb="0" eb="4">
      <t>セイサンシジ</t>
    </rPh>
    <phoneticPr fontId="12"/>
  </si>
  <si>
    <t>加工実績</t>
    <rPh sb="0" eb="2">
      <t>カコウ</t>
    </rPh>
    <rPh sb="2" eb="4">
      <t>ジツセキ</t>
    </rPh>
    <phoneticPr fontId="12"/>
  </si>
  <si>
    <t>仕上実績</t>
    <rPh sb="0" eb="2">
      <t>シアゲ</t>
    </rPh>
    <rPh sb="2" eb="4">
      <t>ジツセキ</t>
    </rPh>
    <phoneticPr fontId="12"/>
  </si>
  <si>
    <t>在庫移動指示</t>
    <rPh sb="0" eb="2">
      <t>ザイコ</t>
    </rPh>
    <rPh sb="2" eb="6">
      <t>イドウシジ</t>
    </rPh>
    <phoneticPr fontId="12"/>
  </si>
  <si>
    <t>抄紙実績</t>
    <rPh sb="0" eb="2">
      <t>ショウシ</t>
    </rPh>
    <rPh sb="2" eb="4">
      <t>ジツセキ</t>
    </rPh>
    <phoneticPr fontId="12"/>
  </si>
  <si>
    <t>在庫移動実績</t>
    <rPh sb="0" eb="2">
      <t>ザイコ</t>
    </rPh>
    <rPh sb="2" eb="4">
      <t>イドウ</t>
    </rPh>
    <rPh sb="4" eb="6">
      <t>ジッセキ</t>
    </rPh>
    <phoneticPr fontId="12"/>
  </si>
  <si>
    <t>出荷指示</t>
    <rPh sb="0" eb="2">
      <t>シュッカ</t>
    </rPh>
    <rPh sb="2" eb="4">
      <t>シジ</t>
    </rPh>
    <phoneticPr fontId="12"/>
  </si>
  <si>
    <t>出荷実績</t>
    <rPh sb="0" eb="2">
      <t>シュッカ</t>
    </rPh>
    <rPh sb="2" eb="4">
      <t>ジツセキ</t>
    </rPh>
    <phoneticPr fontId="12"/>
  </si>
  <si>
    <t>フルロット番号</t>
    <rPh sb="5" eb="7">
      <t>バンゴウ</t>
    </rPh>
    <phoneticPr fontId="12"/>
  </si>
  <si>
    <t>年月マシン</t>
    <rPh sb="0" eb="2">
      <t>ネンゲツ</t>
    </rPh>
    <phoneticPr fontId="12"/>
  </si>
  <si>
    <t>パレット№</t>
    <phoneticPr fontId="12"/>
  </si>
  <si>
    <t>機能</t>
    <rPh sb="0" eb="2">
      <t>キノウ</t>
    </rPh>
    <phoneticPr fontId="12"/>
  </si>
  <si>
    <t>パターン</t>
    <phoneticPr fontId="12"/>
  </si>
  <si>
    <t>伝票№</t>
    <rPh sb="0" eb="2">
      <t>デンピョウ</t>
    </rPh>
    <phoneticPr fontId="12"/>
  </si>
  <si>
    <t>受注№</t>
    <rPh sb="0" eb="2">
      <t>ジュチュウ</t>
    </rPh>
    <phoneticPr fontId="12"/>
  </si>
  <si>
    <t>引当本数</t>
    <rPh sb="0" eb="2">
      <t>ヒキアテ</t>
    </rPh>
    <rPh sb="2" eb="4">
      <t>ホンスウ</t>
    </rPh>
    <phoneticPr fontId="12"/>
  </si>
  <si>
    <t>生産計画№</t>
    <rPh sb="0" eb="2">
      <t>セイサン</t>
    </rPh>
    <rPh sb="2" eb="4">
      <t>ケイカク</t>
    </rPh>
    <phoneticPr fontId="12"/>
  </si>
  <si>
    <t>生産指示№</t>
    <rPh sb="0" eb="2">
      <t>セイサン</t>
    </rPh>
    <rPh sb="2" eb="4">
      <t>シジ</t>
    </rPh>
    <phoneticPr fontId="12"/>
  </si>
  <si>
    <t>在庫移動指示№</t>
    <rPh sb="0" eb="2">
      <t>ザイコ</t>
    </rPh>
    <rPh sb="2" eb="6">
      <t>イドウシジ</t>
    </rPh>
    <phoneticPr fontId="12"/>
  </si>
  <si>
    <t>出荷指示№</t>
    <rPh sb="0" eb="4">
      <t>シュッカシジ</t>
    </rPh>
    <phoneticPr fontId="12"/>
  </si>
  <si>
    <t>実績本数</t>
    <rPh sb="0" eb="2">
      <t>ジッセキ</t>
    </rPh>
    <rPh sb="2" eb="4">
      <t>ホンスウ</t>
    </rPh>
    <phoneticPr fontId="12"/>
  </si>
  <si>
    <t>フルロット番号（仮引当）</t>
    <rPh sb="5" eb="7">
      <t>バンゴウ</t>
    </rPh>
    <rPh sb="8" eb="9">
      <t>カリ</t>
    </rPh>
    <rPh sb="9" eb="11">
      <t>ヒキアテ</t>
    </rPh>
    <phoneticPr fontId="12"/>
  </si>
  <si>
    <t>保管場所</t>
    <rPh sb="0" eb="4">
      <t>ホカンバショ</t>
    </rPh>
    <phoneticPr fontId="12"/>
  </si>
  <si>
    <t>移動本数</t>
    <rPh sb="0" eb="4">
      <t>イドウホンスウ</t>
    </rPh>
    <phoneticPr fontId="12"/>
  </si>
  <si>
    <t>移動先保管場所</t>
    <rPh sb="0" eb="3">
      <t>イドウサキ</t>
    </rPh>
    <rPh sb="3" eb="7">
      <t>ホカンバショ</t>
    </rPh>
    <phoneticPr fontId="12"/>
  </si>
  <si>
    <t>移動元保管場所</t>
    <rPh sb="0" eb="3">
      <t>イドウモト</t>
    </rPh>
    <rPh sb="3" eb="7">
      <t>ホカンバショ</t>
    </rPh>
    <phoneticPr fontId="12"/>
  </si>
  <si>
    <t>在庫計上日付</t>
    <rPh sb="0" eb="2">
      <t>ザイコ</t>
    </rPh>
    <rPh sb="2" eb="4">
      <t>ケイジョウ</t>
    </rPh>
    <rPh sb="4" eb="6">
      <t>ヒヅケ</t>
    </rPh>
    <phoneticPr fontId="12"/>
  </si>
  <si>
    <t>受注№に紐づく在庫予定情報を削除する</t>
    <rPh sb="0" eb="2">
      <t>ジュチュウ</t>
    </rPh>
    <rPh sb="4" eb="5">
      <t>ヒモ</t>
    </rPh>
    <rPh sb="7" eb="9">
      <t>ザイコ</t>
    </rPh>
    <rPh sb="9" eb="11">
      <t>ヨテイ</t>
    </rPh>
    <rPh sb="11" eb="13">
      <t>ジョウホウ</t>
    </rPh>
    <rPh sb="14" eb="16">
      <t>サクジョ</t>
    </rPh>
    <phoneticPr fontId="12"/>
  </si>
  <si>
    <t>在庫移動指示№に紐づく在庫予定情報を削除する</t>
    <rPh sb="0" eb="2">
      <t>ザイコ</t>
    </rPh>
    <rPh sb="2" eb="4">
      <t>イドウ</t>
    </rPh>
    <rPh sb="4" eb="6">
      <t>シジ</t>
    </rPh>
    <rPh sb="8" eb="9">
      <t>ヒモ</t>
    </rPh>
    <rPh sb="11" eb="13">
      <t>ザイコ</t>
    </rPh>
    <rPh sb="13" eb="15">
      <t>ヨテイ</t>
    </rPh>
    <rPh sb="15" eb="17">
      <t>ジョウホウ</t>
    </rPh>
    <rPh sb="18" eb="20">
      <t>サクジョ</t>
    </rPh>
    <phoneticPr fontId="12"/>
  </si>
  <si>
    <t>出荷指示№に紐づく在庫予定情報を削除する</t>
    <rPh sb="0" eb="2">
      <t>シュッカ</t>
    </rPh>
    <rPh sb="2" eb="4">
      <t>シジ</t>
    </rPh>
    <rPh sb="6" eb="7">
      <t>ヒモ</t>
    </rPh>
    <rPh sb="9" eb="11">
      <t>ザイコ</t>
    </rPh>
    <rPh sb="11" eb="13">
      <t>ヨテイ</t>
    </rPh>
    <rPh sb="13" eb="15">
      <t>ジョウホウ</t>
    </rPh>
    <rPh sb="16" eb="18">
      <t>サクジョ</t>
    </rPh>
    <phoneticPr fontId="12"/>
  </si>
  <si>
    <t>計画日</t>
    <rPh sb="0" eb="3">
      <t>ケイカクヒ</t>
    </rPh>
    <phoneticPr fontId="12"/>
  </si>
  <si>
    <t>出荷予定日</t>
    <rPh sb="0" eb="2">
      <t>シュッカ</t>
    </rPh>
    <rPh sb="2" eb="5">
      <t>ヨテイビ</t>
    </rPh>
    <phoneticPr fontId="12"/>
  </si>
  <si>
    <t>製品</t>
    <rPh sb="0" eb="2">
      <t>セイヒン</t>
    </rPh>
    <phoneticPr fontId="12"/>
  </si>
  <si>
    <t>製品在庫情報</t>
    <rPh sb="0" eb="2">
      <t>セイヒン</t>
    </rPh>
    <rPh sb="2" eb="4">
      <t>ザイコ</t>
    </rPh>
    <rPh sb="4" eb="6">
      <t>ジョウホウ</t>
    </rPh>
    <phoneticPr fontId="12"/>
  </si>
  <si>
    <t>製品在庫予定情報</t>
    <rPh sb="0" eb="2">
      <t>セイヒン</t>
    </rPh>
    <rPh sb="2" eb="4">
      <t>ザイコ</t>
    </rPh>
    <rPh sb="4" eb="6">
      <t>ヨテイ</t>
    </rPh>
    <rPh sb="6" eb="8">
      <t>ジョウホウ</t>
    </rPh>
    <phoneticPr fontId="12"/>
  </si>
  <si>
    <t>計画本数</t>
    <rPh sb="0" eb="2">
      <t>ケイカク</t>
    </rPh>
    <rPh sb="2" eb="4">
      <t>ホンスウ</t>
    </rPh>
    <phoneticPr fontId="12"/>
  </si>
  <si>
    <t>CM</t>
    <phoneticPr fontId="12"/>
  </si>
  <si>
    <t>SC</t>
    <phoneticPr fontId="12"/>
  </si>
  <si>
    <t>WD</t>
    <phoneticPr fontId="12"/>
  </si>
  <si>
    <t>CF</t>
    <phoneticPr fontId="12"/>
  </si>
  <si>
    <t>OK</t>
    <phoneticPr fontId="12"/>
  </si>
  <si>
    <t>PM</t>
    <phoneticPr fontId="12"/>
  </si>
  <si>
    <t>HC</t>
    <phoneticPr fontId="12"/>
  </si>
  <si>
    <t>外注加工</t>
    <rPh sb="0" eb="4">
      <t>ガイチュウカコウ</t>
    </rPh>
    <phoneticPr fontId="12"/>
  </si>
  <si>
    <t>生産計画</t>
    <rPh sb="0" eb="4">
      <t>セイサンケイカク</t>
    </rPh>
    <phoneticPr fontId="12"/>
  </si>
  <si>
    <t>原反</t>
    <rPh sb="0" eb="2">
      <t>ゲンタン</t>
    </rPh>
    <phoneticPr fontId="12"/>
  </si>
  <si>
    <t>生産実績</t>
    <rPh sb="0" eb="2">
      <t>セイサン</t>
    </rPh>
    <rPh sb="2" eb="4">
      <t>ジツセキ</t>
    </rPh>
    <phoneticPr fontId="12"/>
  </si>
  <si>
    <t>成型</t>
    <rPh sb="0" eb="2">
      <t>セイケイ</t>
    </rPh>
    <phoneticPr fontId="12"/>
  </si>
  <si>
    <t>包装</t>
    <rPh sb="0" eb="2">
      <t>ホウソウ</t>
    </rPh>
    <phoneticPr fontId="12"/>
  </si>
  <si>
    <t>入庫</t>
    <rPh sb="0" eb="2">
      <t>ニュウコ</t>
    </rPh>
    <phoneticPr fontId="12"/>
  </si>
  <si>
    <t>PK</t>
    <phoneticPr fontId="12"/>
  </si>
  <si>
    <t>生産計画№紐づく在庫予定情報の本数をマイナスする</t>
    <rPh sb="0" eb="2">
      <t>セイサン</t>
    </rPh>
    <rPh sb="2" eb="4">
      <t>ケイカク</t>
    </rPh>
    <rPh sb="5" eb="6">
      <t>ヒモ</t>
    </rPh>
    <rPh sb="8" eb="10">
      <t>ザイコ</t>
    </rPh>
    <rPh sb="10" eb="12">
      <t>ヨテイ</t>
    </rPh>
    <rPh sb="12" eb="14">
      <t>ジョウホウ</t>
    </rPh>
    <rPh sb="15" eb="17">
      <t>ホンスウ</t>
    </rPh>
    <phoneticPr fontId="12"/>
  </si>
  <si>
    <t>実績</t>
    <rPh sb="0" eb="2">
      <t>ジッセキ</t>
    </rPh>
    <phoneticPr fontId="12"/>
  </si>
  <si>
    <t>半製品</t>
    <rPh sb="0" eb="3">
      <t>ハンセイヒン</t>
    </rPh>
    <phoneticPr fontId="12"/>
  </si>
  <si>
    <t>※在庫情報ー在庫予定情報（但し、在庫移動指示は、移動元がマイナス、移動先がプラス）が予定を含めた在庫となる</t>
    <rPh sb="1" eb="3">
      <t>ザイコ</t>
    </rPh>
    <rPh sb="3" eb="5">
      <t>ジョウホウ</t>
    </rPh>
    <rPh sb="6" eb="8">
      <t>ザイコ</t>
    </rPh>
    <rPh sb="8" eb="10">
      <t>ヨテイ</t>
    </rPh>
    <rPh sb="10" eb="12">
      <t>ジョウホウ</t>
    </rPh>
    <rPh sb="42" eb="44">
      <t>ヨテイ</t>
    </rPh>
    <rPh sb="45" eb="46">
      <t>フク</t>
    </rPh>
    <rPh sb="48" eb="50">
      <t>ザイコ</t>
    </rPh>
    <phoneticPr fontId="12"/>
  </si>
  <si>
    <t>※CFの在庫単位はケース</t>
    <rPh sb="4" eb="6">
      <t>ザイコ</t>
    </rPh>
    <rPh sb="6" eb="8">
      <t>タンイ</t>
    </rPh>
    <phoneticPr fontId="12"/>
  </si>
  <si>
    <t>フルロット番号（内部的に仮引当）</t>
    <rPh sb="5" eb="7">
      <t>バンゴウ</t>
    </rPh>
    <rPh sb="8" eb="11">
      <t>ナイブテキ</t>
    </rPh>
    <rPh sb="12" eb="13">
      <t>カリ</t>
    </rPh>
    <rPh sb="13" eb="15">
      <t>ヒキアテ</t>
    </rPh>
    <phoneticPr fontId="12"/>
  </si>
  <si>
    <t>指示日</t>
    <rPh sb="0" eb="3">
      <t>シジヒ</t>
    </rPh>
    <phoneticPr fontId="12"/>
  </si>
  <si>
    <t>移動日</t>
    <rPh sb="0" eb="3">
      <t>イドウヒ</t>
    </rPh>
    <phoneticPr fontId="12"/>
  </si>
  <si>
    <t>出荷日</t>
    <rPh sb="0" eb="2">
      <t>シュッカ</t>
    </rPh>
    <rPh sb="2" eb="3">
      <t>ヒ</t>
    </rPh>
    <phoneticPr fontId="12"/>
  </si>
  <si>
    <t>※在庫計上日は、在庫推移時の日付</t>
    <rPh sb="1" eb="3">
      <t>ザイコ</t>
    </rPh>
    <rPh sb="3" eb="5">
      <t>ケイジョウ</t>
    </rPh>
    <rPh sb="5" eb="6">
      <t>ヒ</t>
    </rPh>
    <rPh sb="8" eb="10">
      <t>ザイコ</t>
    </rPh>
    <rPh sb="10" eb="12">
      <t>スイイ</t>
    </rPh>
    <rPh sb="12" eb="13">
      <t>ジ</t>
    </rPh>
    <rPh sb="14" eb="16">
      <t>ヒヅケ</t>
    </rPh>
    <phoneticPr fontId="12"/>
  </si>
  <si>
    <t>完了時点で生産計画№紐づく在庫予定情報を削除する</t>
    <rPh sb="0" eb="2">
      <t>カンリョウ</t>
    </rPh>
    <rPh sb="2" eb="4">
      <t>ジテン</t>
    </rPh>
    <rPh sb="5" eb="7">
      <t>セイサン</t>
    </rPh>
    <rPh sb="7" eb="9">
      <t>ケイカク</t>
    </rPh>
    <rPh sb="10" eb="11">
      <t>ヒモ</t>
    </rPh>
    <rPh sb="13" eb="15">
      <t>ザイコ</t>
    </rPh>
    <rPh sb="15" eb="17">
      <t>ヨテイ</t>
    </rPh>
    <rPh sb="17" eb="19">
      <t>ジョウホウ</t>
    </rPh>
    <rPh sb="20" eb="22">
      <t>サクジョ</t>
    </rPh>
    <phoneticPr fontId="12"/>
  </si>
  <si>
    <t>工程の保管場所</t>
    <rPh sb="0" eb="2">
      <t>コウテイ</t>
    </rPh>
    <rPh sb="3" eb="5">
      <t>ホカン</t>
    </rPh>
    <rPh sb="5" eb="7">
      <t>バショ</t>
    </rPh>
    <phoneticPr fontId="12"/>
  </si>
  <si>
    <t>※実績本数　黒：プラス　赤：マイナス</t>
    <rPh sb="1" eb="3">
      <t>ジッセキ</t>
    </rPh>
    <rPh sb="3" eb="5">
      <t>ホンスウ</t>
    </rPh>
    <rPh sb="6" eb="7">
      <t>クロ</t>
    </rPh>
    <rPh sb="12" eb="13">
      <t>アカ</t>
    </rPh>
    <phoneticPr fontId="12"/>
  </si>
  <si>
    <t>フルロット番号</t>
    <phoneticPr fontId="12"/>
  </si>
  <si>
    <t>フルロット番号（内部的に仮引当）
※変更時の考慮が必要</t>
    <rPh sb="5" eb="7">
      <t>バンゴウ</t>
    </rPh>
    <rPh sb="8" eb="11">
      <t>ナイブテキ</t>
    </rPh>
    <rPh sb="12" eb="13">
      <t>カリ</t>
    </rPh>
    <rPh sb="13" eb="15">
      <t>ヒキアテ</t>
    </rPh>
    <rPh sb="18" eb="21">
      <t>ヘンコウジ</t>
    </rPh>
    <rPh sb="22" eb="24">
      <t>コウリョ</t>
    </rPh>
    <rPh sb="25" eb="27">
      <t>ヒツヨウ</t>
    </rPh>
    <phoneticPr fontId="12"/>
  </si>
  <si>
    <t>資材受入数量（購入品）</t>
    <phoneticPr fontId="12"/>
  </si>
  <si>
    <t>仕入登録</t>
    <rPh sb="0" eb="2">
      <t>シイ</t>
    </rPh>
    <rPh sb="2" eb="4">
      <t>トウロク</t>
    </rPh>
    <phoneticPr fontId="12"/>
  </si>
  <si>
    <t>受入の保管場所</t>
    <phoneticPr fontId="12"/>
  </si>
  <si>
    <t>受入本数</t>
    <phoneticPr fontId="12"/>
  </si>
  <si>
    <t>発注登録</t>
    <rPh sb="0" eb="2">
      <t>ハッチュウ</t>
    </rPh>
    <rPh sb="2" eb="4">
      <t>トウロク</t>
    </rPh>
    <phoneticPr fontId="12"/>
  </si>
  <si>
    <t>資材在庫予定情報</t>
    <rPh sb="0" eb="2">
      <t>シザイ</t>
    </rPh>
    <rPh sb="2" eb="4">
      <t>ザイコ</t>
    </rPh>
    <rPh sb="4" eb="6">
      <t>ヨテイ</t>
    </rPh>
    <rPh sb="6" eb="8">
      <t>ジョウホウ</t>
    </rPh>
    <phoneticPr fontId="12"/>
  </si>
  <si>
    <t>薬品</t>
    <rPh sb="0" eb="2">
      <t>ヤクヒン</t>
    </rPh>
    <phoneticPr fontId="12"/>
  </si>
  <si>
    <t>原材料</t>
    <rPh sb="0" eb="3">
      <t>ゲンザイリョウ</t>
    </rPh>
    <phoneticPr fontId="12"/>
  </si>
  <si>
    <t>予定日</t>
    <rPh sb="0" eb="2">
      <t>ヨテイ</t>
    </rPh>
    <rPh sb="2" eb="3">
      <t>ビ</t>
    </rPh>
    <phoneticPr fontId="12"/>
  </si>
  <si>
    <t>備考</t>
    <rPh sb="0" eb="2">
      <t>ビコウ</t>
    </rPh>
    <phoneticPr fontId="12"/>
  </si>
  <si>
    <t>仕入</t>
    <rPh sb="0" eb="2">
      <t>シイレ</t>
    </rPh>
    <phoneticPr fontId="12"/>
  </si>
  <si>
    <t>入力が無い場合もある。</t>
    <rPh sb="0" eb="2">
      <t>ニュウリョク</t>
    </rPh>
    <phoneticPr fontId="12"/>
  </si>
  <si>
    <t>棚卸存在フラグ</t>
    <rPh sb="0" eb="2">
      <t>タナオロシ</t>
    </rPh>
    <rPh sb="2" eb="4">
      <t>ソンザイ</t>
    </rPh>
    <phoneticPr fontId="12"/>
  </si>
  <si>
    <t>0:存在しない　1:存在する</t>
    <rPh sb="2" eb="4">
      <t>ソンザイ</t>
    </rPh>
    <rPh sb="10" eb="12">
      <t>ソンザイ</t>
    </rPh>
    <phoneticPr fontId="12"/>
  </si>
  <si>
    <t>保管場所一致フラグ</t>
    <rPh sb="0" eb="2">
      <t>ホカン</t>
    </rPh>
    <rPh sb="2" eb="4">
      <t>バショ</t>
    </rPh>
    <rPh sb="4" eb="6">
      <t>イッチ</t>
    </rPh>
    <phoneticPr fontId="12"/>
  </si>
  <si>
    <t>0:不一致　1:一致</t>
    <rPh sb="2" eb="5">
      <t>フイッチ</t>
    </rPh>
    <rPh sb="8" eb="10">
      <t>イッチ</t>
    </rPh>
    <phoneticPr fontId="12"/>
  </si>
  <si>
    <t>在庫情報存在フラグ</t>
    <rPh sb="0" eb="2">
      <t>ザイコ</t>
    </rPh>
    <rPh sb="2" eb="4">
      <t>ジョウホウ</t>
    </rPh>
    <rPh sb="4" eb="6">
      <t>ソンザイ</t>
    </rPh>
    <phoneticPr fontId="12"/>
  </si>
  <si>
    <t>資材在庫情報</t>
  </si>
  <si>
    <t>資材在庫予定情報</t>
    <phoneticPr fontId="12"/>
  </si>
  <si>
    <t>資材（原材料・薬品）の在庫を管理するテーブル</t>
    <rPh sb="0" eb="2">
      <t>シザイ</t>
    </rPh>
    <rPh sb="3" eb="6">
      <t>ゲンザイリョウ</t>
    </rPh>
    <rPh sb="7" eb="9">
      <t>ヤクヒン</t>
    </rPh>
    <rPh sb="11" eb="13">
      <t>ザイコ</t>
    </rPh>
    <rPh sb="14" eb="16">
      <t>カンリ</t>
    </rPh>
    <phoneticPr fontId="12"/>
  </si>
  <si>
    <t>資材（原材料・薬品）の追加予定と減少予定を管理するテーブル</t>
    <rPh sb="0" eb="2">
      <t>シザイ</t>
    </rPh>
    <rPh sb="3" eb="6">
      <t>ゲンザイリョウ</t>
    </rPh>
    <rPh sb="7" eb="9">
      <t>ヤクヒン</t>
    </rPh>
    <rPh sb="11" eb="13">
      <t>ツイカ</t>
    </rPh>
    <rPh sb="13" eb="15">
      <t>ヨテイ</t>
    </rPh>
    <rPh sb="16" eb="18">
      <t>ゲンショウ</t>
    </rPh>
    <rPh sb="18" eb="20">
      <t>ヨテイ</t>
    </rPh>
    <rPh sb="21" eb="23">
      <t>カンリ</t>
    </rPh>
    <phoneticPr fontId="12"/>
  </si>
  <si>
    <t>資材在庫情報</t>
    <phoneticPr fontId="12"/>
  </si>
  <si>
    <t>数量</t>
    <rPh sb="0" eb="2">
      <t>スウリョウ</t>
    </rPh>
    <phoneticPr fontId="12"/>
  </si>
  <si>
    <t>注文済み（注文書を発送済み）の段階で作成・品種コードが入力されている場合かつ在庫管理対象の場合</t>
    <rPh sb="0" eb="2">
      <t>チュウモン</t>
    </rPh>
    <rPh sb="2" eb="3">
      <t>ズ</t>
    </rPh>
    <rPh sb="5" eb="8">
      <t>チュウモンショ</t>
    </rPh>
    <rPh sb="9" eb="11">
      <t>ハッソウ</t>
    </rPh>
    <rPh sb="11" eb="12">
      <t>ズ</t>
    </rPh>
    <rPh sb="15" eb="17">
      <t>ダンカイ</t>
    </rPh>
    <rPh sb="18" eb="20">
      <t>サクセイ</t>
    </rPh>
    <rPh sb="21" eb="23">
      <t>ヒンシュ</t>
    </rPh>
    <rPh sb="27" eb="29">
      <t>ニュウリョク</t>
    </rPh>
    <rPh sb="34" eb="36">
      <t>バアイ</t>
    </rPh>
    <rPh sb="38" eb="40">
      <t>ザイコ</t>
    </rPh>
    <rPh sb="40" eb="42">
      <t>カンリ</t>
    </rPh>
    <rPh sb="42" eb="44">
      <t>タイショウ</t>
    </rPh>
    <rPh sb="45" eb="47">
      <t>バアイ</t>
    </rPh>
    <phoneticPr fontId="12"/>
  </si>
  <si>
    <t>発注№・発注明細№</t>
    <rPh sb="0" eb="2">
      <t>ハッチュウ</t>
    </rPh>
    <rPh sb="4" eb="6">
      <t>ハッチュウ</t>
    </rPh>
    <rPh sb="6" eb="8">
      <t>メイサイ</t>
    </rPh>
    <phoneticPr fontId="12"/>
  </si>
  <si>
    <t>納入先</t>
    <rPh sb="0" eb="2">
      <t>ノウニュウ</t>
    </rPh>
    <rPh sb="2" eb="3">
      <t>サキ</t>
    </rPh>
    <phoneticPr fontId="12"/>
  </si>
  <si>
    <t>計算した値</t>
    <rPh sb="0" eb="2">
      <t>ケイサン</t>
    </rPh>
    <rPh sb="4" eb="5">
      <t>アタイ</t>
    </rPh>
    <phoneticPr fontId="12"/>
  </si>
  <si>
    <t>数量単位</t>
    <rPh sb="0" eb="2">
      <t>スウリョウ</t>
    </rPh>
    <rPh sb="2" eb="4">
      <t>タンイ</t>
    </rPh>
    <phoneticPr fontId="12"/>
  </si>
  <si>
    <t>数量単位</t>
    <rPh sb="0" eb="4">
      <t>スウリョウタンイ</t>
    </rPh>
    <phoneticPr fontId="12"/>
  </si>
  <si>
    <t>（処理）</t>
    <rPh sb="1" eb="3">
      <t>ショリ</t>
    </rPh>
    <phoneticPr fontId="12"/>
  </si>
  <si>
    <t>削除</t>
    <rPh sb="0" eb="2">
      <t>サクジョ</t>
    </rPh>
    <phoneticPr fontId="12"/>
  </si>
  <si>
    <t>数量単位</t>
    <rPh sb="0" eb="2">
      <t>スウリョウ</t>
    </rPh>
    <rPh sb="2" eb="4">
      <t>タンイ</t>
    </rPh>
    <phoneticPr fontId="12"/>
  </si>
  <si>
    <t>重量</t>
    <rPh sb="0" eb="2">
      <t>ジュウリョウ</t>
    </rPh>
    <phoneticPr fontId="12"/>
  </si>
  <si>
    <t>使用実績登録（原材料）</t>
    <rPh sb="0" eb="2">
      <t>シヨウ</t>
    </rPh>
    <rPh sb="2" eb="4">
      <t>ジッセキ</t>
    </rPh>
    <rPh sb="4" eb="6">
      <t>トウロク</t>
    </rPh>
    <rPh sb="7" eb="10">
      <t>ゲンザイリョウ</t>
    </rPh>
    <phoneticPr fontId="12"/>
  </si>
  <si>
    <t>追加</t>
    <rPh sb="0" eb="2">
      <t>ツイカ</t>
    </rPh>
    <phoneticPr fontId="12"/>
  </si>
  <si>
    <t>使用実績登録（薬品）</t>
    <rPh sb="0" eb="4">
      <t>シヨウジッセキ</t>
    </rPh>
    <rPh sb="7" eb="9">
      <t>ヤクヒン</t>
    </rPh>
    <phoneticPr fontId="12"/>
  </si>
  <si>
    <t>単位重量</t>
    <rPh sb="0" eb="2">
      <t>タンイ</t>
    </rPh>
    <rPh sb="2" eb="4">
      <t>ジュウリョウ</t>
    </rPh>
    <phoneticPr fontId="12"/>
  </si>
  <si>
    <t>単位</t>
    <rPh sb="0" eb="2">
      <t>タンイ</t>
    </rPh>
    <phoneticPr fontId="12"/>
  </si>
  <si>
    <t>単位重量</t>
    <phoneticPr fontId="12"/>
  </si>
  <si>
    <t>数量</t>
    <rPh sb="0" eb="2">
      <t>スウリョウ</t>
    </rPh>
    <phoneticPr fontId="12"/>
  </si>
  <si>
    <t>重量</t>
    <rPh sb="0" eb="2">
      <t>ジュウリョウ</t>
    </rPh>
    <phoneticPr fontId="12"/>
  </si>
  <si>
    <t>数量合計</t>
    <rPh sb="0" eb="2">
      <t>スウリョウ</t>
    </rPh>
    <rPh sb="2" eb="4">
      <t>ゴウケイ</t>
    </rPh>
    <phoneticPr fontId="12"/>
  </si>
  <si>
    <t>※資材在庫管理・資材在庫予定管理の対象品種コードは　品種マスタの品種区分が「資材」かつ在庫管理区分が「あり」の品種コード</t>
    <rPh sb="1" eb="3">
      <t>シザイ</t>
    </rPh>
    <rPh sb="3" eb="5">
      <t>ザイコ</t>
    </rPh>
    <rPh sb="5" eb="7">
      <t>カンリ</t>
    </rPh>
    <rPh sb="10" eb="12">
      <t>ザイコ</t>
    </rPh>
    <rPh sb="12" eb="14">
      <t>ヨテイ</t>
    </rPh>
    <rPh sb="14" eb="16">
      <t>カンリ</t>
    </rPh>
    <rPh sb="17" eb="19">
      <t>タイショウ</t>
    </rPh>
    <rPh sb="19" eb="21">
      <t>ヒンシュ</t>
    </rPh>
    <rPh sb="26" eb="28">
      <t>ヒンシュ</t>
    </rPh>
    <rPh sb="32" eb="34">
      <t>ヒンシュ</t>
    </rPh>
    <rPh sb="34" eb="36">
      <t>クブン</t>
    </rPh>
    <rPh sb="38" eb="40">
      <t>シザイ</t>
    </rPh>
    <rPh sb="43" eb="45">
      <t>ザイコ</t>
    </rPh>
    <rPh sb="45" eb="47">
      <t>カンリ</t>
    </rPh>
    <rPh sb="47" eb="49">
      <t>クブン</t>
    </rPh>
    <rPh sb="55" eb="57">
      <t>ヒンシュ</t>
    </rPh>
    <phoneticPr fontId="12"/>
  </si>
  <si>
    <t>※資材在庫管理・資材在庫予定管理の対象は品種コードが入力されている情報のみ</t>
    <rPh sb="1" eb="3">
      <t>シザイ</t>
    </rPh>
    <rPh sb="3" eb="5">
      <t>ザイコ</t>
    </rPh>
    <rPh sb="5" eb="7">
      <t>カンリ</t>
    </rPh>
    <rPh sb="8" eb="10">
      <t>シザイ</t>
    </rPh>
    <rPh sb="10" eb="12">
      <t>ザイコ</t>
    </rPh>
    <rPh sb="12" eb="14">
      <t>ヨテイ</t>
    </rPh>
    <rPh sb="14" eb="16">
      <t>カンリ</t>
    </rPh>
    <rPh sb="17" eb="19">
      <t>タイショウ</t>
    </rPh>
    <rPh sb="20" eb="22">
      <t>ヒンシュ</t>
    </rPh>
    <rPh sb="26" eb="28">
      <t>ニュウリョク</t>
    </rPh>
    <rPh sb="33" eb="35">
      <t>ジョウホウ</t>
    </rPh>
    <phoneticPr fontId="12"/>
  </si>
  <si>
    <t>※資材在庫情報ー資材在庫予定情報（但し、在庫移動指示は、移動元がマイナス、移動先がプラス）が予定を含めた在庫となる</t>
    <rPh sb="3" eb="5">
      <t>ザイコ</t>
    </rPh>
    <rPh sb="5" eb="7">
      <t>ジョウホウ</t>
    </rPh>
    <rPh sb="10" eb="12">
      <t>ザイコ</t>
    </rPh>
    <rPh sb="12" eb="14">
      <t>ヨテイ</t>
    </rPh>
    <rPh sb="14" eb="16">
      <t>ジョウホウ</t>
    </rPh>
    <rPh sb="46" eb="48">
      <t>ヨテイ</t>
    </rPh>
    <rPh sb="49" eb="50">
      <t>フク</t>
    </rPh>
    <rPh sb="52" eb="54">
      <t>ザイコ</t>
    </rPh>
    <phoneticPr fontId="12"/>
  </si>
  <si>
    <t>①　生産指示作成時と生産計画終了時に生産計画№単位で一括で登録・削除する。</t>
    <rPh sb="2" eb="4">
      <t>セイサン</t>
    </rPh>
    <rPh sb="4" eb="6">
      <t>シジ</t>
    </rPh>
    <rPh sb="6" eb="8">
      <t>サクセイ</t>
    </rPh>
    <rPh sb="8" eb="9">
      <t>ジ</t>
    </rPh>
    <rPh sb="10" eb="12">
      <t>セイサン</t>
    </rPh>
    <rPh sb="12" eb="14">
      <t>ケイカク</t>
    </rPh>
    <rPh sb="14" eb="16">
      <t>シュウリョウ</t>
    </rPh>
    <rPh sb="16" eb="17">
      <t>ジ</t>
    </rPh>
    <rPh sb="18" eb="23">
      <t>セイサンケイカクバンゴウ</t>
    </rPh>
    <rPh sb="23" eb="25">
      <t>タンイ</t>
    </rPh>
    <rPh sb="26" eb="28">
      <t>イッカツ</t>
    </rPh>
    <rPh sb="29" eb="31">
      <t>トウロク</t>
    </rPh>
    <rPh sb="32" eb="34">
      <t>サクジョ</t>
    </rPh>
    <phoneticPr fontId="12"/>
  </si>
  <si>
    <t>設備</t>
    <rPh sb="0" eb="2">
      <t>セツビ</t>
    </rPh>
    <phoneticPr fontId="12"/>
  </si>
  <si>
    <t>数量単位コード</t>
    <phoneticPr fontId="12"/>
  </si>
  <si>
    <t>追加予定？</t>
    <rPh sb="0" eb="2">
      <t>ツイカ</t>
    </rPh>
    <rPh sb="2" eb="4">
      <t>ヨテイ</t>
    </rPh>
    <phoneticPr fontId="12"/>
  </si>
  <si>
    <t>②　生産指示作成時と使用実績登録時に品種コード単位で随時更新・削除する（全部使用されない場合、不要なデータが残る）</t>
    <rPh sb="10" eb="14">
      <t>シヨウジッセキ</t>
    </rPh>
    <rPh sb="14" eb="17">
      <t>トウロクジ</t>
    </rPh>
    <rPh sb="18" eb="20">
      <t>ヒンシュ</t>
    </rPh>
    <rPh sb="23" eb="25">
      <t>タンイ</t>
    </rPh>
    <rPh sb="26" eb="28">
      <t>ズイジ</t>
    </rPh>
    <rPh sb="28" eb="30">
      <t>コウシン</t>
    </rPh>
    <rPh sb="31" eb="33">
      <t>サクジョ</t>
    </rPh>
    <rPh sb="36" eb="38">
      <t>ゼンブ</t>
    </rPh>
    <rPh sb="38" eb="40">
      <t>シヨウ</t>
    </rPh>
    <rPh sb="44" eb="46">
      <t>バアイ</t>
    </rPh>
    <rPh sb="47" eb="49">
      <t>フヨウ</t>
    </rPh>
    <rPh sb="54" eb="55">
      <t>ノコ</t>
    </rPh>
    <phoneticPr fontId="12"/>
  </si>
  <si>
    <t>③　資材在庫予定では管理しない</t>
    <rPh sb="2" eb="4">
      <t>シザイ</t>
    </rPh>
    <rPh sb="4" eb="6">
      <t>ザイコ</t>
    </rPh>
    <rPh sb="6" eb="8">
      <t>ヨテイ</t>
    </rPh>
    <rPh sb="10" eb="12">
      <t>カンリ</t>
    </rPh>
    <phoneticPr fontId="12"/>
  </si>
  <si>
    <t>※生産計画関連については以下のパターンのどれかで対応予定（③で対応予定）</t>
    <rPh sb="1" eb="5">
      <t>セイサンケイカク</t>
    </rPh>
    <rPh sb="5" eb="7">
      <t>カンレン</t>
    </rPh>
    <rPh sb="12" eb="14">
      <t>イカ</t>
    </rPh>
    <rPh sb="24" eb="28">
      <t>タイオウヨテイ</t>
    </rPh>
    <rPh sb="31" eb="35">
      <t>タイオウヨテイ</t>
    </rPh>
    <phoneticPr fontId="12"/>
  </si>
  <si>
    <t>単位はKg</t>
    <rPh sb="0" eb="2">
      <t>タンイ</t>
    </rPh>
    <phoneticPr fontId="12"/>
  </si>
  <si>
    <t>設備コード</t>
    <phoneticPr fontId="12"/>
  </si>
  <si>
    <t>数量単位</t>
    <phoneticPr fontId="12"/>
  </si>
  <si>
    <t>単位重量コード</t>
    <phoneticPr fontId="12"/>
  </si>
  <si>
    <t>金額</t>
    <rPh sb="0" eb="2">
      <t>キンガク</t>
    </rPh>
    <phoneticPr fontId="12"/>
  </si>
  <si>
    <t>締月</t>
    <phoneticPr fontId="12"/>
  </si>
  <si>
    <t>1:受入 2:払出</t>
    <rPh sb="2" eb="4">
      <t>ウケイレ</t>
    </rPh>
    <rPh sb="7" eb="9">
      <t>ハライダシ</t>
    </rPh>
    <phoneticPr fontId="12"/>
  </si>
  <si>
    <t>YYYYMM9999999</t>
    <phoneticPr fontId="12"/>
  </si>
  <si>
    <t>0:受注№　1:生産計画№ 2:在庫移動指示№</t>
    <rPh sb="2" eb="4">
      <t>ジュチュウ</t>
    </rPh>
    <phoneticPr fontId="12"/>
  </si>
  <si>
    <t>項目名</t>
    <rPh sb="0" eb="3">
      <t>コウモクメイ</t>
    </rPh>
    <phoneticPr fontId="12"/>
  </si>
  <si>
    <t>物理項目ID</t>
    <rPh sb="0" eb="2">
      <t>ブツリ</t>
    </rPh>
    <rPh sb="2" eb="4">
      <t>コウモク</t>
    </rPh>
    <phoneticPr fontId="12"/>
  </si>
  <si>
    <t>ＦＡＸ番号</t>
    <phoneticPr fontId="12"/>
  </si>
  <si>
    <t>fax_no</t>
  </si>
  <si>
    <t>https://tomari.org/main/java/hebon.html</t>
    <phoneticPr fontId="35"/>
  </si>
  <si>
    <t>カテゴリ</t>
    <phoneticPr fontId="12"/>
  </si>
  <si>
    <t>category</t>
  </si>
  <si>
    <t>ケース入数</t>
    <phoneticPr fontId="12"/>
  </si>
  <si>
    <t>case_irisu</t>
  </si>
  <si>
    <t>コード</t>
    <phoneticPr fontId="12"/>
  </si>
  <si>
    <t>code</t>
  </si>
  <si>
    <t>コート液濃度 (%)</t>
    <phoneticPr fontId="12"/>
  </si>
  <si>
    <t>coating_nodo</t>
  </si>
  <si>
    <t>コート量 (g/㎡)</t>
    <phoneticPr fontId="12"/>
  </si>
  <si>
    <t>coating_amount</t>
  </si>
  <si>
    <t>システム権限フラグ</t>
    <phoneticPr fontId="12"/>
  </si>
  <si>
    <t>system_auth_flg</t>
  </si>
  <si>
    <t>パスワード</t>
    <phoneticPr fontId="12"/>
  </si>
  <si>
    <t>password</t>
  </si>
  <si>
    <t>パック入数</t>
    <phoneticPr fontId="12"/>
  </si>
  <si>
    <t>pakku_irisu</t>
  </si>
  <si>
    <t>ベール数</t>
    <phoneticPr fontId="12"/>
  </si>
  <si>
    <t>bale_su</t>
  </si>
  <si>
    <t>メニュー名</t>
    <phoneticPr fontId="12"/>
  </si>
  <si>
    <t>menu_nm</t>
  </si>
  <si>
    <t>リップカット種</t>
    <phoneticPr fontId="12"/>
  </si>
  <si>
    <t>lip</t>
  </si>
  <si>
    <t>扱店フラグ</t>
    <phoneticPr fontId="12"/>
  </si>
  <si>
    <t>atsukaiten_flg</t>
  </si>
  <si>
    <t>委託販売区分</t>
    <phoneticPr fontId="12"/>
  </si>
  <si>
    <t>itaku_sales_kbn</t>
  </si>
  <si>
    <t>運送会社フラグ</t>
    <phoneticPr fontId="12"/>
  </si>
  <si>
    <t>unsokaisha_flg</t>
  </si>
  <si>
    <t>加巻長さ</t>
    <phoneticPr fontId="12"/>
  </si>
  <si>
    <t>kamaki_length</t>
  </si>
  <si>
    <t>加巻率</t>
    <phoneticPr fontId="12"/>
  </si>
  <si>
    <t>kamaki_rate</t>
  </si>
  <si>
    <t>回収サイト</t>
    <phoneticPr fontId="12"/>
  </si>
  <si>
    <t>kaishu_site</t>
  </si>
  <si>
    <t>回収境界金額</t>
    <phoneticPr fontId="12"/>
  </si>
  <si>
    <t>kaishu_amount</t>
  </si>
  <si>
    <t>回収区分</t>
    <phoneticPr fontId="12"/>
  </si>
  <si>
    <t>kaishu_kbn</t>
  </si>
  <si>
    <t>回収月数</t>
    <phoneticPr fontId="12"/>
  </si>
  <si>
    <t>kaishu_gessu</t>
  </si>
  <si>
    <t>回収日</t>
    <phoneticPr fontId="12"/>
  </si>
  <si>
    <t>kaishubi</t>
  </si>
  <si>
    <t>改定年月日</t>
    <phoneticPr fontId="12"/>
  </si>
  <si>
    <t>kaitei_date</t>
  </si>
  <si>
    <t>開始時間</t>
    <phoneticPr fontId="12"/>
  </si>
  <si>
    <t>kaishi_datetime</t>
  </si>
  <si>
    <t>外注加工先フラグ</t>
    <phoneticPr fontId="12"/>
  </si>
  <si>
    <t>gaichukakosaki_flg</t>
  </si>
  <si>
    <t>外注先フラグ</t>
    <phoneticPr fontId="12"/>
  </si>
  <si>
    <t>gaichusaki_flg</t>
  </si>
  <si>
    <t>管轄コード</t>
    <phoneticPr fontId="12"/>
  </si>
  <si>
    <t>kankatsu_cd</t>
  </si>
  <si>
    <t>管轄名</t>
    <phoneticPr fontId="12"/>
  </si>
  <si>
    <t>kankatsu_nm</t>
  </si>
  <si>
    <t>丸め区分</t>
    <phoneticPr fontId="12"/>
  </si>
  <si>
    <t>marume_kbn</t>
  </si>
  <si>
    <t>含浸液濃度 (%)</t>
    <phoneticPr fontId="12"/>
  </si>
  <si>
    <t>ganshin_nodo</t>
  </si>
  <si>
    <t>含浸量 (g/㎡)</t>
    <phoneticPr fontId="12"/>
  </si>
  <si>
    <t>ganshin_ryo</t>
  </si>
  <si>
    <t>基準日</t>
    <phoneticPr fontId="12"/>
  </si>
  <si>
    <t>kijun_date</t>
    <phoneticPr fontId="12"/>
  </si>
  <si>
    <t>機能コード</t>
    <phoneticPr fontId="12"/>
  </si>
  <si>
    <t>kino_cd</t>
  </si>
  <si>
    <t>機能名</t>
    <phoneticPr fontId="12"/>
  </si>
  <si>
    <t>kino_nm</t>
  </si>
  <si>
    <t>起動アプリID</t>
    <phoneticPr fontId="12"/>
  </si>
  <si>
    <t>start_app_id</t>
  </si>
  <si>
    <t>休日フラグ</t>
    <phoneticPr fontId="12"/>
  </si>
  <si>
    <t>kyujitsu_flg</t>
  </si>
  <si>
    <t>業者コード</t>
    <phoneticPr fontId="12"/>
  </si>
  <si>
    <t>gyosha_cd</t>
  </si>
  <si>
    <t>業者メイ</t>
    <phoneticPr fontId="12"/>
  </si>
  <si>
    <t>gyosha_kana_nm</t>
  </si>
  <si>
    <t>業者英名</t>
    <phoneticPr fontId="12"/>
  </si>
  <si>
    <t>gyosha_eng_nm</t>
  </si>
  <si>
    <t>業者区分</t>
    <phoneticPr fontId="12"/>
  </si>
  <si>
    <t>gyosha_kbn</t>
  </si>
  <si>
    <t>業者短縮メイ</t>
    <phoneticPr fontId="12"/>
  </si>
  <si>
    <t>gyosha_ryaku_kana_nm</t>
  </si>
  <si>
    <t>業者短縮名</t>
    <phoneticPr fontId="12"/>
  </si>
  <si>
    <t>gyosha_ryaku_nm</t>
  </si>
  <si>
    <t>業者名</t>
    <phoneticPr fontId="12"/>
  </si>
  <si>
    <t>gyosha_nm</t>
  </si>
  <si>
    <t>業務区分</t>
    <phoneticPr fontId="12"/>
  </si>
  <si>
    <t>gyomu_kbn</t>
  </si>
  <si>
    <t>業務識別コード</t>
    <phoneticPr fontId="12"/>
  </si>
  <si>
    <t>gyomu_shikibetsu_cd</t>
  </si>
  <si>
    <t>業務識別区分</t>
    <phoneticPr fontId="12"/>
  </si>
  <si>
    <t>gyomu_shikibetsu_kbn</t>
  </si>
  <si>
    <t>区分</t>
    <phoneticPr fontId="12"/>
  </si>
  <si>
    <t>kbn</t>
  </si>
  <si>
    <t>経費コード</t>
    <phoneticPr fontId="12"/>
  </si>
  <si>
    <t>keihi_cd</t>
  </si>
  <si>
    <t>経費名</t>
    <phoneticPr fontId="12"/>
  </si>
  <si>
    <t>keihi_nm</t>
  </si>
  <si>
    <t>桁数</t>
    <phoneticPr fontId="12"/>
  </si>
  <si>
    <t>ketasu</t>
  </si>
  <si>
    <t>原反幅</t>
    <phoneticPr fontId="12"/>
  </si>
  <si>
    <t>gentan_width</t>
  </si>
  <si>
    <t>固形配合比 %</t>
    <phoneticPr fontId="12"/>
  </si>
  <si>
    <r>
      <t>kokei_</t>
    </r>
    <r>
      <rPr>
        <sz val="10"/>
        <color theme="1"/>
        <rFont val="Meiryo UI"/>
        <family val="2"/>
        <charset val="128"/>
      </rPr>
      <t>h</t>
    </r>
    <r>
      <rPr>
        <sz val="10"/>
        <color theme="1"/>
        <rFont val="Meiryo UI"/>
        <family val="2"/>
        <charset val="128"/>
      </rPr>
      <t>aigohi</t>
    </r>
    <phoneticPr fontId="12"/>
  </si>
  <si>
    <t>固形分 %</t>
    <phoneticPr fontId="12"/>
  </si>
  <si>
    <t>kokeibun</t>
  </si>
  <si>
    <t>工程コード</t>
    <phoneticPr fontId="12"/>
  </si>
  <si>
    <t>kotei_cd</t>
  </si>
  <si>
    <t>工程名</t>
    <phoneticPr fontId="12"/>
  </si>
  <si>
    <t>kotei_nm</t>
  </si>
  <si>
    <t>工程略称</t>
    <phoneticPr fontId="12"/>
  </si>
  <si>
    <t>kotei_ryaku_nm</t>
  </si>
  <si>
    <t>更新者コード</t>
    <phoneticPr fontId="12"/>
  </si>
  <si>
    <t>update_user_cd</t>
  </si>
  <si>
    <t>更新者名</t>
    <phoneticPr fontId="12"/>
  </si>
  <si>
    <t>update_user_nm</t>
  </si>
  <si>
    <t>更新日</t>
    <phoneticPr fontId="12"/>
  </si>
  <si>
    <t>update_datetime</t>
  </si>
  <si>
    <t>購入単価</t>
    <phoneticPr fontId="12"/>
  </si>
  <si>
    <t>konyu_price</t>
  </si>
  <si>
    <t>購入単価単位</t>
    <phoneticPr fontId="12"/>
  </si>
  <si>
    <t>konyu_price_unit</t>
  </si>
  <si>
    <t>国内海外区分</t>
    <phoneticPr fontId="12"/>
  </si>
  <si>
    <t>kokunai_kaigai_kbn</t>
  </si>
  <si>
    <t>最終承認フラグ</t>
    <phoneticPr fontId="12"/>
  </si>
  <si>
    <t>saishu_shonin_flg</t>
  </si>
  <si>
    <t>最大幅</t>
    <phoneticPr fontId="12"/>
  </si>
  <si>
    <t>max_width</t>
  </si>
  <si>
    <t>在庫管理区分</t>
    <phoneticPr fontId="12"/>
  </si>
  <si>
    <t>zaiko_kanri_kbn</t>
  </si>
  <si>
    <t>削除フラグ</t>
    <phoneticPr fontId="12"/>
  </si>
  <si>
    <t>delete_flg</t>
  </si>
  <si>
    <t>仕入先フラグ</t>
    <phoneticPr fontId="12"/>
  </si>
  <si>
    <t>shiiresaki_flg</t>
  </si>
  <si>
    <t>仕入締日</t>
    <phoneticPr fontId="12"/>
  </si>
  <si>
    <t>shiire_shimebi</t>
  </si>
  <si>
    <t>仕様枚数</t>
    <phoneticPr fontId="12"/>
  </si>
  <si>
    <t>spec_maisu</t>
  </si>
  <si>
    <t>支払月数</t>
    <phoneticPr fontId="12"/>
  </si>
  <si>
    <t>shiharai_tsukisu</t>
  </si>
  <si>
    <t>支払日</t>
    <phoneticPr fontId="12"/>
  </si>
  <si>
    <t>shiharaibi</t>
  </si>
  <si>
    <t>借方科目コード</t>
    <phoneticPr fontId="12"/>
  </si>
  <si>
    <t>karikata_cd</t>
  </si>
  <si>
    <t>借方補助科目コード</t>
    <phoneticPr fontId="12"/>
  </si>
  <si>
    <t>karikata_hojo_cd</t>
  </si>
  <si>
    <t>主幹工程コード</t>
    <phoneticPr fontId="12"/>
  </si>
  <si>
    <t>shukan_kotei_cd</t>
  </si>
  <si>
    <t>主幹部署コード</t>
    <phoneticPr fontId="12"/>
  </si>
  <si>
    <t>shukan_busho_cd</t>
  </si>
  <si>
    <t>住所</t>
    <phoneticPr fontId="12"/>
  </si>
  <si>
    <t>address</t>
  </si>
  <si>
    <t>住所英名</t>
    <phoneticPr fontId="12"/>
  </si>
  <si>
    <t>address_eng</t>
  </si>
  <si>
    <t>重量</t>
    <phoneticPr fontId="12"/>
  </si>
  <si>
    <t>juryo</t>
  </si>
  <si>
    <t>承認権限フラグ</t>
    <phoneticPr fontId="12"/>
  </si>
  <si>
    <t>shonin_auth_flg</t>
  </si>
  <si>
    <t>承認順</t>
    <phoneticPr fontId="12"/>
  </si>
  <si>
    <t>shonin_order</t>
  </si>
  <si>
    <t>消費税計算区分</t>
    <phoneticPr fontId="12"/>
  </si>
  <si>
    <t>tax_keisan_kbn</t>
  </si>
  <si>
    <t>消費税率区分</t>
    <phoneticPr fontId="12"/>
  </si>
  <si>
    <t>tax_rate_kbn</t>
  </si>
  <si>
    <t>場所識別区分</t>
    <phoneticPr fontId="12"/>
  </si>
  <si>
    <t>basho_shikibetsu_kbn</t>
  </si>
  <si>
    <t>森林認証対象区分</t>
    <phoneticPr fontId="12"/>
  </si>
  <si>
    <t>fsc_kbn</t>
  </si>
  <si>
    <t>数量計算区分</t>
    <phoneticPr fontId="12"/>
  </si>
  <si>
    <t>qty_calc_kbn</t>
  </si>
  <si>
    <t>qty_unit</t>
  </si>
  <si>
    <t>生産管理区分</t>
    <phoneticPr fontId="12"/>
  </si>
  <si>
    <t>seisan_kanri_kbn</t>
  </si>
  <si>
    <t>生産状況権限フラグ</t>
    <phoneticPr fontId="12"/>
  </si>
  <si>
    <t>seisan_jokyo_auth_flg</t>
  </si>
  <si>
    <t>製品区分</t>
    <phoneticPr fontId="12"/>
  </si>
  <si>
    <t>seihin_kbn</t>
  </si>
  <si>
    <t>製品識別区分</t>
    <phoneticPr fontId="12"/>
  </si>
  <si>
    <t>seihin_shikibetsu_kbn</t>
  </si>
  <si>
    <t>製品番号</t>
    <phoneticPr fontId="12"/>
  </si>
  <si>
    <t>seihin_no</t>
  </si>
  <si>
    <t>製品分類コード</t>
    <phoneticPr fontId="12"/>
  </si>
  <si>
    <t>seihin_bunrui_cd</t>
  </si>
  <si>
    <t>製品分類コード1</t>
    <phoneticPr fontId="12"/>
  </si>
  <si>
    <t>seihin_bunrui_cd_1</t>
  </si>
  <si>
    <t>製品分類コード2</t>
    <phoneticPr fontId="12"/>
  </si>
  <si>
    <t>seihin_bunrui_cd_2</t>
  </si>
  <si>
    <t>製品分類コード3</t>
    <phoneticPr fontId="12"/>
  </si>
  <si>
    <t>seihin_bunrui_cd_3</t>
  </si>
  <si>
    <t>製品分類コード4</t>
    <phoneticPr fontId="12"/>
  </si>
  <si>
    <t>seihin_bunrui_cd_4</t>
  </si>
  <si>
    <t>製品分類コード5</t>
    <phoneticPr fontId="12"/>
  </si>
  <si>
    <t>seihin_bunrui_cd_5</t>
  </si>
  <si>
    <t>製品分類コード6</t>
    <phoneticPr fontId="12"/>
  </si>
  <si>
    <t>seihin_bunrui_cd_6</t>
  </si>
  <si>
    <t>製品分類コード7</t>
    <phoneticPr fontId="12"/>
  </si>
  <si>
    <t>seihin_bunrui_cd_7</t>
  </si>
  <si>
    <t>製品分類フラグ1</t>
    <phoneticPr fontId="12"/>
  </si>
  <si>
    <t>seihin_bunrui_flg_1</t>
  </si>
  <si>
    <t>製品分類フラグ2</t>
    <phoneticPr fontId="12"/>
  </si>
  <si>
    <t>seihin_bunrui_flg_2</t>
  </si>
  <si>
    <t>製品分類フラグ3</t>
    <phoneticPr fontId="12"/>
  </si>
  <si>
    <t>seihin_bunrui_flg_3</t>
  </si>
  <si>
    <t>製品分類フラグ4</t>
    <phoneticPr fontId="12"/>
  </si>
  <si>
    <t>seihin_bunrui_flg_4</t>
  </si>
  <si>
    <t>製品分類フラグ5</t>
    <phoneticPr fontId="12"/>
  </si>
  <si>
    <t>seihin_bunrui_flg_5</t>
  </si>
  <si>
    <t>製品分類フラグ6</t>
    <phoneticPr fontId="12"/>
  </si>
  <si>
    <t>seihin_bunrui_flg_6</t>
  </si>
  <si>
    <t>製品分類フラグ7</t>
    <phoneticPr fontId="12"/>
  </si>
  <si>
    <t>seihin_bunrui_flg_7</t>
  </si>
  <si>
    <t>製品分類区分</t>
    <phoneticPr fontId="12"/>
  </si>
  <si>
    <t>seihin_bunrui_kbn</t>
  </si>
  <si>
    <t>製品分類名</t>
    <phoneticPr fontId="12"/>
  </si>
  <si>
    <t>seihin_bunrui_nm</t>
  </si>
  <si>
    <t>請求分類コード</t>
    <phoneticPr fontId="12"/>
  </si>
  <si>
    <t>seikyu_bunrui_cd</t>
  </si>
  <si>
    <t>setsubi_cd</t>
  </si>
  <si>
    <t>設備識別コード</t>
    <phoneticPr fontId="12"/>
  </si>
  <si>
    <t>setsubi_shikibetsu_cd</t>
  </si>
  <si>
    <t>袋数</t>
    <phoneticPr fontId="12"/>
  </si>
  <si>
    <t>fukuro_su</t>
  </si>
  <si>
    <t>貸方科目コード</t>
    <phoneticPr fontId="12"/>
  </si>
  <si>
    <t>kashikata_cd</t>
  </si>
  <si>
    <t>貸方補助科目コード</t>
    <phoneticPr fontId="12"/>
  </si>
  <si>
    <t>kashikata_hojo_cd</t>
  </si>
  <si>
    <t>大分類名</t>
    <phoneticPr fontId="12"/>
  </si>
  <si>
    <t>daibunrui_nm</t>
  </si>
  <si>
    <t>単位コード</t>
    <phoneticPr fontId="12"/>
  </si>
  <si>
    <t>unit_cd</t>
  </si>
  <si>
    <t>単位種別</t>
    <phoneticPr fontId="12"/>
  </si>
  <si>
    <t>unit_type</t>
  </si>
  <si>
    <t>unit_juryo</t>
    <phoneticPr fontId="12"/>
  </si>
  <si>
    <t>unit_juryo_cd</t>
    <phoneticPr fontId="12"/>
  </si>
  <si>
    <t>単位名</t>
    <phoneticPr fontId="12"/>
  </si>
  <si>
    <t>unit_nm</t>
  </si>
  <si>
    <t>担当者氏名１</t>
    <phoneticPr fontId="12"/>
  </si>
  <si>
    <t>tantosya_nm_1</t>
  </si>
  <si>
    <t>担当者氏名２</t>
    <phoneticPr fontId="12"/>
  </si>
  <si>
    <t>tantosya_nm_2</t>
  </si>
  <si>
    <t>担当者部課１</t>
    <phoneticPr fontId="12"/>
  </si>
  <si>
    <t>tantosya_buka_1</t>
  </si>
  <si>
    <t>担当者部課２</t>
    <phoneticPr fontId="12"/>
  </si>
  <si>
    <t>tantosya_buka_2</t>
  </si>
  <si>
    <t>担当者名</t>
    <phoneticPr fontId="12"/>
  </si>
  <si>
    <t>tantosya_nm</t>
  </si>
  <si>
    <t>中分類名</t>
    <phoneticPr fontId="12"/>
  </si>
  <si>
    <t>chubunrui_nm</t>
  </si>
  <si>
    <t>長さ</t>
    <phoneticPr fontId="12"/>
  </si>
  <si>
    <t>length</t>
  </si>
  <si>
    <t>通貨コード</t>
    <phoneticPr fontId="12"/>
  </si>
  <si>
    <t>currency_cd</t>
  </si>
  <si>
    <t>通貨記号</t>
    <phoneticPr fontId="12"/>
  </si>
  <si>
    <t>currency_symbol</t>
  </si>
  <si>
    <t>通貨名</t>
    <phoneticPr fontId="12"/>
  </si>
  <si>
    <t>currency_nm</t>
  </si>
  <si>
    <t>坪量</t>
    <phoneticPr fontId="12"/>
  </si>
  <si>
    <t>paper_weight</t>
  </si>
  <si>
    <t>摘要名</t>
    <phoneticPr fontId="12"/>
  </si>
  <si>
    <t>tekiyo_nm</t>
  </si>
  <si>
    <t>伝票NO</t>
    <phoneticPr fontId="12"/>
  </si>
  <si>
    <t>denpyo_no</t>
  </si>
  <si>
    <t>電話番号１</t>
    <phoneticPr fontId="12"/>
  </si>
  <si>
    <t>phone_no</t>
  </si>
  <si>
    <t>電話番号２</t>
    <phoneticPr fontId="12"/>
  </si>
  <si>
    <t>phone_no_eng</t>
  </si>
  <si>
    <t>登録者コード</t>
    <phoneticPr fontId="12"/>
  </si>
  <si>
    <t>insert_user_cd</t>
  </si>
  <si>
    <t>登録者名</t>
    <phoneticPr fontId="12"/>
  </si>
  <si>
    <t>insert_user_nm</t>
  </si>
  <si>
    <t>登録日</t>
    <phoneticPr fontId="12"/>
  </si>
  <si>
    <t>insert_datetime</t>
  </si>
  <si>
    <t>得意先フラグ</t>
    <phoneticPr fontId="12"/>
  </si>
  <si>
    <t>tokuisaki_flg</t>
  </si>
  <si>
    <t>年月日</t>
    <phoneticPr fontId="12"/>
  </si>
  <si>
    <t>calendar_date</t>
  </si>
  <si>
    <t>納入先フラグ</t>
    <phoneticPr fontId="12"/>
  </si>
  <si>
    <t>nounyusaki_flg</t>
  </si>
  <si>
    <t>売上締日</t>
    <phoneticPr fontId="12"/>
  </si>
  <si>
    <t>uriage_shimebi</t>
  </si>
  <si>
    <t>発番連番</t>
    <phoneticPr fontId="12"/>
  </si>
  <si>
    <t>hatsuban_renban</t>
  </si>
  <si>
    <t>販売単価</t>
    <phoneticPr fontId="12"/>
  </si>
  <si>
    <t>hanbai_price</t>
  </si>
  <si>
    <t>販売単価単位</t>
    <phoneticPr fontId="12"/>
  </si>
  <si>
    <t>hanbai_price_unit</t>
  </si>
  <si>
    <t>比率</t>
    <phoneticPr fontId="12"/>
  </si>
  <si>
    <t>hiritsu</t>
  </si>
  <si>
    <t>表示順</t>
    <phoneticPr fontId="12"/>
  </si>
  <si>
    <t>disp_order</t>
  </si>
  <si>
    <t>品種コード</t>
    <phoneticPr fontId="12"/>
  </si>
  <si>
    <t>hinshu_cd</t>
  </si>
  <si>
    <t>品種大分類コード</t>
    <phoneticPr fontId="12"/>
  </si>
  <si>
    <t>hinshu_daibunrui_cd</t>
  </si>
  <si>
    <t>品種中分類コード</t>
    <phoneticPr fontId="12"/>
  </si>
  <si>
    <t>hinshu_chubunrui_cd</t>
  </si>
  <si>
    <t>品種名</t>
    <phoneticPr fontId="12"/>
  </si>
  <si>
    <t>hinshu_nm</t>
  </si>
  <si>
    <t>品種名英名</t>
    <phoneticPr fontId="12"/>
  </si>
  <si>
    <t>hinshu_eng_nm</t>
  </si>
  <si>
    <t>部署コード</t>
    <phoneticPr fontId="12"/>
  </si>
  <si>
    <t>busho_cd</t>
  </si>
  <si>
    <t>部署工程権限フラグ</t>
    <phoneticPr fontId="12"/>
  </si>
  <si>
    <t>busho_kotei_auth_flg</t>
  </si>
  <si>
    <t>部署名</t>
    <phoneticPr fontId="12"/>
  </si>
  <si>
    <t>busho_nm</t>
  </si>
  <si>
    <t>幅</t>
    <phoneticPr fontId="12"/>
  </si>
  <si>
    <t>width</t>
  </si>
  <si>
    <t>分類明細コード</t>
    <phoneticPr fontId="12"/>
  </si>
  <si>
    <t>bunrui_meisai_cd</t>
  </si>
  <si>
    <t>編集権限フラグ</t>
    <phoneticPr fontId="12"/>
  </si>
  <si>
    <t>henshu_auth_flg</t>
  </si>
  <si>
    <t>保管場所コード</t>
    <phoneticPr fontId="12"/>
  </si>
  <si>
    <t>hokanbasho_cd</t>
  </si>
  <si>
    <t>保管場所名</t>
    <phoneticPr fontId="12"/>
  </si>
  <si>
    <t>hokanbasho_nm</t>
  </si>
  <si>
    <t>本体計算区分</t>
    <phoneticPr fontId="12"/>
  </si>
  <si>
    <t>hontai_calc_kbn</t>
  </si>
  <si>
    <t>名称</t>
    <phoneticPr fontId="12"/>
  </si>
  <si>
    <t>name</t>
  </si>
  <si>
    <t>薬品記号</t>
    <phoneticPr fontId="12"/>
  </si>
  <si>
    <t>yakuhin_kigo</t>
  </si>
  <si>
    <t>薬品固形分</t>
    <phoneticPr fontId="12"/>
  </si>
  <si>
    <t>yakuhin_koeibun</t>
  </si>
  <si>
    <t>薬品固形分区分</t>
    <phoneticPr fontId="12"/>
  </si>
  <si>
    <t>yakuhin_kokeibun_kbn</t>
  </si>
  <si>
    <t>有効期限</t>
    <phoneticPr fontId="12"/>
  </si>
  <si>
    <t>yukokigen</t>
  </si>
  <si>
    <t>郵便番号</t>
    <phoneticPr fontId="12"/>
  </si>
  <si>
    <t>post_no</t>
  </si>
  <si>
    <t>余尺</t>
    <phoneticPr fontId="12"/>
  </si>
  <si>
    <t>yosyaku</t>
  </si>
  <si>
    <t>利用者コード</t>
    <phoneticPr fontId="12"/>
  </si>
  <si>
    <t>user_cd</t>
  </si>
  <si>
    <t>利用者メイ</t>
    <phoneticPr fontId="12"/>
  </si>
  <si>
    <t>user_kana_nm</t>
  </si>
  <si>
    <t>利用者姓</t>
    <phoneticPr fontId="12"/>
  </si>
  <si>
    <t>user_last_nm</t>
  </si>
  <si>
    <t>利用者性</t>
    <phoneticPr fontId="12"/>
  </si>
  <si>
    <t>user_first_nm</t>
  </si>
  <si>
    <t>利用者名</t>
    <phoneticPr fontId="12"/>
  </si>
  <si>
    <t>user_nm</t>
  </si>
  <si>
    <t>連番</t>
    <phoneticPr fontId="12"/>
  </si>
  <si>
    <t>renban</t>
  </si>
  <si>
    <t>連量丸め処理区分</t>
    <phoneticPr fontId="12"/>
  </si>
  <si>
    <t>renryo_calc_kbn</t>
  </si>
  <si>
    <t>登録機能コード</t>
    <rPh sb="0" eb="2">
      <t>トウロク</t>
    </rPh>
    <rPh sb="2" eb="4">
      <t>キノウ</t>
    </rPh>
    <phoneticPr fontId="12"/>
  </si>
  <si>
    <t>insert_func_cd</t>
  </si>
  <si>
    <t>更新機能コード</t>
    <rPh sb="0" eb="2">
      <t>コウシン</t>
    </rPh>
    <rPh sb="2" eb="4">
      <t>キノウ</t>
    </rPh>
    <phoneticPr fontId="12"/>
  </si>
  <si>
    <t>update_func_cd</t>
  </si>
  <si>
    <t>seisan_keikaku_no</t>
  </si>
  <si>
    <t>丁取</t>
    <rPh sb="0" eb="1">
      <t>チョウ</t>
    </rPh>
    <rPh sb="1" eb="2">
      <t>トリ</t>
    </rPh>
    <phoneticPr fontId="12"/>
  </si>
  <si>
    <t>chodori</t>
  </si>
  <si>
    <t>整理№</t>
    <rPh sb="0" eb="2">
      <t>セイリ</t>
    </rPh>
    <phoneticPr fontId="12"/>
  </si>
  <si>
    <t>seiri_no</t>
  </si>
  <si>
    <t>setsubi</t>
  </si>
  <si>
    <t>作業日</t>
    <rPh sb="0" eb="2">
      <t>サギョウ</t>
    </rPh>
    <rPh sb="2" eb="3">
      <t>ヒ</t>
    </rPh>
    <phoneticPr fontId="12"/>
  </si>
  <si>
    <t>sagyo_date</t>
  </si>
  <si>
    <t>開始時予定</t>
    <rPh sb="0" eb="2">
      <t>カイシ</t>
    </rPh>
    <rPh sb="2" eb="3">
      <t>ジ</t>
    </rPh>
    <rPh sb="3" eb="5">
      <t>ヨテイ</t>
    </rPh>
    <phoneticPr fontId="12"/>
  </si>
  <si>
    <t>start_yotei_time</t>
  </si>
  <si>
    <t>終了日予定</t>
    <rPh sb="0" eb="2">
      <t>シュウリョウ</t>
    </rPh>
    <rPh sb="2" eb="3">
      <t>ヒ</t>
    </rPh>
    <rPh sb="3" eb="5">
      <t>ヨテイ</t>
    </rPh>
    <phoneticPr fontId="12"/>
  </si>
  <si>
    <t>end_yotei_date</t>
  </si>
  <si>
    <t>終了時予定</t>
    <rPh sb="0" eb="2">
      <t>シュウリョウ</t>
    </rPh>
    <rPh sb="2" eb="3">
      <t>ジ</t>
    </rPh>
    <rPh sb="3" eb="5">
      <t>ヨテイ</t>
    </rPh>
    <phoneticPr fontId="12"/>
  </si>
  <si>
    <t>end_yotei_time</t>
  </si>
  <si>
    <t>時間</t>
    <rPh sb="0" eb="2">
      <t>ジカン</t>
    </rPh>
    <phoneticPr fontId="12"/>
  </si>
  <si>
    <t>time</t>
  </si>
  <si>
    <t>色</t>
    <rPh sb="0" eb="1">
      <t>イロ</t>
    </rPh>
    <phoneticPr fontId="12"/>
  </si>
  <si>
    <t>color</t>
  </si>
  <si>
    <t>作業区分</t>
    <rPh sb="0" eb="2">
      <t>サギョウ</t>
    </rPh>
    <rPh sb="2" eb="4">
      <t>クブン</t>
    </rPh>
    <phoneticPr fontId="12"/>
  </si>
  <si>
    <t>sagyo_kbn</t>
  </si>
  <si>
    <t>作業コメント</t>
    <rPh sb="0" eb="2">
      <t>サギョウ</t>
    </rPh>
    <phoneticPr fontId="12"/>
  </si>
  <si>
    <t>sagyo_comment</t>
  </si>
  <si>
    <t>juchu_no</t>
  </si>
  <si>
    <t>丁取区分</t>
    <rPh sb="0" eb="1">
      <t>チョウ</t>
    </rPh>
    <rPh sb="1" eb="2">
      <t>トリ</t>
    </rPh>
    <rPh sb="2" eb="4">
      <t>クブン</t>
    </rPh>
    <phoneticPr fontId="12"/>
  </si>
  <si>
    <t>chodori_kbn</t>
  </si>
  <si>
    <t>顧客コード</t>
    <rPh sb="0" eb="2">
      <t>コキャク</t>
    </rPh>
    <phoneticPr fontId="12"/>
  </si>
  <si>
    <t>kokyaku_cd</t>
  </si>
  <si>
    <t>顧客</t>
    <rPh sb="0" eb="2">
      <t>コキャク</t>
    </rPh>
    <phoneticPr fontId="12"/>
  </si>
  <si>
    <t>kokyaku_nm</t>
  </si>
  <si>
    <t>品名</t>
    <rPh sb="0" eb="2">
      <t>ヒンメイ</t>
    </rPh>
    <phoneticPr fontId="12"/>
  </si>
  <si>
    <t>hinmei</t>
  </si>
  <si>
    <t>卸数予定</t>
  </si>
  <si>
    <t>oroshisu_yotei</t>
  </si>
  <si>
    <t>卸数最低</t>
  </si>
  <si>
    <t>oroshisu_saitei</t>
  </si>
  <si>
    <t>抄速</t>
    <rPh sb="0" eb="1">
      <t>ショウ</t>
    </rPh>
    <rPh sb="1" eb="2">
      <t>ソク</t>
    </rPh>
    <phoneticPr fontId="12"/>
  </si>
  <si>
    <t>shosoku</t>
  </si>
  <si>
    <t>白ラベル</t>
    <rPh sb="0" eb="1">
      <t>シロ</t>
    </rPh>
    <phoneticPr fontId="12"/>
  </si>
  <si>
    <t>white_label</t>
  </si>
  <si>
    <t>分類番号</t>
  </si>
  <si>
    <t>bunrui_bango</t>
  </si>
  <si>
    <t>移動先倉庫コード</t>
    <rPh sb="0" eb="2">
      <t>イドウ</t>
    </rPh>
    <rPh sb="2" eb="3">
      <t>サキ</t>
    </rPh>
    <rPh sb="3" eb="5">
      <t>ソウコ</t>
    </rPh>
    <phoneticPr fontId="12"/>
  </si>
  <si>
    <t>idosaki_soko_cd</t>
  </si>
  <si>
    <t>biko</t>
  </si>
  <si>
    <t>公休日</t>
    <rPh sb="0" eb="2">
      <t>コウキュウ</t>
    </rPh>
    <rPh sb="2" eb="3">
      <t>ヒ</t>
    </rPh>
    <phoneticPr fontId="12"/>
  </si>
  <si>
    <t>kokyu_date</t>
  </si>
  <si>
    <t>公休日数</t>
    <rPh sb="0" eb="2">
      <t>コウキュウ</t>
    </rPh>
    <rPh sb="2" eb="4">
      <t>ニッスウ</t>
    </rPh>
    <phoneticPr fontId="12"/>
  </si>
  <si>
    <t>kokyu_nisu</t>
  </si>
  <si>
    <t>生産指示フラグ</t>
    <rPh sb="0" eb="2">
      <t>セイサン</t>
    </rPh>
    <rPh sb="2" eb="4">
      <t>シジ</t>
    </rPh>
    <phoneticPr fontId="12"/>
  </si>
  <si>
    <t>seisan_shiji_flg</t>
  </si>
  <si>
    <t>計画外フラグ</t>
    <rPh sb="0" eb="3">
      <t>ケイカクガイ</t>
    </rPh>
    <phoneticPr fontId="12"/>
  </si>
  <si>
    <t>keikakugai_flg</t>
  </si>
  <si>
    <t>加工実績フラグ</t>
    <rPh sb="0" eb="2">
      <t>カコウ</t>
    </rPh>
    <rPh sb="2" eb="4">
      <t>ジッセキ</t>
    </rPh>
    <phoneticPr fontId="12"/>
  </si>
  <si>
    <t>kako_jisseki_flg</t>
  </si>
  <si>
    <t>仕上実績フラグ</t>
    <rPh sb="0" eb="4">
      <t>シアゲジッセキ</t>
    </rPh>
    <phoneticPr fontId="12"/>
  </si>
  <si>
    <t>shiage_jisseki_flg</t>
  </si>
  <si>
    <t>計画終了日</t>
    <rPh sb="0" eb="5">
      <t>ケイカクシュウリョウビ</t>
    </rPh>
    <phoneticPr fontId="12"/>
  </si>
  <si>
    <t>keikaku_end_date</t>
  </si>
  <si>
    <t>計画終了フラグ</t>
    <rPh sb="0" eb="4">
      <t>ケイカクシュウリョウ</t>
    </rPh>
    <phoneticPr fontId="12"/>
  </si>
  <si>
    <t>keikaku_end_flg</t>
  </si>
  <si>
    <t>変更理由日時</t>
    <rPh sb="0" eb="2">
      <t>ヘンコウ</t>
    </rPh>
    <rPh sb="2" eb="4">
      <t>リユウ</t>
    </rPh>
    <rPh sb="4" eb="6">
      <t>ニチジ</t>
    </rPh>
    <phoneticPr fontId="12"/>
  </si>
  <si>
    <t>henko_riyu_datetime</t>
  </si>
  <si>
    <t>変更理由</t>
    <rPh sb="0" eb="2">
      <t>ヘンコウ</t>
    </rPh>
    <rPh sb="2" eb="4">
      <t>リユウ</t>
    </rPh>
    <phoneticPr fontId="12"/>
  </si>
  <si>
    <t>henko_riyu</t>
  </si>
  <si>
    <t>加工基準</t>
    <rPh sb="0" eb="4">
      <t>カコウキジュン</t>
    </rPh>
    <phoneticPr fontId="12"/>
  </si>
  <si>
    <t>kako_kijun</t>
  </si>
  <si>
    <t>速度</t>
    <rPh sb="0" eb="2">
      <t>ソクド</t>
    </rPh>
    <phoneticPr fontId="12"/>
  </si>
  <si>
    <t>sokudo</t>
  </si>
  <si>
    <t>台数</t>
    <rPh sb="0" eb="2">
      <t>ダイスウ</t>
    </rPh>
    <phoneticPr fontId="12"/>
  </si>
  <si>
    <t>daisu</t>
  </si>
  <si>
    <t>包装基準</t>
    <rPh sb="0" eb="2">
      <t>ホウソウ</t>
    </rPh>
    <rPh sb="2" eb="4">
      <t>キジュン</t>
    </rPh>
    <phoneticPr fontId="12"/>
  </si>
  <si>
    <t>houso_kijun</t>
  </si>
  <si>
    <t>移動指示フラグ</t>
    <rPh sb="0" eb="2">
      <t>イドウ</t>
    </rPh>
    <rPh sb="2" eb="4">
      <t>シジ</t>
    </rPh>
    <phoneticPr fontId="12"/>
  </si>
  <si>
    <t>idosshiji_flg</t>
  </si>
  <si>
    <t>原材料区分</t>
    <rPh sb="0" eb="3">
      <t>ゲンザイリョウ</t>
    </rPh>
    <rPh sb="3" eb="5">
      <t>クブン</t>
    </rPh>
    <phoneticPr fontId="12"/>
  </si>
  <si>
    <t>genryo_kbn</t>
  </si>
  <si>
    <t>明細SEQ</t>
    <rPh sb="0" eb="2">
      <t>メイサイ</t>
    </rPh>
    <phoneticPr fontId="12"/>
  </si>
  <si>
    <t>meisai_seq</t>
  </si>
  <si>
    <t>銘柄コード</t>
    <rPh sb="0" eb="2">
      <t>メイガラ</t>
    </rPh>
    <phoneticPr fontId="12"/>
  </si>
  <si>
    <t>meigara_cd</t>
  </si>
  <si>
    <t>銘柄</t>
    <rPh sb="0" eb="2">
      <t>メイガラ</t>
    </rPh>
    <phoneticPr fontId="12"/>
  </si>
  <si>
    <t>meigara</t>
  </si>
  <si>
    <t>suryo</t>
  </si>
  <si>
    <t>仕込み合計</t>
    <rPh sb="0" eb="2">
      <t>シコ</t>
    </rPh>
    <rPh sb="3" eb="5">
      <t>ゴウケイ</t>
    </rPh>
    <phoneticPr fontId="12"/>
  </si>
  <si>
    <t>sikomi_gokei</t>
  </si>
  <si>
    <t>タンクレベル</t>
  </si>
  <si>
    <t>tank_level</t>
  </si>
  <si>
    <t>原料濃度</t>
  </si>
  <si>
    <t>genryo_nodo</t>
    <phoneticPr fontId="12"/>
  </si>
  <si>
    <t>添加情報</t>
    <rPh sb="0" eb="2">
      <t>テンカ</t>
    </rPh>
    <rPh sb="2" eb="4">
      <t>ジョウホウ</t>
    </rPh>
    <phoneticPr fontId="12"/>
  </si>
  <si>
    <t>tenka_joho</t>
    <phoneticPr fontId="12"/>
  </si>
  <si>
    <t>損紙使用量</t>
  </si>
  <si>
    <t>sonsi_shiyoryo</t>
    <phoneticPr fontId="12"/>
  </si>
  <si>
    <t>離解時間</t>
    <rPh sb="0" eb="2">
      <t>リカイ</t>
    </rPh>
    <rPh sb="2" eb="4">
      <t>ジカン</t>
    </rPh>
    <phoneticPr fontId="26"/>
  </si>
  <si>
    <t>rikai_time</t>
  </si>
  <si>
    <t>毛髪ネット</t>
    <rPh sb="0" eb="1">
      <t>ケ</t>
    </rPh>
    <rPh sb="1" eb="2">
      <t>カミ</t>
    </rPh>
    <phoneticPr fontId="26"/>
  </si>
  <si>
    <t>mouhatsu_net</t>
  </si>
  <si>
    <t>使用区分</t>
    <rPh sb="0" eb="2">
      <t>シヨウ</t>
    </rPh>
    <rPh sb="2" eb="4">
      <t>クブン</t>
    </rPh>
    <phoneticPr fontId="12"/>
  </si>
  <si>
    <t>shiyo_kbn</t>
    <phoneticPr fontId="12"/>
  </si>
  <si>
    <t>調薬区分</t>
    <rPh sb="0" eb="2">
      <t>チョウヤク</t>
    </rPh>
    <rPh sb="2" eb="4">
      <t>クブン</t>
    </rPh>
    <phoneticPr fontId="12"/>
  </si>
  <si>
    <t>chouyaku_kbn</t>
  </si>
  <si>
    <t>固形分</t>
    <rPh sb="0" eb="3">
      <t>コケイブン</t>
    </rPh>
    <phoneticPr fontId="12"/>
  </si>
  <si>
    <t>固形配合比</t>
    <rPh sb="0" eb="5">
      <t>コケイハイゴウヒ</t>
    </rPh>
    <phoneticPr fontId="12"/>
  </si>
  <si>
    <t>kokei_haigohi</t>
    <phoneticPr fontId="12"/>
  </si>
  <si>
    <t>原反コード</t>
    <phoneticPr fontId="12"/>
  </si>
  <si>
    <t>gentan_cd</t>
  </si>
  <si>
    <t>gentan</t>
  </si>
  <si>
    <t>pallet_no</t>
    <phoneticPr fontId="35"/>
  </si>
  <si>
    <t>ケース数</t>
    <rPh sb="3" eb="4">
      <t>スウ</t>
    </rPh>
    <phoneticPr fontId="12"/>
  </si>
  <si>
    <t>case_su</t>
  </si>
  <si>
    <t>指示確認日</t>
    <rPh sb="0" eb="5">
      <t>シジカクニンビ</t>
    </rPh>
    <phoneticPr fontId="12"/>
  </si>
  <si>
    <t>shiji_kakunin_date</t>
  </si>
  <si>
    <t>[半製品]製品番号</t>
    <rPh sb="1" eb="4">
      <t>ハンセイヒン</t>
    </rPh>
    <rPh sb="5" eb="9">
      <t>セイヒンバンゴウ</t>
    </rPh>
    <phoneticPr fontId="12"/>
  </si>
  <si>
    <t>han_seihin_no</t>
  </si>
  <si>
    <t>[半製品]品種コード</t>
    <rPh sb="1" eb="4">
      <t>ハンセイヒン</t>
    </rPh>
    <rPh sb="5" eb="7">
      <t>ヒンシュ</t>
    </rPh>
    <phoneticPr fontId="12"/>
  </si>
  <si>
    <t>han_seihin_hinshu_cd</t>
  </si>
  <si>
    <t>[半製品]品名</t>
    <rPh sb="1" eb="4">
      <t>ハンセイヒン</t>
    </rPh>
    <rPh sb="5" eb="7">
      <t>ヒンメイ</t>
    </rPh>
    <phoneticPr fontId="12"/>
  </si>
  <si>
    <t>han_seihin_hinmei</t>
  </si>
  <si>
    <t>丁取№</t>
  </si>
  <si>
    <t>chodori_no</t>
  </si>
  <si>
    <t>開始日時予定</t>
  </si>
  <si>
    <t>start_yotei_datetime</t>
  </si>
  <si>
    <t>終了日時予定</t>
  </si>
  <si>
    <t>end_yotei_datetime</t>
  </si>
  <si>
    <t>丁取数</t>
  </si>
  <si>
    <t>chodori_su</t>
    <phoneticPr fontId="12"/>
  </si>
  <si>
    <t>卸数</t>
  </si>
  <si>
    <t>oroshi_su</t>
    <phoneticPr fontId="12"/>
  </si>
  <si>
    <t>本数予定</t>
    <rPh sb="0" eb="2">
      <t>ホンスウ</t>
    </rPh>
    <phoneticPr fontId="12"/>
  </si>
  <si>
    <t>honsu_yotei</t>
  </si>
  <si>
    <t>本数最低</t>
    <rPh sb="0" eb="2">
      <t>ホンスウ</t>
    </rPh>
    <phoneticPr fontId="12"/>
  </si>
  <si>
    <t>honsu_saitei</t>
  </si>
  <si>
    <t>計画表出力日</t>
  </si>
  <si>
    <t>keikakuhyo_output_date</t>
  </si>
  <si>
    <t>日産量</t>
    <rPh sb="0" eb="2">
      <t>ニッサン</t>
    </rPh>
    <rPh sb="2" eb="3">
      <t>リョウ</t>
    </rPh>
    <phoneticPr fontId="12"/>
  </si>
  <si>
    <t>nissan_ryo</t>
  </si>
  <si>
    <t>生産出荷</t>
    <rPh sb="0" eb="4">
      <t>セイサンシュッカ</t>
    </rPh>
    <phoneticPr fontId="12"/>
  </si>
  <si>
    <t>seisan_shuka</t>
  </si>
  <si>
    <t>注意事項</t>
    <rPh sb="0" eb="4">
      <t>チュウイジコウ</t>
    </rPh>
    <phoneticPr fontId="12"/>
  </si>
  <si>
    <t>chui_jiko</t>
  </si>
  <si>
    <t>スリッター</t>
    <phoneticPr fontId="35"/>
  </si>
  <si>
    <t>slitter</t>
    <phoneticPr fontId="35"/>
  </si>
  <si>
    <t>パッケージ数</t>
    <rPh sb="5" eb="6">
      <t>スウ</t>
    </rPh>
    <phoneticPr fontId="33"/>
  </si>
  <si>
    <t>package_su</t>
    <phoneticPr fontId="35"/>
  </si>
  <si>
    <t>内袋入数</t>
    <rPh sb="0" eb="4">
      <t>ウチブクロイリスウ</t>
    </rPh>
    <phoneticPr fontId="33"/>
  </si>
  <si>
    <t>uchi_bukuro_irisu</t>
  </si>
  <si>
    <t>入数</t>
    <rPh sb="0" eb="2">
      <t>イリスウ</t>
    </rPh>
    <phoneticPr fontId="33"/>
  </si>
  <si>
    <t>irisu</t>
  </si>
  <si>
    <t>パレット積載数</t>
    <rPh sb="4" eb="7">
      <t>セキサイスウ</t>
    </rPh>
    <phoneticPr fontId="33"/>
  </si>
  <si>
    <t>pallet_sekisai_su</t>
    <phoneticPr fontId="35"/>
  </si>
  <si>
    <t>作業者コード</t>
    <phoneticPr fontId="35"/>
  </si>
  <si>
    <t>sagyosha_cd</t>
    <phoneticPr fontId="35"/>
  </si>
  <si>
    <t>依頼日</t>
    <phoneticPr fontId="35"/>
  </si>
  <si>
    <t>irai_date</t>
    <phoneticPr fontId="35"/>
  </si>
  <si>
    <t>納期日</t>
    <rPh sb="0" eb="3">
      <t>ノウキビ</t>
    </rPh>
    <phoneticPr fontId="33"/>
  </si>
  <si>
    <t>nohin_date</t>
    <phoneticPr fontId="35"/>
  </si>
  <si>
    <t>生産予定日</t>
    <rPh sb="0" eb="5">
      <t>セイサンヨテイビ</t>
    </rPh>
    <phoneticPr fontId="33"/>
  </si>
  <si>
    <t>seisan_yotei_date</t>
    <phoneticPr fontId="35"/>
  </si>
  <si>
    <t>単位</t>
    <rPh sb="0" eb="2">
      <t>タンイ</t>
    </rPh>
    <phoneticPr fontId="33"/>
  </si>
  <si>
    <t>unit</t>
    <phoneticPr fontId="35"/>
  </si>
  <si>
    <t>１包装当たり</t>
    <rPh sb="1" eb="3">
      <t>ホウソウ</t>
    </rPh>
    <rPh sb="3" eb="4">
      <t>ア</t>
    </rPh>
    <phoneticPr fontId="33"/>
  </si>
  <si>
    <t>ichi_hoso_atari</t>
    <phoneticPr fontId="35"/>
  </si>
  <si>
    <t>本数</t>
    <rPh sb="0" eb="2">
      <t>ホンスウ</t>
    </rPh>
    <phoneticPr fontId="33"/>
  </si>
  <si>
    <t>honsu</t>
  </si>
  <si>
    <t>[原反]製品番号</t>
    <rPh sb="1" eb="3">
      <t>ゲンタン</t>
    </rPh>
    <rPh sb="4" eb="8">
      <t>セイヒンバンゴウ</t>
    </rPh>
    <phoneticPr fontId="33"/>
  </si>
  <si>
    <t>gentan_seihin_no</t>
  </si>
  <si>
    <t>[原反]品種コード</t>
    <rPh sb="4" eb="6">
      <t>ヒンシュ</t>
    </rPh>
    <phoneticPr fontId="33"/>
  </si>
  <si>
    <t>gentan_hinshu_cd</t>
  </si>
  <si>
    <t>[原反]品名</t>
    <rPh sb="4" eb="6">
      <t>ヒンメイ</t>
    </rPh>
    <phoneticPr fontId="33"/>
  </si>
  <si>
    <t>gentan_hinmei</t>
  </si>
  <si>
    <t>[原反]坪量</t>
    <rPh sb="4" eb="5">
      <t>ツボ</t>
    </rPh>
    <rPh sb="5" eb="6">
      <t>リョウ</t>
    </rPh>
    <phoneticPr fontId="33"/>
  </si>
  <si>
    <t>gentan_paper_weight</t>
  </si>
  <si>
    <t>[原反]幅</t>
    <rPh sb="4" eb="5">
      <t>ハバ</t>
    </rPh>
    <phoneticPr fontId="33"/>
  </si>
  <si>
    <t>[原反]長さ</t>
    <rPh sb="4" eb="5">
      <t>ナガ</t>
    </rPh>
    <phoneticPr fontId="33"/>
  </si>
  <si>
    <t>gentan_length</t>
  </si>
  <si>
    <t>[原反]本数</t>
    <rPh sb="1" eb="3">
      <t>ゲンタン</t>
    </rPh>
    <rPh sb="4" eb="6">
      <t>ホンスウ</t>
    </rPh>
    <phoneticPr fontId="33"/>
  </si>
  <si>
    <t>gentan_honsu</t>
  </si>
  <si>
    <t>[原反]備考</t>
    <rPh sb="1" eb="3">
      <t>ゲンタン</t>
    </rPh>
    <rPh sb="4" eb="6">
      <t>ビコウ</t>
    </rPh>
    <phoneticPr fontId="33"/>
  </si>
  <si>
    <t>gentan_biko</t>
    <phoneticPr fontId="35"/>
  </si>
  <si>
    <t>紙管</t>
    <rPh sb="0" eb="2">
      <t>シカン</t>
    </rPh>
    <phoneticPr fontId="33"/>
  </si>
  <si>
    <t>shikan</t>
    <phoneticPr fontId="35"/>
  </si>
  <si>
    <t>製品ロット№</t>
    <rPh sb="0" eb="2">
      <t>セイヒン</t>
    </rPh>
    <phoneticPr fontId="33"/>
  </si>
  <si>
    <t>seihin_lot_no</t>
    <phoneticPr fontId="35"/>
  </si>
  <si>
    <t>分子</t>
    <rPh sb="0" eb="2">
      <t>ブンシ</t>
    </rPh>
    <phoneticPr fontId="12"/>
  </si>
  <si>
    <t>bunshi</t>
  </si>
  <si>
    <t>分母</t>
    <rPh sb="0" eb="2">
      <t>ブンボ</t>
    </rPh>
    <phoneticPr fontId="12"/>
  </si>
  <si>
    <t>bunbo</t>
  </si>
  <si>
    <t>原反本数</t>
    <rPh sb="0" eb="4">
      <t>ゲンタンホンスウ</t>
    </rPh>
    <phoneticPr fontId="20"/>
  </si>
  <si>
    <t>使用日</t>
    <rPh sb="0" eb="3">
      <t>シヨウビ</t>
    </rPh>
    <phoneticPr fontId="30"/>
  </si>
  <si>
    <t>shiyo_date</t>
    <phoneticPr fontId="35"/>
  </si>
  <si>
    <t>作業者</t>
    <rPh sb="0" eb="3">
      <t>サギョウシャ</t>
    </rPh>
    <phoneticPr fontId="30"/>
  </si>
  <si>
    <t>sagyosha</t>
    <phoneticPr fontId="35"/>
  </si>
  <si>
    <t>申し送り事項</t>
    <rPh sb="0" eb="1">
      <t>モウ</t>
    </rPh>
    <rPh sb="2" eb="3">
      <t>オク</t>
    </rPh>
    <rPh sb="4" eb="6">
      <t>ジコウ</t>
    </rPh>
    <phoneticPr fontId="30"/>
  </si>
  <si>
    <t>moshiokuri_jiko</t>
    <phoneticPr fontId="35"/>
  </si>
  <si>
    <t>一覧SEQ</t>
  </si>
  <si>
    <t>ichiran_seq</t>
  </si>
  <si>
    <t>投入回数</t>
  </si>
  <si>
    <t>tonyu_kaisu</t>
  </si>
  <si>
    <t>朝番</t>
    <rPh sb="0" eb="2">
      <t>アサバン</t>
    </rPh>
    <phoneticPr fontId="12"/>
  </si>
  <si>
    <t>asaban</t>
  </si>
  <si>
    <t>中番</t>
    <rPh sb="0" eb="2">
      <t>チュウバン</t>
    </rPh>
    <phoneticPr fontId="12"/>
  </si>
  <si>
    <t>nakaban</t>
  </si>
  <si>
    <t>夜番</t>
    <rPh sb="0" eb="2">
      <t>ヨルバン</t>
    </rPh>
    <phoneticPr fontId="12"/>
  </si>
  <si>
    <t>yoban</t>
  </si>
  <si>
    <t>固形分%</t>
    <rPh sb="0" eb="3">
      <t>コケイブン</t>
    </rPh>
    <phoneticPr fontId="12"/>
  </si>
  <si>
    <t>固形配合比%</t>
    <rPh sb="0" eb="5">
      <t>コケイハイゴウヒ</t>
    </rPh>
    <phoneticPr fontId="12"/>
  </si>
  <si>
    <t>kokei_haigo_hi</t>
    <phoneticPr fontId="12"/>
  </si>
  <si>
    <t>投入量kg</t>
    <rPh sb="0" eb="3">
      <t>トウニュウリョウ</t>
    </rPh>
    <phoneticPr fontId="12"/>
  </si>
  <si>
    <t>tonyu_ryo</t>
  </si>
  <si>
    <t>回数</t>
    <rPh sb="0" eb="2">
      <t>カイスウ</t>
    </rPh>
    <phoneticPr fontId="29"/>
  </si>
  <si>
    <t>kaisu</t>
  </si>
  <si>
    <t>調合顔料名</t>
    <rPh sb="0" eb="2">
      <t>チョウゴウ</t>
    </rPh>
    <rPh sb="2" eb="5">
      <t>ガンリョウメイ</t>
    </rPh>
    <phoneticPr fontId="35"/>
  </si>
  <si>
    <t>chogo_ganryo_nm</t>
  </si>
  <si>
    <t>顔料コード</t>
    <rPh sb="0" eb="2">
      <t>ガンリョウ</t>
    </rPh>
    <phoneticPr fontId="35"/>
  </si>
  <si>
    <t>ganryo_cd</t>
  </si>
  <si>
    <t>顔料名</t>
    <rPh sb="0" eb="3">
      <t>ガンリョウメイ</t>
    </rPh>
    <phoneticPr fontId="35"/>
  </si>
  <si>
    <t>ganryo_nm</t>
  </si>
  <si>
    <t>配合比</t>
    <rPh sb="0" eb="2">
      <t>ハイゴウ</t>
    </rPh>
    <rPh sb="2" eb="3">
      <t>ヒ</t>
    </rPh>
    <phoneticPr fontId="35"/>
  </si>
  <si>
    <t>haigo_hi</t>
  </si>
  <si>
    <t>投入量</t>
    <rPh sb="0" eb="3">
      <t>トウニュウリョウ</t>
    </rPh>
    <phoneticPr fontId="35"/>
  </si>
  <si>
    <t>パルプ配合区分</t>
    <phoneticPr fontId="12"/>
  </si>
  <si>
    <t>pulp_haigo_kbn</t>
    <phoneticPr fontId="12"/>
  </si>
  <si>
    <t>個数　整数</t>
    <rPh sb="0" eb="2">
      <t>コスウ</t>
    </rPh>
    <rPh sb="3" eb="5">
      <t>セイスウ</t>
    </rPh>
    <phoneticPr fontId="35"/>
  </si>
  <si>
    <t>kosu_seisu</t>
  </si>
  <si>
    <t>個数　分子</t>
    <rPh sb="0" eb="2">
      <t>コスウ</t>
    </rPh>
    <rPh sb="3" eb="5">
      <t>ブンシ</t>
    </rPh>
    <phoneticPr fontId="35"/>
  </si>
  <si>
    <t>kosu_bunshi</t>
  </si>
  <si>
    <t>個数　分母</t>
    <rPh sb="0" eb="2">
      <t>コスウ</t>
    </rPh>
    <rPh sb="3" eb="5">
      <t>ブンボ</t>
    </rPh>
    <phoneticPr fontId="35"/>
  </si>
  <si>
    <t>kosu_bunbo</t>
  </si>
  <si>
    <t>配合</t>
    <rPh sb="0" eb="2">
      <t>ハイゴウ</t>
    </rPh>
    <phoneticPr fontId="35"/>
  </si>
  <si>
    <t>haigo</t>
  </si>
  <si>
    <t>開始日時</t>
    <rPh sb="0" eb="4">
      <t>カイシニチジ</t>
    </rPh>
    <phoneticPr fontId="12"/>
  </si>
  <si>
    <t>start_datetime</t>
    <phoneticPr fontId="12"/>
  </si>
  <si>
    <t>加工実績日</t>
    <rPh sb="0" eb="2">
      <t>カコウ</t>
    </rPh>
    <rPh sb="2" eb="4">
      <t>ジッセキ</t>
    </rPh>
    <rPh sb="4" eb="5">
      <t>ヒ</t>
    </rPh>
    <phoneticPr fontId="12"/>
  </si>
  <si>
    <t>kako_jisseki_date</t>
  </si>
  <si>
    <t>加工作業者</t>
    <rPh sb="0" eb="2">
      <t>カコウ</t>
    </rPh>
    <rPh sb="2" eb="4">
      <t>サギョウ</t>
    </rPh>
    <rPh sb="4" eb="5">
      <t>シャ</t>
    </rPh>
    <phoneticPr fontId="12"/>
  </si>
  <si>
    <t>kako_sagyosha</t>
  </si>
  <si>
    <t>仕上実績日</t>
    <rPh sb="0" eb="4">
      <t>シアゲジッセキ</t>
    </rPh>
    <rPh sb="4" eb="5">
      <t>ヒ</t>
    </rPh>
    <phoneticPr fontId="12"/>
  </si>
  <si>
    <t>shiage_jisseki_date</t>
  </si>
  <si>
    <t>仕上作業者</t>
    <rPh sb="0" eb="2">
      <t>シアゲ</t>
    </rPh>
    <rPh sb="2" eb="4">
      <t>サギョウ</t>
    </rPh>
    <rPh sb="4" eb="5">
      <t>シャ</t>
    </rPh>
    <phoneticPr fontId="12"/>
  </si>
  <si>
    <t>shiage_sagyosha</t>
  </si>
  <si>
    <t>枠№</t>
    <rPh sb="0" eb="1">
      <t>ワク</t>
    </rPh>
    <phoneticPr fontId="12"/>
  </si>
  <si>
    <t>waku_no</t>
  </si>
  <si>
    <t>枠№使用m</t>
    <rPh sb="0" eb="2">
      <t>ワクナンバー</t>
    </rPh>
    <rPh sb="2" eb="4">
      <t>シヨウ</t>
    </rPh>
    <phoneticPr fontId="12"/>
  </si>
  <si>
    <t>waku_no_shiyo</t>
  </si>
  <si>
    <t>枠№使用残m</t>
    <rPh sb="0" eb="2">
      <t>ワクナンバー</t>
    </rPh>
    <rPh sb="2" eb="5">
      <t>シヨウザン</t>
    </rPh>
    <phoneticPr fontId="12"/>
  </si>
  <si>
    <t>waku_no_shiyo_zan</t>
  </si>
  <si>
    <t>抄紙実績日時</t>
    <rPh sb="0" eb="5">
      <t>ショウシジッセキビ</t>
    </rPh>
    <rPh sb="5" eb="6">
      <t>ジ</t>
    </rPh>
    <phoneticPr fontId="29"/>
  </si>
  <si>
    <t>shoshi_jisseki_datetime</t>
  </si>
  <si>
    <t>終了日時</t>
    <rPh sb="0" eb="2">
      <t>シュウリョウ</t>
    </rPh>
    <rPh sb="2" eb="3">
      <t>ヒ</t>
    </rPh>
    <rPh sb="3" eb="4">
      <t>ジ</t>
    </rPh>
    <phoneticPr fontId="29"/>
  </si>
  <si>
    <t>end_datetime</t>
    <phoneticPr fontId="12"/>
  </si>
  <si>
    <t>抄紙区分</t>
    <rPh sb="0" eb="2">
      <t>ショウシ</t>
    </rPh>
    <rPh sb="2" eb="4">
      <t>クブン</t>
    </rPh>
    <phoneticPr fontId="29"/>
  </si>
  <si>
    <t>shoshi_kbn</t>
  </si>
  <si>
    <t>定坪量</t>
    <rPh sb="0" eb="1">
      <t>テイ</t>
    </rPh>
    <rPh sb="1" eb="2">
      <t>ツボ</t>
    </rPh>
    <rPh sb="2" eb="3">
      <t>リョウ</t>
    </rPh>
    <phoneticPr fontId="29"/>
  </si>
  <si>
    <t>tei_paper_weight</t>
  </si>
  <si>
    <t>実坪量</t>
    <rPh sb="0" eb="1">
      <t>ジツ</t>
    </rPh>
    <rPh sb="1" eb="2">
      <t>ツボ</t>
    </rPh>
    <rPh sb="2" eb="3">
      <t>リョウ</t>
    </rPh>
    <phoneticPr fontId="29"/>
  </si>
  <si>
    <t>jitsu_paper_weight</t>
  </si>
  <si>
    <t>抄幅</t>
  </si>
  <si>
    <t>paper_width</t>
  </si>
  <si>
    <t>抄造(m)</t>
  </si>
  <si>
    <t>paper_making</t>
  </si>
  <si>
    <t>重量(kg)</t>
    <rPh sb="0" eb="2">
      <t>ジュウリョウ</t>
    </rPh>
    <phoneticPr fontId="12"/>
  </si>
  <si>
    <t>原紙分類</t>
    <rPh sb="0" eb="2">
      <t>ゲンシ</t>
    </rPh>
    <rPh sb="2" eb="4">
      <t>ブンルイ</t>
    </rPh>
    <phoneticPr fontId="29"/>
  </si>
  <si>
    <t>genshi_bunrui</t>
  </si>
  <si>
    <t>原因詳細</t>
    <rPh sb="0" eb="4">
      <t>ゲンインショウサイ</t>
    </rPh>
    <phoneticPr fontId="29"/>
  </si>
  <si>
    <t>仕上区分</t>
    <rPh sb="0" eb="2">
      <t>シアゲ</t>
    </rPh>
    <rPh sb="2" eb="4">
      <t>クブン</t>
    </rPh>
    <phoneticPr fontId="12"/>
  </si>
  <si>
    <t>shiage_kbn</t>
  </si>
  <si>
    <t>ジョイント回数</t>
    <rPh sb="5" eb="7">
      <t>カイスウ</t>
    </rPh>
    <phoneticPr fontId="12"/>
  </si>
  <si>
    <t>joint_kaisu</t>
    <phoneticPr fontId="12"/>
  </si>
  <si>
    <t>継目</t>
    <rPh sb="0" eb="2">
      <t>ツギメ</t>
    </rPh>
    <phoneticPr fontId="12"/>
  </si>
  <si>
    <t>tsugime</t>
  </si>
  <si>
    <t>実量</t>
    <rPh sb="0" eb="1">
      <t>ジツ</t>
    </rPh>
    <rPh sb="1" eb="2">
      <t>リョウ</t>
    </rPh>
    <phoneticPr fontId="12"/>
  </si>
  <si>
    <t>jitsu_ryo</t>
  </si>
  <si>
    <t>巻径</t>
  </si>
  <si>
    <t>makikei</t>
  </si>
  <si>
    <t>仕上明細変更フラグ</t>
    <rPh sb="0" eb="4">
      <t>シアゲメイサイ</t>
    </rPh>
    <rPh sb="4" eb="6">
      <t>ヘンコウ</t>
    </rPh>
    <phoneticPr fontId="12"/>
  </si>
  <si>
    <t>shiage_meisai_henko_flg</t>
  </si>
  <si>
    <t>枠№使用ｍ</t>
    <rPh sb="0" eb="1">
      <t>ワク</t>
    </rPh>
    <rPh sb="2" eb="4">
      <t>シヨウ</t>
    </rPh>
    <phoneticPr fontId="37"/>
  </si>
  <si>
    <t>waku_no_shiyo</t>
    <phoneticPr fontId="35"/>
  </si>
  <si>
    <t>枠№使用残ｍ</t>
    <rPh sb="0" eb="1">
      <t>ワク</t>
    </rPh>
    <rPh sb="2" eb="4">
      <t>シヨウ</t>
    </rPh>
    <rPh sb="4" eb="5">
      <t>ザン</t>
    </rPh>
    <phoneticPr fontId="37"/>
  </si>
  <si>
    <t>waku_no_shiyo_zan</t>
    <phoneticPr fontId="35"/>
  </si>
  <si>
    <t>加工実績日時</t>
    <rPh sb="0" eb="6">
      <t>カコウジッセキニチジ</t>
    </rPh>
    <phoneticPr fontId="31"/>
  </si>
  <si>
    <t>kako_jisseki_datetime</t>
    <phoneticPr fontId="35"/>
  </si>
  <si>
    <t>合否</t>
    <rPh sb="0" eb="2">
      <t>ゴウヒ</t>
    </rPh>
    <phoneticPr fontId="37"/>
  </si>
  <si>
    <t>gohi</t>
    <phoneticPr fontId="35"/>
  </si>
  <si>
    <t>加工区分</t>
    <rPh sb="0" eb="4">
      <t>カコウクブン</t>
    </rPh>
    <phoneticPr fontId="37"/>
  </si>
  <si>
    <t>kako_kbn</t>
    <phoneticPr fontId="35"/>
  </si>
  <si>
    <t>[原反1]№</t>
  </si>
  <si>
    <t>gentan1_no</t>
    <phoneticPr fontId="35"/>
  </si>
  <si>
    <t>[原反1]製品ロット№</t>
    <rPh sb="5" eb="7">
      <t>セイヒン</t>
    </rPh>
    <phoneticPr fontId="37"/>
  </si>
  <si>
    <t>gentan1_seihin_lot_no</t>
    <phoneticPr fontId="35"/>
  </si>
  <si>
    <t>[原反1]銘柄</t>
    <rPh sb="5" eb="7">
      <t>メイガラ</t>
    </rPh>
    <phoneticPr fontId="37"/>
  </si>
  <si>
    <t>gentan1_hinshu_cd</t>
    <phoneticPr fontId="35"/>
  </si>
  <si>
    <t>[原反1]坪量</t>
    <rPh sb="5" eb="7">
      <t>ツボリョウ</t>
    </rPh>
    <phoneticPr fontId="37"/>
  </si>
  <si>
    <t>gentan1_paper_weight</t>
    <phoneticPr fontId="35"/>
  </si>
  <si>
    <t>[原反1]幅</t>
    <rPh sb="5" eb="6">
      <t>ハバ</t>
    </rPh>
    <phoneticPr fontId="37"/>
  </si>
  <si>
    <t>gentan1_width</t>
    <phoneticPr fontId="35"/>
  </si>
  <si>
    <t>[原反1]長さ</t>
    <rPh sb="5" eb="6">
      <t>ナガ</t>
    </rPh>
    <phoneticPr fontId="37"/>
  </si>
  <si>
    <t>gentan1_length</t>
    <phoneticPr fontId="35"/>
  </si>
  <si>
    <t>[原反1]使用残ｍ</t>
    <rPh sb="1" eb="3">
      <t>ゲンタン</t>
    </rPh>
    <rPh sb="5" eb="7">
      <t>シヨウ</t>
    </rPh>
    <rPh sb="7" eb="8">
      <t>ザン</t>
    </rPh>
    <phoneticPr fontId="37"/>
  </si>
  <si>
    <t>gentan1_shiyo_zan</t>
    <phoneticPr fontId="35"/>
  </si>
  <si>
    <t>[原反1]継続</t>
    <rPh sb="1" eb="3">
      <t>ゲンタン</t>
    </rPh>
    <rPh sb="5" eb="7">
      <t>ケイゾク</t>
    </rPh>
    <phoneticPr fontId="37"/>
  </si>
  <si>
    <t>gentan1_kezoku</t>
    <phoneticPr fontId="35"/>
  </si>
  <si>
    <t>[原反1]備考</t>
    <rPh sb="1" eb="3">
      <t>ゲンタン</t>
    </rPh>
    <rPh sb="5" eb="7">
      <t>ビコウ</t>
    </rPh>
    <phoneticPr fontId="37"/>
  </si>
  <si>
    <t>gentan1_biko</t>
    <phoneticPr fontId="35"/>
  </si>
  <si>
    <t>[原反2]№</t>
  </si>
  <si>
    <t>gentan2_no</t>
    <phoneticPr fontId="35"/>
  </si>
  <si>
    <t>[原反2]製品ロット№</t>
    <rPh sb="5" eb="7">
      <t>セイヒン</t>
    </rPh>
    <phoneticPr fontId="37"/>
  </si>
  <si>
    <t>gentan2_seihin_lot_no</t>
    <phoneticPr fontId="35"/>
  </si>
  <si>
    <t>[原反2]銘柄</t>
    <rPh sb="5" eb="7">
      <t>メイガラ</t>
    </rPh>
    <phoneticPr fontId="37"/>
  </si>
  <si>
    <t>gentan2_hinshu_cd</t>
    <phoneticPr fontId="35"/>
  </si>
  <si>
    <t>[原反2]坪量</t>
    <rPh sb="5" eb="7">
      <t>ツボリョウ</t>
    </rPh>
    <phoneticPr fontId="37"/>
  </si>
  <si>
    <t>gentan2_paper_weight</t>
    <phoneticPr fontId="35"/>
  </si>
  <si>
    <t>[原反2]幅</t>
    <rPh sb="5" eb="6">
      <t>ハバ</t>
    </rPh>
    <phoneticPr fontId="37"/>
  </si>
  <si>
    <t>gentan2_width</t>
    <phoneticPr fontId="35"/>
  </si>
  <si>
    <t>[原反2]長さ</t>
    <rPh sb="5" eb="6">
      <t>ナガ</t>
    </rPh>
    <phoneticPr fontId="37"/>
  </si>
  <si>
    <t>gentan2_length</t>
    <phoneticPr fontId="35"/>
  </si>
  <si>
    <t>[原反2]使用残ｍ</t>
    <rPh sb="1" eb="3">
      <t>ゲンタン</t>
    </rPh>
    <rPh sb="5" eb="7">
      <t>シヨウ</t>
    </rPh>
    <rPh sb="7" eb="8">
      <t>ザン</t>
    </rPh>
    <phoneticPr fontId="37"/>
  </si>
  <si>
    <t>gentan2_shiyo_zan</t>
    <phoneticPr fontId="35"/>
  </si>
  <si>
    <t>[原反2]継続</t>
    <rPh sb="1" eb="3">
      <t>ゲンタン</t>
    </rPh>
    <rPh sb="5" eb="7">
      <t>ケイゾク</t>
    </rPh>
    <phoneticPr fontId="37"/>
  </si>
  <si>
    <t>gentan2_kezoku</t>
    <phoneticPr fontId="35"/>
  </si>
  <si>
    <t>[原反2]備考</t>
    <rPh sb="5" eb="7">
      <t>ビコウ</t>
    </rPh>
    <phoneticPr fontId="37"/>
  </si>
  <si>
    <t>gentan2_biko</t>
    <phoneticPr fontId="35"/>
  </si>
  <si>
    <t>[原反3]№</t>
  </si>
  <si>
    <t>gentan3_no</t>
  </si>
  <si>
    <t>[原反3]製品ロット№</t>
    <rPh sb="5" eb="7">
      <t>セイヒン</t>
    </rPh>
    <phoneticPr fontId="37"/>
  </si>
  <si>
    <t>gentan3_seihin_lot_no</t>
    <phoneticPr fontId="12"/>
  </si>
  <si>
    <t>[原反3]銘柄</t>
    <rPh sb="5" eb="7">
      <t>メイガラ</t>
    </rPh>
    <phoneticPr fontId="37"/>
  </si>
  <si>
    <t>gentan3_hinshu_cd</t>
  </si>
  <si>
    <t>[原反3]坪量</t>
    <rPh sb="5" eb="7">
      <t>ツボリョウ</t>
    </rPh>
    <phoneticPr fontId="37"/>
  </si>
  <si>
    <t>gentan3_paper_weight</t>
  </si>
  <si>
    <t>[原反3]幅</t>
    <rPh sb="5" eb="6">
      <t>ハバ</t>
    </rPh>
    <phoneticPr fontId="37"/>
  </si>
  <si>
    <t>gentan3_width</t>
  </si>
  <si>
    <t>[原反3]長さ</t>
    <rPh sb="5" eb="6">
      <t>ナガ</t>
    </rPh>
    <phoneticPr fontId="37"/>
  </si>
  <si>
    <t>gentan3_length</t>
  </si>
  <si>
    <t>[原反3]使用残ｍ</t>
    <rPh sb="1" eb="3">
      <t>ゲンタン</t>
    </rPh>
    <rPh sb="5" eb="7">
      <t>シヨウ</t>
    </rPh>
    <phoneticPr fontId="37"/>
  </si>
  <si>
    <t>gentan3_shiyo_zan</t>
  </si>
  <si>
    <t>[原反3]継続</t>
    <rPh sb="1" eb="3">
      <t>ゲンタン</t>
    </rPh>
    <rPh sb="5" eb="7">
      <t>ケイゾク</t>
    </rPh>
    <phoneticPr fontId="37"/>
  </si>
  <si>
    <t>gentan3_kezoku</t>
  </si>
  <si>
    <t>[原反3]備考</t>
    <rPh sb="5" eb="7">
      <t>ビコウ</t>
    </rPh>
    <phoneticPr fontId="37"/>
  </si>
  <si>
    <t>gentan3_biko</t>
  </si>
  <si>
    <t>実績SEQ</t>
    <rPh sb="0" eb="2">
      <t>ジッセキ</t>
    </rPh>
    <phoneticPr fontId="12"/>
  </si>
  <si>
    <t>jisseki_seq</t>
    <phoneticPr fontId="12"/>
  </si>
  <si>
    <t>使用枠№</t>
    <rPh sb="0" eb="2">
      <t>シヨウ</t>
    </rPh>
    <rPh sb="2" eb="4">
      <t>ワクナンバー</t>
    </rPh>
    <phoneticPr fontId="12"/>
  </si>
  <si>
    <t>shiyo_waku_no</t>
  </si>
  <si>
    <t>使用製品ロット№</t>
    <rPh sb="0" eb="2">
      <t>シヨウ</t>
    </rPh>
    <rPh sb="2" eb="4">
      <t>セイヒン</t>
    </rPh>
    <phoneticPr fontId="12"/>
  </si>
  <si>
    <t>shiyo_seihin_lot_no</t>
  </si>
  <si>
    <t>使用ｍ</t>
    <rPh sb="0" eb="2">
      <t>シヨウ</t>
    </rPh>
    <phoneticPr fontId="12"/>
  </si>
  <si>
    <t>shiyo</t>
  </si>
  <si>
    <t>製品フラグ</t>
    <rPh sb="0" eb="2">
      <t>セイヒン</t>
    </rPh>
    <phoneticPr fontId="12"/>
  </si>
  <si>
    <t>seihin_flg</t>
  </si>
  <si>
    <t>含浸率</t>
    <rPh sb="0" eb="2">
      <t>ガンシン</t>
    </rPh>
    <rPh sb="2" eb="3">
      <t>リツ</t>
    </rPh>
    <phoneticPr fontId="13"/>
  </si>
  <si>
    <t>ganshin_ritsu</t>
  </si>
  <si>
    <t>ライン速度</t>
    <rPh sb="3" eb="5">
      <t>ソクド</t>
    </rPh>
    <phoneticPr fontId="13"/>
  </si>
  <si>
    <t>line_sokudo</t>
    <phoneticPr fontId="12"/>
  </si>
  <si>
    <t>欠点数</t>
    <rPh sb="0" eb="3">
      <t>ケッテンスウ</t>
    </rPh>
    <phoneticPr fontId="13"/>
  </si>
  <si>
    <t>ketten_su</t>
  </si>
  <si>
    <t>合否コメント</t>
    <rPh sb="0" eb="2">
      <t>ゴウヒ</t>
    </rPh>
    <phoneticPr fontId="13"/>
  </si>
  <si>
    <t>gohi_comment</t>
    <phoneticPr fontId="12"/>
  </si>
  <si>
    <t>残ｍ</t>
    <rPh sb="0" eb="1">
      <t>ザン</t>
    </rPh>
    <phoneticPr fontId="37"/>
  </si>
  <si>
    <t>zan</t>
    <phoneticPr fontId="35"/>
  </si>
  <si>
    <t>成型実績日</t>
    <rPh sb="0" eb="2">
      <t>セイケイ</t>
    </rPh>
    <rPh sb="2" eb="4">
      <t>ジッセキ</t>
    </rPh>
    <rPh sb="4" eb="5">
      <t>ヒ</t>
    </rPh>
    <phoneticPr fontId="37"/>
  </si>
  <si>
    <t>seikei_jisseki_date</t>
    <phoneticPr fontId="35"/>
  </si>
  <si>
    <t>成型作業者</t>
    <rPh sb="0" eb="2">
      <t>セイケイ</t>
    </rPh>
    <rPh sb="2" eb="4">
      <t>サギョウ</t>
    </rPh>
    <rPh sb="4" eb="5">
      <t>シャ</t>
    </rPh>
    <phoneticPr fontId="37"/>
  </si>
  <si>
    <t>seikei_sagyosha</t>
    <phoneticPr fontId="35"/>
  </si>
  <si>
    <t>包装実績日</t>
    <rPh sb="0" eb="2">
      <t>ホウソウ</t>
    </rPh>
    <rPh sb="2" eb="4">
      <t>ジッセキ</t>
    </rPh>
    <rPh sb="4" eb="5">
      <t>ヒ</t>
    </rPh>
    <phoneticPr fontId="37"/>
  </si>
  <si>
    <t>hoso_jisseki_date</t>
    <phoneticPr fontId="35"/>
  </si>
  <si>
    <t>包装作業者</t>
    <rPh sb="0" eb="2">
      <t>ホウソウ</t>
    </rPh>
    <rPh sb="2" eb="4">
      <t>サギョウ</t>
    </rPh>
    <rPh sb="4" eb="5">
      <t>シャ</t>
    </rPh>
    <phoneticPr fontId="37"/>
  </si>
  <si>
    <t>hoso_sagyosha</t>
    <phoneticPr fontId="35"/>
  </si>
  <si>
    <t>作業開始日時</t>
    <rPh sb="0" eb="6">
      <t>サギョウカイシニチジ</t>
    </rPh>
    <phoneticPr fontId="37"/>
  </si>
  <si>
    <t>sagyo_start_datetime</t>
    <phoneticPr fontId="35"/>
  </si>
  <si>
    <t>休憩時間</t>
    <rPh sb="0" eb="4">
      <t>キュウケイジカン</t>
    </rPh>
    <phoneticPr fontId="37"/>
  </si>
  <si>
    <t>kyukei_time</t>
    <phoneticPr fontId="12"/>
  </si>
  <si>
    <t>内訳</t>
    <rPh sb="0" eb="2">
      <t>ウチワケ</t>
    </rPh>
    <phoneticPr fontId="37"/>
  </si>
  <si>
    <t>uchiwake</t>
    <phoneticPr fontId="35"/>
  </si>
  <si>
    <t>稼働情報</t>
    <rPh sb="0" eb="4">
      <t>カドウジョウホウ</t>
    </rPh>
    <phoneticPr fontId="37"/>
  </si>
  <si>
    <t>kado_joho</t>
    <phoneticPr fontId="35"/>
  </si>
  <si>
    <t>[原反]製品ロット№</t>
    <rPh sb="4" eb="6">
      <t>セイヒン</t>
    </rPh>
    <phoneticPr fontId="37"/>
  </si>
  <si>
    <t>gentan_seihin_lot_no</t>
  </si>
  <si>
    <t>マーキング</t>
  </si>
  <si>
    <t>marking</t>
    <phoneticPr fontId="35"/>
  </si>
  <si>
    <t>温度</t>
    <rPh sb="0" eb="2">
      <t>オンド</t>
    </rPh>
    <phoneticPr fontId="37"/>
  </si>
  <si>
    <t>ondo</t>
    <phoneticPr fontId="35"/>
  </si>
  <si>
    <t>湿度</t>
    <rPh sb="0" eb="2">
      <t>シツド</t>
    </rPh>
    <phoneticPr fontId="37"/>
  </si>
  <si>
    <t>shitsudo</t>
    <phoneticPr fontId="35"/>
  </si>
  <si>
    <t>shot</t>
  </si>
  <si>
    <t>shot</t>
    <phoneticPr fontId="35"/>
  </si>
  <si>
    <t>ロット№印字順</t>
    <rPh sb="4" eb="7">
      <t>インジジュン</t>
    </rPh>
    <phoneticPr fontId="12"/>
  </si>
  <si>
    <t>lot_no_injijun</t>
  </si>
  <si>
    <t>包装機カウンタ</t>
    <rPh sb="0" eb="3">
      <t>ホウソウキ</t>
    </rPh>
    <phoneticPr fontId="12"/>
  </si>
  <si>
    <t>hosoki_counter</t>
  </si>
  <si>
    <t>使用フィルム長</t>
    <rPh sb="0" eb="2">
      <t>シヨウ</t>
    </rPh>
    <rPh sb="6" eb="7">
      <t>チョウ</t>
    </rPh>
    <phoneticPr fontId="12"/>
  </si>
  <si>
    <t>shiyo_film_cho</t>
  </si>
  <si>
    <t>完了日時</t>
    <rPh sb="0" eb="4">
      <t>カンリョウニチジ</t>
    </rPh>
    <phoneticPr fontId="12"/>
  </si>
  <si>
    <t>kanryo_datetime</t>
  </si>
  <si>
    <t>状態</t>
    <rPh sb="0" eb="2">
      <t>ジョウタイ</t>
    </rPh>
    <phoneticPr fontId="12"/>
  </si>
  <si>
    <t>jotai</t>
  </si>
  <si>
    <t>生産ケース数</t>
    <rPh sb="0" eb="2">
      <t>セイサン</t>
    </rPh>
    <rPh sb="5" eb="6">
      <t>スウ</t>
    </rPh>
    <phoneticPr fontId="12"/>
  </si>
  <si>
    <t>seisan_case_su</t>
  </si>
  <si>
    <t>仕掛入数</t>
    <rPh sb="0" eb="2">
      <t>シカカリ</t>
    </rPh>
    <rPh sb="2" eb="4">
      <t>イリスウ</t>
    </rPh>
    <phoneticPr fontId="12"/>
  </si>
  <si>
    <t>shikakari_irisu</t>
  </si>
  <si>
    <t>使用ケース数</t>
    <rPh sb="0" eb="2">
      <t>シヨウ</t>
    </rPh>
    <rPh sb="5" eb="6">
      <t>スウ</t>
    </rPh>
    <phoneticPr fontId="12"/>
  </si>
  <si>
    <t>shiyo_case_su</t>
  </si>
  <si>
    <t>使用端数</t>
    <rPh sb="0" eb="2">
      <t>シヨウ</t>
    </rPh>
    <rPh sb="2" eb="4">
      <t>ハスウ</t>
    </rPh>
    <phoneticPr fontId="12"/>
  </si>
  <si>
    <t>shiyo_hasu</t>
  </si>
  <si>
    <t>使用数</t>
    <rPh sb="0" eb="3">
      <t>シヨウスウ</t>
    </rPh>
    <phoneticPr fontId="12"/>
  </si>
  <si>
    <t>shiyo_su</t>
  </si>
  <si>
    <t>作業実施区分</t>
    <rPh sb="0" eb="6">
      <t>サギョウジッシクブン</t>
    </rPh>
    <phoneticPr fontId="12"/>
  </si>
  <si>
    <t>sagyo_jisshi_kbn</t>
  </si>
  <si>
    <t>指導員</t>
    <rPh sb="0" eb="3">
      <t>シドウイン</t>
    </rPh>
    <phoneticPr fontId="12"/>
  </si>
  <si>
    <t>shidoin</t>
  </si>
  <si>
    <t>作業者人数</t>
    <rPh sb="0" eb="5">
      <t>サギョウシャニンズウ</t>
    </rPh>
    <phoneticPr fontId="12"/>
  </si>
  <si>
    <t>sagyosha_ninzu</t>
  </si>
  <si>
    <t>生産品備考</t>
    <rPh sb="0" eb="3">
      <t>セイサンヒン</t>
    </rPh>
    <rPh sb="3" eb="5">
      <t>ビコウ</t>
    </rPh>
    <phoneticPr fontId="12"/>
  </si>
  <si>
    <t>seisanhin_biko</t>
  </si>
  <si>
    <t>仕上パレット№</t>
    <rPh sb="0" eb="2">
      <t>シアゲ</t>
    </rPh>
    <phoneticPr fontId="12"/>
  </si>
  <si>
    <t>shiage_pallet_no</t>
    <phoneticPr fontId="12"/>
  </si>
  <si>
    <t>生産入数</t>
    <rPh sb="0" eb="4">
      <t>セイサンイリスウ</t>
    </rPh>
    <phoneticPr fontId="12"/>
  </si>
  <si>
    <t>seisan_irisu</t>
  </si>
  <si>
    <t>生産仕掛個数</t>
    <rPh sb="0" eb="6">
      <t>セイサンシカカリコスウ</t>
    </rPh>
    <phoneticPr fontId="12"/>
  </si>
  <si>
    <t>seisan_shikakari_kosu</t>
  </si>
  <si>
    <t>生産個数</t>
    <rPh sb="0" eb="2">
      <t>セイサン</t>
    </rPh>
    <rPh sb="2" eb="4">
      <t>コスウ</t>
    </rPh>
    <phoneticPr fontId="12"/>
  </si>
  <si>
    <t>seisan_kosu</t>
  </si>
  <si>
    <t>原反ロット№</t>
    <rPh sb="0" eb="2">
      <t>ゲンタン</t>
    </rPh>
    <phoneticPr fontId="12"/>
  </si>
  <si>
    <t>gentan_lot_no</t>
  </si>
  <si>
    <t>包装</t>
    <rPh sb="0" eb="2">
      <t>ホウソウ</t>
    </rPh>
    <phoneticPr fontId="31"/>
  </si>
  <si>
    <t>hoso</t>
    <phoneticPr fontId="35"/>
  </si>
  <si>
    <t>ラベル数</t>
    <rPh sb="3" eb="4">
      <t>スウ</t>
    </rPh>
    <phoneticPr fontId="37"/>
  </si>
  <si>
    <t>label_su</t>
    <phoneticPr fontId="35"/>
  </si>
  <si>
    <t>移動指示№</t>
    <rPh sb="0" eb="4">
      <t>イドウシジ</t>
    </rPh>
    <phoneticPr fontId="37"/>
  </si>
  <si>
    <t>ido_shiji_no</t>
    <phoneticPr fontId="35"/>
  </si>
  <si>
    <t>生産分類</t>
    <rPh sb="0" eb="2">
      <t>セイサン</t>
    </rPh>
    <rPh sb="2" eb="4">
      <t>ブンルイ</t>
    </rPh>
    <phoneticPr fontId="37"/>
  </si>
  <si>
    <t>seisan_bunrui</t>
    <phoneticPr fontId="35"/>
  </si>
  <si>
    <t>移動分類</t>
    <rPh sb="0" eb="4">
      <t>イドウブンルイ</t>
    </rPh>
    <phoneticPr fontId="37"/>
  </si>
  <si>
    <t>ido_bunrui</t>
    <phoneticPr fontId="35"/>
  </si>
  <si>
    <t>コード分類</t>
    <rPh sb="3" eb="5">
      <t>ブンルイ</t>
    </rPh>
    <phoneticPr fontId="37"/>
  </si>
  <si>
    <t>code_bunrui</t>
    <phoneticPr fontId="35"/>
  </si>
  <si>
    <t>移動先保管場所コード</t>
    <rPh sb="0" eb="3">
      <t>イドウサキ</t>
    </rPh>
    <rPh sb="3" eb="7">
      <t>ホカンバショ</t>
    </rPh>
    <phoneticPr fontId="37"/>
  </si>
  <si>
    <t>idosaki_hokan_basho_cd</t>
  </si>
  <si>
    <t>移動先保管場所名称</t>
    <rPh sb="0" eb="2">
      <t>イドウ</t>
    </rPh>
    <rPh sb="2" eb="3">
      <t>サキ</t>
    </rPh>
    <rPh sb="3" eb="5">
      <t>ホカン</t>
    </rPh>
    <rPh sb="5" eb="7">
      <t>バショ</t>
    </rPh>
    <rPh sb="7" eb="9">
      <t>メイショウ</t>
    </rPh>
    <phoneticPr fontId="37"/>
  </si>
  <si>
    <t>idosaki_hokan_basho_nm</t>
  </si>
  <si>
    <t>ロット指定区分</t>
    <rPh sb="3" eb="5">
      <t>シテイ</t>
    </rPh>
    <rPh sb="5" eb="7">
      <t>クブン</t>
    </rPh>
    <phoneticPr fontId="37"/>
  </si>
  <si>
    <t>lot_shitei_kbn</t>
    <phoneticPr fontId="35"/>
  </si>
  <si>
    <t>移動予定日</t>
    <rPh sb="0" eb="2">
      <t>イドウ</t>
    </rPh>
    <rPh sb="2" eb="4">
      <t>ヨテイ</t>
    </rPh>
    <rPh sb="4" eb="5">
      <t>ビ</t>
    </rPh>
    <phoneticPr fontId="37"/>
  </si>
  <si>
    <t>ido_yotei_date</t>
    <phoneticPr fontId="35"/>
  </si>
  <si>
    <t>移動完了日付</t>
    <rPh sb="0" eb="4">
      <t>イドウカンリョウ</t>
    </rPh>
    <rPh sb="4" eb="6">
      <t>ヒヅケ</t>
    </rPh>
    <phoneticPr fontId="37"/>
  </si>
  <si>
    <t>ido_kanryo_date</t>
    <phoneticPr fontId="35"/>
  </si>
  <si>
    <t>依頼者コード</t>
    <rPh sb="0" eb="3">
      <t>イライシャ</t>
    </rPh>
    <phoneticPr fontId="37"/>
  </si>
  <si>
    <t>iraisha_cd</t>
    <phoneticPr fontId="35"/>
  </si>
  <si>
    <t>依頼者名</t>
    <rPh sb="0" eb="3">
      <t>イライシャ</t>
    </rPh>
    <rPh sb="3" eb="4">
      <t>メイ</t>
    </rPh>
    <phoneticPr fontId="37"/>
  </si>
  <si>
    <t>iraisha_nm</t>
    <phoneticPr fontId="35"/>
  </si>
  <si>
    <t>運搬業者コード</t>
    <rPh sb="0" eb="4">
      <t>ウンパンギョウシャ</t>
    </rPh>
    <phoneticPr fontId="37"/>
  </si>
  <si>
    <t>unpan_gyosha_cd</t>
    <phoneticPr fontId="35"/>
  </si>
  <si>
    <t>運搬業者名</t>
    <rPh sb="4" eb="5">
      <t>メイ</t>
    </rPh>
    <phoneticPr fontId="37"/>
  </si>
  <si>
    <t>unpan_gyosha_nm</t>
    <phoneticPr fontId="35"/>
  </si>
  <si>
    <t>運搬業者担当者名</t>
    <rPh sb="0" eb="2">
      <t>ウンパン</t>
    </rPh>
    <rPh sb="2" eb="4">
      <t>ギョウシャ</t>
    </rPh>
    <rPh sb="4" eb="8">
      <t>タントウシャメイ</t>
    </rPh>
    <phoneticPr fontId="37"/>
  </si>
  <si>
    <t>unpan_gyosha_tantosha_nm</t>
    <phoneticPr fontId="35"/>
  </si>
  <si>
    <t>移動先業者コード</t>
    <rPh sb="0" eb="3">
      <t>イドウサキ</t>
    </rPh>
    <rPh sb="3" eb="5">
      <t>ギョウシャ</t>
    </rPh>
    <phoneticPr fontId="37"/>
  </si>
  <si>
    <t>idosaki_gyosha_cd</t>
    <phoneticPr fontId="35"/>
  </si>
  <si>
    <t>移動先業者名</t>
    <rPh sb="0" eb="3">
      <t>イドウサキ</t>
    </rPh>
    <rPh sb="3" eb="5">
      <t>ギョウシャ</t>
    </rPh>
    <rPh sb="5" eb="6">
      <t>メイ</t>
    </rPh>
    <phoneticPr fontId="37"/>
  </si>
  <si>
    <t>idosaki_gyosha_nm</t>
    <phoneticPr fontId="35"/>
  </si>
  <si>
    <t>移動先担当者名</t>
    <rPh sb="0" eb="3">
      <t>イドウサキ</t>
    </rPh>
    <rPh sb="3" eb="7">
      <t>タントウシャメイ</t>
    </rPh>
    <phoneticPr fontId="37"/>
  </si>
  <si>
    <t>idosaki_tantosha_nm</t>
    <phoneticPr fontId="35"/>
  </si>
  <si>
    <t>移動指示明細№</t>
    <rPh sb="0" eb="6">
      <t>イドウシジメイサイ</t>
    </rPh>
    <phoneticPr fontId="12"/>
  </si>
  <si>
    <t>ido_shiji_meisai_no</t>
  </si>
  <si>
    <t>指定ロットフラグ</t>
    <phoneticPr fontId="12"/>
  </si>
  <si>
    <t>shitei_lot_flg</t>
    <phoneticPr fontId="12"/>
  </si>
  <si>
    <t>移動元保管場所コード</t>
    <rPh sb="0" eb="3">
      <t>イドウモト</t>
    </rPh>
    <rPh sb="3" eb="5">
      <t>ホカン</t>
    </rPh>
    <rPh sb="5" eb="7">
      <t>バショ</t>
    </rPh>
    <phoneticPr fontId="12"/>
  </si>
  <si>
    <t>idomoto_hokan_basho_cd</t>
    <phoneticPr fontId="12"/>
  </si>
  <si>
    <t>移動元保管場所名称</t>
    <rPh sb="0" eb="3">
      <t>イドウモト</t>
    </rPh>
    <rPh sb="3" eb="5">
      <t>ホカン</t>
    </rPh>
    <rPh sb="5" eb="7">
      <t>バショ</t>
    </rPh>
    <rPh sb="7" eb="9">
      <t>メイショウ</t>
    </rPh>
    <phoneticPr fontId="12"/>
  </si>
  <si>
    <t>idomoto_hokan_basho_nm</t>
    <phoneticPr fontId="12"/>
  </si>
  <si>
    <t>製品フルロット№</t>
    <rPh sb="0" eb="2">
      <t>セイヒン</t>
    </rPh>
    <phoneticPr fontId="12"/>
  </si>
  <si>
    <t>seihin_full_lot_no</t>
  </si>
  <si>
    <t>フルパレット№</t>
  </si>
  <si>
    <t>full_pallet_no</t>
  </si>
  <si>
    <t>連量</t>
    <rPh sb="0" eb="2">
      <t>レンリョウ</t>
    </rPh>
    <phoneticPr fontId="12"/>
  </si>
  <si>
    <t>renryo</t>
  </si>
  <si>
    <t>移動数</t>
    <rPh sb="0" eb="2">
      <t>イドウ</t>
    </rPh>
    <rPh sb="2" eb="3">
      <t>スウ</t>
    </rPh>
    <phoneticPr fontId="12"/>
  </si>
  <si>
    <t>ido_su</t>
  </si>
  <si>
    <t>移動実績№</t>
    <rPh sb="0" eb="2">
      <t>イドウ</t>
    </rPh>
    <rPh sb="2" eb="4">
      <t>ジッセキ</t>
    </rPh>
    <phoneticPr fontId="12"/>
  </si>
  <si>
    <t>ido_jisseki_no</t>
  </si>
  <si>
    <t>移動実施日</t>
    <rPh sb="0" eb="2">
      <t>イドウ</t>
    </rPh>
    <rPh sb="2" eb="4">
      <t>ジッシ</t>
    </rPh>
    <rPh sb="4" eb="5">
      <t>ヒ</t>
    </rPh>
    <phoneticPr fontId="12"/>
  </si>
  <si>
    <t>ido_jisshi_date</t>
  </si>
  <si>
    <t>ハンディエラーデータフラグ</t>
    <phoneticPr fontId="12"/>
  </si>
  <si>
    <t>handy_error_data_flg</t>
  </si>
  <si>
    <t>PC版登録フラグ</t>
    <rPh sb="2" eb="3">
      <t>バン</t>
    </rPh>
    <rPh sb="3" eb="5">
      <t>トウロク</t>
    </rPh>
    <phoneticPr fontId="12"/>
  </si>
  <si>
    <t>pc_ban_toroku_flg</t>
    <phoneticPr fontId="12"/>
  </si>
  <si>
    <t>引取指示№</t>
    <rPh sb="0" eb="2">
      <t>ヒキトリ</t>
    </rPh>
    <rPh sb="2" eb="4">
      <t>シジ</t>
    </rPh>
    <phoneticPr fontId="12"/>
  </si>
  <si>
    <t>hikitori_shiji_no</t>
  </si>
  <si>
    <t>外注加工業者コード</t>
  </si>
  <si>
    <t>gaichu_kako_gyosha_cd</t>
  </si>
  <si>
    <t>外注加工業者名</t>
  </si>
  <si>
    <t>gaichu_kako_gyosha_nm</t>
  </si>
  <si>
    <t>顧客名</t>
  </si>
  <si>
    <t>連数(R)</t>
    <rPh sb="0" eb="1">
      <t>レン</t>
    </rPh>
    <rPh sb="1" eb="2">
      <t>スウ</t>
    </rPh>
    <phoneticPr fontId="38"/>
  </si>
  <si>
    <t>rensu</t>
  </si>
  <si>
    <t>1包の連数</t>
    <rPh sb="1" eb="2">
      <t>ツツミ</t>
    </rPh>
    <rPh sb="3" eb="4">
      <t>レン</t>
    </rPh>
    <rPh sb="4" eb="5">
      <t>スウ</t>
    </rPh>
    <phoneticPr fontId="38"/>
  </si>
  <si>
    <t>hitotsutsumi_rensu</t>
  </si>
  <si>
    <t>納品数</t>
    <rPh sb="0" eb="3">
      <t>ノウヒンスウ</t>
    </rPh>
    <phoneticPr fontId="38"/>
  </si>
  <si>
    <t>nohin_su</t>
  </si>
  <si>
    <t>平判の折り方</t>
  </si>
  <si>
    <t>hiraban</t>
  </si>
  <si>
    <t>生産計画登録者</t>
    <rPh sb="0" eb="2">
      <t>セイサン</t>
    </rPh>
    <rPh sb="2" eb="4">
      <t>ケイカク</t>
    </rPh>
    <rPh sb="4" eb="7">
      <t>トウロクシャ</t>
    </rPh>
    <phoneticPr fontId="39"/>
  </si>
  <si>
    <t>seisan_keikaku_torokusha</t>
  </si>
  <si>
    <t>発行日</t>
    <rPh sb="0" eb="3">
      <t>ハッコウビヒ</t>
    </rPh>
    <phoneticPr fontId="40"/>
  </si>
  <si>
    <t>hakko_date</t>
  </si>
  <si>
    <t>引取先業者コード</t>
    <rPh sb="3" eb="5">
      <t>ギョウシャ</t>
    </rPh>
    <phoneticPr fontId="28"/>
  </si>
  <si>
    <t>hikitorisaki_gyosha_cd</t>
  </si>
  <si>
    <t>引取先業者名</t>
    <rPh sb="3" eb="5">
      <t>ギョウシャ</t>
    </rPh>
    <rPh sb="5" eb="6">
      <t>メイ</t>
    </rPh>
    <phoneticPr fontId="28"/>
  </si>
  <si>
    <t>hikitorisaki_gyosha_nm</t>
  </si>
  <si>
    <t>引取先担当者名</t>
    <rPh sb="3" eb="6">
      <t>タントウシャ</t>
    </rPh>
    <rPh sb="6" eb="7">
      <t>メイ</t>
    </rPh>
    <phoneticPr fontId="28"/>
  </si>
  <si>
    <t>hikitorisaki_tantosha_nm</t>
  </si>
  <si>
    <t>引取先件名</t>
    <rPh sb="3" eb="5">
      <t>ケンメイ</t>
    </rPh>
    <phoneticPr fontId="28"/>
  </si>
  <si>
    <t>hikitorisaki_kenmei</t>
  </si>
  <si>
    <t>引取日</t>
    <rPh sb="0" eb="2">
      <t>ヒキトリ</t>
    </rPh>
    <rPh sb="2" eb="3">
      <t>ヒ</t>
    </rPh>
    <phoneticPr fontId="40"/>
  </si>
  <si>
    <t>hikitori_date</t>
  </si>
  <si>
    <t>入庫場所コード</t>
    <rPh sb="0" eb="2">
      <t>ニュウコ</t>
    </rPh>
    <rPh sb="2" eb="4">
      <t>バショ</t>
    </rPh>
    <phoneticPr fontId="40"/>
  </si>
  <si>
    <t>nyuko_basho_cd</t>
  </si>
  <si>
    <t>入庫場所名</t>
    <rPh sb="0" eb="2">
      <t>ニュウコ</t>
    </rPh>
    <rPh sb="2" eb="4">
      <t>バショ</t>
    </rPh>
    <rPh sb="4" eb="5">
      <t>メイ</t>
    </rPh>
    <phoneticPr fontId="40"/>
  </si>
  <si>
    <t>nyuko_basho_nm</t>
  </si>
  <si>
    <t>運搬業者件名</t>
    <rPh sb="2" eb="4">
      <t>ギョウシャ</t>
    </rPh>
    <rPh sb="4" eb="6">
      <t>ケンメイ</t>
    </rPh>
    <phoneticPr fontId="40"/>
  </si>
  <si>
    <t>unpan_gyosha_kenmei</t>
  </si>
  <si>
    <t>入庫予定数</t>
    <rPh sb="0" eb="2">
      <t>ニュウコ</t>
    </rPh>
    <rPh sb="2" eb="4">
      <t>ヨテイ</t>
    </rPh>
    <rPh sb="4" eb="5">
      <t>スウ</t>
    </rPh>
    <phoneticPr fontId="40"/>
  </si>
  <si>
    <t>nyuko_yotei_su</t>
  </si>
  <si>
    <t>包装フラグ</t>
    <phoneticPr fontId="32"/>
  </si>
  <si>
    <t>hoso_flg</t>
    <phoneticPr fontId="32"/>
  </si>
  <si>
    <t>1包当り</t>
    <phoneticPr fontId="32"/>
  </si>
  <si>
    <t>hitotsutsumi</t>
    <phoneticPr fontId="35"/>
  </si>
  <si>
    <t>包装数</t>
    <phoneticPr fontId="32"/>
  </si>
  <si>
    <t>hoso_su</t>
    <phoneticPr fontId="32"/>
  </si>
  <si>
    <t>引取実績№</t>
    <rPh sb="0" eb="2">
      <t>ヒキトリ</t>
    </rPh>
    <rPh sb="2" eb="4">
      <t>ジッセキ</t>
    </rPh>
    <phoneticPr fontId="37"/>
  </si>
  <si>
    <t>hikitori_jisseki_no</t>
    <phoneticPr fontId="32"/>
  </si>
  <si>
    <t>入庫合計数</t>
    <rPh sb="0" eb="2">
      <t>ニュウコ</t>
    </rPh>
    <rPh sb="2" eb="5">
      <t>ゴウケイスウ</t>
    </rPh>
    <phoneticPr fontId="37"/>
  </si>
  <si>
    <t>nyuko_gokei_su</t>
    <phoneticPr fontId="32"/>
  </si>
  <si>
    <t>登録フラグ</t>
    <rPh sb="0" eb="2">
      <t>トウロク</t>
    </rPh>
    <phoneticPr fontId="37"/>
  </si>
  <si>
    <t>toroku_flg</t>
    <phoneticPr fontId="32"/>
  </si>
  <si>
    <t>入庫日</t>
    <rPh sb="0" eb="2">
      <t>ニュウコ</t>
    </rPh>
    <rPh sb="2" eb="3">
      <t>ビ</t>
    </rPh>
    <phoneticPr fontId="37"/>
  </si>
  <si>
    <t>nyuko_date</t>
    <phoneticPr fontId="32"/>
  </si>
  <si>
    <t>原反継目</t>
    <rPh sb="0" eb="2">
      <t>ゲンタン</t>
    </rPh>
    <rPh sb="2" eb="4">
      <t>ツギメ</t>
    </rPh>
    <phoneticPr fontId="12"/>
  </si>
  <si>
    <t>gentan_tsugime</t>
    <phoneticPr fontId="12"/>
  </si>
  <si>
    <t>断紙回数</t>
    <rPh sb="0" eb="2">
      <t>ダンシ</t>
    </rPh>
    <rPh sb="2" eb="4">
      <t>カイスウ</t>
    </rPh>
    <phoneticPr fontId="12"/>
  </si>
  <si>
    <t>danshi_kaisu</t>
    <phoneticPr fontId="12"/>
  </si>
  <si>
    <t>S/C巻</t>
    <rPh sb="3" eb="4">
      <t>マキ</t>
    </rPh>
    <phoneticPr fontId="12"/>
  </si>
  <si>
    <t>sc_maki</t>
    <phoneticPr fontId="12"/>
  </si>
  <si>
    <t>製品在庫情報</t>
    <rPh sb="0" eb="2">
      <t>セイヒン</t>
    </rPh>
    <phoneticPr fontId="12"/>
  </si>
  <si>
    <t>製品在庫予定情報</t>
    <rPh sb="0" eb="2">
      <t>セイヒン</t>
    </rPh>
    <phoneticPr fontId="12"/>
  </si>
  <si>
    <t>棚卸年月</t>
    <rPh sb="0" eb="2">
      <t>タナオロシ</t>
    </rPh>
    <rPh sb="2" eb="4">
      <t>ネンゲツ</t>
    </rPh>
    <phoneticPr fontId="12"/>
  </si>
  <si>
    <t>登録方法コード</t>
    <rPh sb="0" eb="2">
      <t>トウロク</t>
    </rPh>
    <rPh sb="2" eb="4">
      <t>ホウホウ</t>
    </rPh>
    <phoneticPr fontId="12"/>
  </si>
  <si>
    <t>読取日時</t>
    <rPh sb="0" eb="2">
      <t>ヨミト</t>
    </rPh>
    <rPh sb="2" eb="4">
      <t>ニチジ</t>
    </rPh>
    <phoneticPr fontId="12"/>
  </si>
  <si>
    <t>棚卸確認結果コード</t>
    <rPh sb="0" eb="2">
      <t>タナオロシ</t>
    </rPh>
    <rPh sb="2" eb="4">
      <t>カクニン</t>
    </rPh>
    <rPh sb="4" eb="6">
      <t>ケッカ</t>
    </rPh>
    <phoneticPr fontId="12"/>
  </si>
  <si>
    <t>チェック状況コード</t>
    <rPh sb="4" eb="6">
      <t>ジョウキョウ</t>
    </rPh>
    <phoneticPr fontId="12"/>
  </si>
  <si>
    <t>差異理由コード</t>
    <rPh sb="0" eb="2">
      <t>サイ</t>
    </rPh>
    <rPh sb="2" eb="4">
      <t>リユウ</t>
    </rPh>
    <phoneticPr fontId="12"/>
  </si>
  <si>
    <t>YYYYMM</t>
    <phoneticPr fontId="12"/>
  </si>
  <si>
    <t>生産実績数量（受入）</t>
    <phoneticPr fontId="12"/>
  </si>
  <si>
    <t>発注登録(削除処理)</t>
    <rPh sb="0" eb="2">
      <t>ハッチュウ</t>
    </rPh>
    <rPh sb="2" eb="4">
      <t>トウロク</t>
    </rPh>
    <rPh sb="5" eb="7">
      <t>サクジョ</t>
    </rPh>
    <rPh sb="7" eb="9">
      <t>ショリ</t>
    </rPh>
    <phoneticPr fontId="12"/>
  </si>
  <si>
    <t>発注登録(削除処理)</t>
    <rPh sb="0" eb="2">
      <t>ハッチュウ</t>
    </rPh>
    <rPh sb="2" eb="4">
      <t>トウロク</t>
    </rPh>
    <phoneticPr fontId="12"/>
  </si>
  <si>
    <t>YYYYMM9999999　シーケンス発番</t>
    <rPh sb="19" eb="21">
      <t>ハツバン</t>
    </rPh>
    <phoneticPr fontId="12"/>
  </si>
  <si>
    <t>【発注】分類</t>
    <rPh sb="4" eb="6">
      <t>ブンルイ</t>
    </rPh>
    <phoneticPr fontId="12"/>
  </si>
  <si>
    <t>発注明細情報の紐付け用項目</t>
    <rPh sb="0" eb="2">
      <t>ハッチュウ</t>
    </rPh>
    <rPh sb="2" eb="4">
      <t>メイサイ</t>
    </rPh>
    <rPh sb="4" eb="6">
      <t>ジョウホウ</t>
    </rPh>
    <rPh sb="7" eb="8">
      <t>ヒモ</t>
    </rPh>
    <rPh sb="8" eb="9">
      <t>ツ</t>
    </rPh>
    <rPh sb="10" eb="11">
      <t>ヨウ</t>
    </rPh>
    <rPh sb="11" eb="13">
      <t>コウモク</t>
    </rPh>
    <phoneticPr fontId="12"/>
  </si>
  <si>
    <t>発注明細情報の紐付用項目</t>
    <rPh sb="0" eb="2">
      <t>ハッチュウ</t>
    </rPh>
    <rPh sb="2" eb="4">
      <t>メイサイ</t>
    </rPh>
    <rPh sb="4" eb="6">
      <t>ジョウホウ</t>
    </rPh>
    <rPh sb="7" eb="8">
      <t>ヒモ</t>
    </rPh>
    <rPh sb="8" eb="9">
      <t>ヅケ</t>
    </rPh>
    <rPh sb="9" eb="10">
      <t>ヨウ</t>
    </rPh>
    <rPh sb="10" eb="12">
      <t>コウモク</t>
    </rPh>
    <phoneticPr fontId="12"/>
  </si>
  <si>
    <t>使用実績登録（原材料）(削除処理)</t>
    <rPh sb="0" eb="2">
      <t>シヨウ</t>
    </rPh>
    <rPh sb="2" eb="4">
      <t>ジッセキ</t>
    </rPh>
    <rPh sb="4" eb="6">
      <t>トウロク</t>
    </rPh>
    <rPh sb="7" eb="10">
      <t>ゲンザイリョウ</t>
    </rPh>
    <phoneticPr fontId="12"/>
  </si>
  <si>
    <t>使用実績登録（薬品）(削除処理)</t>
    <rPh sb="0" eb="4">
      <t>シヨウジッセキ</t>
    </rPh>
    <rPh sb="7" eb="9">
      <t>ヤクヒン</t>
    </rPh>
    <phoneticPr fontId="12"/>
  </si>
  <si>
    <t>仕入(削除処理)</t>
    <rPh sb="0" eb="2">
      <t>シイレ</t>
    </rPh>
    <phoneticPr fontId="12"/>
  </si>
  <si>
    <t>発注登録時と同様になるよう再登録</t>
    <rPh sb="0" eb="2">
      <t>ハッチュウ</t>
    </rPh>
    <rPh sb="2" eb="5">
      <t>トウロクジ</t>
    </rPh>
    <rPh sb="6" eb="8">
      <t>ドウヨウ</t>
    </rPh>
    <rPh sb="13" eb="16">
      <t>サイトウロク</t>
    </rPh>
    <phoneticPr fontId="12"/>
  </si>
  <si>
    <t>実績から取得</t>
    <rPh sb="0" eb="2">
      <t>ジッセキ</t>
    </rPh>
    <rPh sb="4" eb="6">
      <t>シュトク</t>
    </rPh>
    <phoneticPr fontId="12"/>
  </si>
  <si>
    <t>単位はKg　重量に変換して登録</t>
    <rPh sb="0" eb="2">
      <t>タンイ</t>
    </rPh>
    <rPh sb="6" eb="8">
      <t>ジュウリョウ</t>
    </rPh>
    <rPh sb="9" eb="11">
      <t>ヘンカン</t>
    </rPh>
    <rPh sb="13" eb="15">
      <t>トウロク</t>
    </rPh>
    <phoneticPr fontId="12"/>
  </si>
  <si>
    <t>YYYY/MM/DD</t>
    <phoneticPr fontId="12"/>
  </si>
  <si>
    <t>資材在庫月末情報</t>
    <phoneticPr fontId="12"/>
  </si>
  <si>
    <t>資材（原材料・薬品）の追加実績と減少実績を管理するテーブル</t>
    <rPh sb="0" eb="2">
      <t>シザイ</t>
    </rPh>
    <rPh sb="3" eb="6">
      <t>ゲンザイリョウ</t>
    </rPh>
    <rPh sb="7" eb="9">
      <t>ヤクヒン</t>
    </rPh>
    <rPh sb="13" eb="15">
      <t>ジッセキ</t>
    </rPh>
    <rPh sb="18" eb="20">
      <t>ジッセキ</t>
    </rPh>
    <phoneticPr fontId="12"/>
  </si>
  <si>
    <t xml:space="preserve">資材在庫月別受払情報 </t>
    <phoneticPr fontId="12"/>
  </si>
  <si>
    <t>受払表出力情報を保持するテーブル</t>
    <rPh sb="0" eb="1">
      <t>ウ</t>
    </rPh>
    <rPh sb="1" eb="2">
      <t>バラ</t>
    </rPh>
    <rPh sb="2" eb="3">
      <t>ヒョウ</t>
    </rPh>
    <rPh sb="3" eb="5">
      <t>シュツリョク</t>
    </rPh>
    <rPh sb="5" eb="7">
      <t>ジョウホウ</t>
    </rPh>
    <rPh sb="8" eb="10">
      <t>ホジ</t>
    </rPh>
    <phoneticPr fontId="12"/>
  </si>
  <si>
    <t>在庫移動実績（削除処理）</t>
    <rPh sb="0" eb="2">
      <t>ザイコ</t>
    </rPh>
    <rPh sb="2" eb="4">
      <t>イドウ</t>
    </rPh>
    <rPh sb="4" eb="6">
      <t>ジッセキ</t>
    </rPh>
    <rPh sb="7" eb="9">
      <t>サクジョ</t>
    </rPh>
    <rPh sb="9" eb="11">
      <t>ショリ</t>
    </rPh>
    <phoneticPr fontId="12"/>
  </si>
  <si>
    <t>在庫移動指示（削除処理）</t>
    <rPh sb="0" eb="2">
      <t>ザイコ</t>
    </rPh>
    <rPh sb="2" eb="6">
      <t>イドウシジ</t>
    </rPh>
    <phoneticPr fontId="12"/>
  </si>
  <si>
    <t>フルロット番号（移動元）</t>
    <rPh sb="5" eb="7">
      <t>バンゴウ</t>
    </rPh>
    <rPh sb="8" eb="10">
      <t>イドウ</t>
    </rPh>
    <rPh sb="10" eb="11">
      <t>モト</t>
    </rPh>
    <phoneticPr fontId="12"/>
  </si>
  <si>
    <t>フルロット番号（移動先）</t>
    <rPh sb="5" eb="7">
      <t>バンゴウ</t>
    </rPh>
    <rPh sb="10" eb="11">
      <t>サキ</t>
    </rPh>
    <phoneticPr fontId="12"/>
  </si>
  <si>
    <t>パレット№（移動元）</t>
    <phoneticPr fontId="12"/>
  </si>
  <si>
    <t>パレット№（移動先）</t>
    <phoneticPr fontId="12"/>
  </si>
  <si>
    <t>削除</t>
    <rPh sb="0" eb="2">
      <t>サクジョ</t>
    </rPh>
    <phoneticPr fontId="12"/>
  </si>
  <si>
    <t>追加</t>
    <rPh sb="0" eb="2">
      <t>ツイカ</t>
    </rPh>
    <phoneticPr fontId="12"/>
  </si>
  <si>
    <t>資材実績情報</t>
    <rPh sb="2" eb="4">
      <t>ジッセキ</t>
    </rPh>
    <phoneticPr fontId="12"/>
  </si>
  <si>
    <t>管理項目</t>
    <rPh sb="0" eb="2">
      <t>カンリ</t>
    </rPh>
    <rPh sb="2" eb="4">
      <t>コウモク</t>
    </rPh>
    <phoneticPr fontId="12"/>
  </si>
  <si>
    <t>仕入金額</t>
    <rPh sb="0" eb="2">
      <t>シイレ</t>
    </rPh>
    <rPh sb="2" eb="4">
      <t>キンガク</t>
    </rPh>
    <phoneticPr fontId="12"/>
  </si>
  <si>
    <t>※資材実績情報の項目で記述が無いものは資材在庫に登録する値と同じ</t>
    <rPh sb="8" eb="10">
      <t>コウモク</t>
    </rPh>
    <rPh sb="11" eb="13">
      <t>キジュツ</t>
    </rPh>
    <rPh sb="14" eb="15">
      <t>ナ</t>
    </rPh>
    <rPh sb="19" eb="21">
      <t>シザイ</t>
    </rPh>
    <rPh sb="21" eb="23">
      <t>ザイコ</t>
    </rPh>
    <rPh sb="24" eb="26">
      <t>トウロク</t>
    </rPh>
    <rPh sb="28" eb="29">
      <t>アタイ</t>
    </rPh>
    <rPh sb="30" eb="31">
      <t>オナ</t>
    </rPh>
    <phoneticPr fontId="12"/>
  </si>
  <si>
    <t>Null固定</t>
    <rPh sb="4" eb="6">
      <t>コテイ</t>
    </rPh>
    <phoneticPr fontId="12"/>
  </si>
  <si>
    <t>使用実績主キー</t>
    <rPh sb="0" eb="4">
      <t>シヨウジッセキ</t>
    </rPh>
    <rPh sb="4" eb="5">
      <t>シュ</t>
    </rPh>
    <phoneticPr fontId="12"/>
  </si>
  <si>
    <r>
      <t>どの生産指示に対しての使用実績か不明のため、実績のみを管理　初回登録後、</t>
    </r>
    <r>
      <rPr>
        <sz val="10"/>
        <color theme="1"/>
        <rFont val="Meiryo UI"/>
        <family val="3"/>
        <charset val="128"/>
      </rPr>
      <t>値を変動された場合の処理→変更前の値を戻して、変更後の値を減少・追加する。　在庫実績金額については受払表の出力時に算出するため、Null固定となる。</t>
    </r>
    <rPh sb="2" eb="6">
      <t>セイサンシジ</t>
    </rPh>
    <rPh sb="7" eb="8">
      <t>タイ</t>
    </rPh>
    <rPh sb="11" eb="15">
      <t>シヨウジッセキ</t>
    </rPh>
    <rPh sb="16" eb="18">
      <t>フメイ</t>
    </rPh>
    <rPh sb="22" eb="24">
      <t>ジッセキ</t>
    </rPh>
    <rPh sb="27" eb="29">
      <t>カンリ</t>
    </rPh>
    <rPh sb="30" eb="32">
      <t>ショカイ</t>
    </rPh>
    <rPh sb="32" eb="34">
      <t>トウロク</t>
    </rPh>
    <rPh sb="34" eb="35">
      <t>アト</t>
    </rPh>
    <rPh sb="36" eb="37">
      <t>アタイ</t>
    </rPh>
    <rPh sb="38" eb="40">
      <t>ヘンドウ</t>
    </rPh>
    <rPh sb="43" eb="45">
      <t>バアイ</t>
    </rPh>
    <rPh sb="46" eb="48">
      <t>ショリ</t>
    </rPh>
    <rPh sb="49" eb="52">
      <t>ヘンコウマエ</t>
    </rPh>
    <rPh sb="53" eb="54">
      <t>アタイ</t>
    </rPh>
    <rPh sb="55" eb="56">
      <t>モド</t>
    </rPh>
    <rPh sb="59" eb="62">
      <t>ヘンコウゴ</t>
    </rPh>
    <rPh sb="63" eb="64">
      <t>アタイ</t>
    </rPh>
    <rPh sb="65" eb="67">
      <t>ゲンショウ</t>
    </rPh>
    <rPh sb="68" eb="70">
      <t>ツイカ</t>
    </rPh>
    <rPh sb="74" eb="76">
      <t>ザイコ</t>
    </rPh>
    <rPh sb="76" eb="78">
      <t>ジッセキ</t>
    </rPh>
    <rPh sb="78" eb="80">
      <t>キンガク</t>
    </rPh>
    <rPh sb="85" eb="86">
      <t>ウ</t>
    </rPh>
    <rPh sb="86" eb="87">
      <t>バラ</t>
    </rPh>
    <rPh sb="87" eb="88">
      <t>ヒョウ</t>
    </rPh>
    <rPh sb="89" eb="91">
      <t>シュツリョク</t>
    </rPh>
    <rPh sb="91" eb="92">
      <t>ジ</t>
    </rPh>
    <rPh sb="93" eb="95">
      <t>サンシュツ</t>
    </rPh>
    <rPh sb="104" eb="106">
      <t>コテイ</t>
    </rPh>
    <phoneticPr fontId="12"/>
  </si>
  <si>
    <t>移動指示単位で取り消された場合のみ、予定を再登録させる（実績の行削除の場合は予定を再作成しない）</t>
    <rPh sb="0" eb="4">
      <t>イドウシジ</t>
    </rPh>
    <rPh sb="4" eb="6">
      <t>タンイ</t>
    </rPh>
    <rPh sb="7" eb="8">
      <t>ト</t>
    </rPh>
    <rPh sb="9" eb="10">
      <t>ケ</t>
    </rPh>
    <rPh sb="13" eb="15">
      <t>バアイ</t>
    </rPh>
    <rPh sb="18" eb="20">
      <t>ヨテイ</t>
    </rPh>
    <rPh sb="21" eb="24">
      <t>サイトウロク</t>
    </rPh>
    <rPh sb="28" eb="30">
      <t>ジッセキ</t>
    </rPh>
    <rPh sb="31" eb="32">
      <t>ギョウ</t>
    </rPh>
    <rPh sb="32" eb="34">
      <t>サクジョ</t>
    </rPh>
    <rPh sb="35" eb="37">
      <t>バアイ</t>
    </rPh>
    <rPh sb="38" eb="40">
      <t>ヨテイ</t>
    </rPh>
    <rPh sb="41" eb="44">
      <t>サイサクセイ</t>
    </rPh>
    <phoneticPr fontId="12"/>
  </si>
  <si>
    <t>1:仕入 2:使用</t>
    <rPh sb="2" eb="4">
      <t>シイレ</t>
    </rPh>
    <rPh sb="7" eb="9">
      <t>シヨウ</t>
    </rPh>
    <phoneticPr fontId="12"/>
  </si>
  <si>
    <t>実績区分が受入の場合のみ使用</t>
    <rPh sb="0" eb="2">
      <t>ジッセキ</t>
    </rPh>
    <rPh sb="2" eb="4">
      <t>クブン</t>
    </rPh>
    <rPh sb="5" eb="7">
      <t>ウケイレ</t>
    </rPh>
    <rPh sb="8" eb="10">
      <t>バアイ</t>
    </rPh>
    <rPh sb="12" eb="14">
      <t>シヨウ</t>
    </rPh>
    <phoneticPr fontId="12"/>
  </si>
  <si>
    <t>（ハンディ登録時置場情報無し）</t>
    <phoneticPr fontId="12"/>
  </si>
  <si>
    <t>入力無し</t>
    <rPh sb="0" eb="2">
      <t>ニュウリョク</t>
    </rPh>
    <rPh sb="2" eb="3">
      <t>ナ</t>
    </rPh>
    <phoneticPr fontId="12"/>
  </si>
  <si>
    <t>製品実績情報</t>
    <rPh sb="0" eb="2">
      <t>セイヒン</t>
    </rPh>
    <rPh sb="2" eb="4">
      <t>ジッセキ</t>
    </rPh>
    <phoneticPr fontId="12"/>
  </si>
  <si>
    <t>在庫移動実績　ハンディ</t>
    <rPh sb="0" eb="2">
      <t>ザイコ</t>
    </rPh>
    <rPh sb="2" eb="4">
      <t>イドウ</t>
    </rPh>
    <rPh sb="4" eb="6">
      <t>ジッセキ</t>
    </rPh>
    <phoneticPr fontId="12"/>
  </si>
  <si>
    <t>在庫移動実績　PC画面</t>
    <rPh sb="0" eb="2">
      <t>ザイコ</t>
    </rPh>
    <rPh sb="2" eb="4">
      <t>イドウ</t>
    </rPh>
    <rPh sb="4" eb="6">
      <t>ジッセキ</t>
    </rPh>
    <rPh sb="9" eb="11">
      <t>ガメン</t>
    </rPh>
    <phoneticPr fontId="12"/>
  </si>
  <si>
    <t>（置場情報無しデータ訂正時）</t>
    <rPh sb="10" eb="13">
      <t>テイセイジ</t>
    </rPh>
    <phoneticPr fontId="12"/>
  </si>
  <si>
    <t>引取指示登録</t>
    <rPh sb="0" eb="1">
      <t>ヒ</t>
    </rPh>
    <rPh sb="1" eb="2">
      <t>トリ</t>
    </rPh>
    <rPh sb="2" eb="4">
      <t>シジ</t>
    </rPh>
    <rPh sb="4" eb="6">
      <t>トウロク</t>
    </rPh>
    <phoneticPr fontId="12"/>
  </si>
  <si>
    <t>引取実績登録</t>
    <rPh sb="0" eb="1">
      <t>ヒ</t>
    </rPh>
    <rPh sb="1" eb="2">
      <t>トリ</t>
    </rPh>
    <rPh sb="2" eb="4">
      <t>ジッセキ</t>
    </rPh>
    <rPh sb="4" eb="6">
      <t>トウロク</t>
    </rPh>
    <phoneticPr fontId="12"/>
  </si>
  <si>
    <t>在庫移動指示№から予定を再度作成する。</t>
    <rPh sb="0" eb="2">
      <t>ザイコ</t>
    </rPh>
    <rPh sb="2" eb="4">
      <t>イドウ</t>
    </rPh>
    <rPh sb="4" eb="6">
      <t>シジ</t>
    </rPh>
    <rPh sb="9" eb="11">
      <t>ヨテイ</t>
    </rPh>
    <rPh sb="12" eb="14">
      <t>サイド</t>
    </rPh>
    <rPh sb="14" eb="16">
      <t>サクセイ</t>
    </rPh>
    <phoneticPr fontId="12"/>
  </si>
  <si>
    <t>引取指示登録（削除処理）</t>
    <rPh sb="0" eb="1">
      <t>ヒ</t>
    </rPh>
    <rPh sb="1" eb="2">
      <t>トリ</t>
    </rPh>
    <rPh sb="2" eb="4">
      <t>シジ</t>
    </rPh>
    <rPh sb="4" eb="6">
      <t>トウロク</t>
    </rPh>
    <rPh sb="7" eb="9">
      <t>サクジョ</t>
    </rPh>
    <rPh sb="9" eb="11">
      <t>ショリ</t>
    </rPh>
    <phoneticPr fontId="12"/>
  </si>
  <si>
    <t>引取実績登録（削除処理）</t>
    <rPh sb="0" eb="1">
      <t>ヒ</t>
    </rPh>
    <rPh sb="1" eb="2">
      <t>トリ</t>
    </rPh>
    <rPh sb="2" eb="4">
      <t>ジッセキ</t>
    </rPh>
    <rPh sb="4" eb="6">
      <t>トウロク</t>
    </rPh>
    <rPh sb="7" eb="9">
      <t>サクジョ</t>
    </rPh>
    <rPh sb="9" eb="11">
      <t>ショリ</t>
    </rPh>
    <phoneticPr fontId="12"/>
  </si>
  <si>
    <t>（正常登録）</t>
    <rPh sb="1" eb="3">
      <t>セイジョウ</t>
    </rPh>
    <rPh sb="3" eb="5">
      <t>トウロク</t>
    </rPh>
    <phoneticPr fontId="12"/>
  </si>
  <si>
    <t>原反・製品（移動元）</t>
    <rPh sb="0" eb="2">
      <t>ゲンタン</t>
    </rPh>
    <phoneticPr fontId="12"/>
  </si>
  <si>
    <t>原反・製品（移動先）</t>
    <rPh sb="0" eb="2">
      <t>ゲンタン</t>
    </rPh>
    <rPh sb="3" eb="5">
      <t>セイヒン</t>
    </rPh>
    <phoneticPr fontId="12"/>
  </si>
  <si>
    <t>原反・製品（移動元）</t>
    <rPh sb="0" eb="2">
      <t>ゲンタン</t>
    </rPh>
    <rPh sb="3" eb="5">
      <t>セイヒン</t>
    </rPh>
    <phoneticPr fontId="12"/>
  </si>
  <si>
    <t>製品（移動元）</t>
    <rPh sb="0" eb="2">
      <t>セイヒン</t>
    </rPh>
    <phoneticPr fontId="12"/>
  </si>
  <si>
    <t>製品（移動先）</t>
    <rPh sb="0" eb="2">
      <t>セイヒン</t>
    </rPh>
    <phoneticPr fontId="12"/>
  </si>
  <si>
    <t>仕上実績(計画終了時)</t>
    <rPh sb="0" eb="2">
      <t>シア</t>
    </rPh>
    <rPh sb="2" eb="4">
      <t>ジッセキ</t>
    </rPh>
    <rPh sb="5" eb="7">
      <t>ケイカク</t>
    </rPh>
    <rPh sb="7" eb="9">
      <t>シュウリョウ</t>
    </rPh>
    <rPh sb="9" eb="10">
      <t>ジ</t>
    </rPh>
    <phoneticPr fontId="12"/>
  </si>
  <si>
    <t>処理無しの想定</t>
  </si>
  <si>
    <t>処理無しの想定</t>
    <rPh sb="0" eb="3">
      <t>ショリナ</t>
    </rPh>
    <rPh sb="5" eb="7">
      <t>ソウテイ</t>
    </rPh>
    <phoneticPr fontId="12"/>
  </si>
  <si>
    <t>生産計画№紐づく在庫予定情報を削除する</t>
    <rPh sb="0" eb="2">
      <t>セイサン</t>
    </rPh>
    <rPh sb="2" eb="4">
      <t>ケイカク</t>
    </rPh>
    <rPh sb="5" eb="6">
      <t>ヒモ</t>
    </rPh>
    <rPh sb="8" eb="10">
      <t>ザイコ</t>
    </rPh>
    <rPh sb="10" eb="12">
      <t>ヨテイ</t>
    </rPh>
    <rPh sb="12" eb="14">
      <t>ジョウホウ</t>
    </rPh>
    <rPh sb="15" eb="17">
      <t>サクジョ</t>
    </rPh>
    <phoneticPr fontId="12"/>
  </si>
  <si>
    <t>削除</t>
    <rPh sb="0" eb="2">
      <t>サクジョ</t>
    </rPh>
    <phoneticPr fontId="12"/>
  </si>
  <si>
    <t>更新</t>
    <rPh sb="0" eb="2">
      <t>コウシン</t>
    </rPh>
    <phoneticPr fontId="12"/>
  </si>
  <si>
    <t>在庫移動指示№に紐づく在庫予定情報を削除する（ハンディ画面の登録時に既に削除されている想定）</t>
    <rPh sb="27" eb="29">
      <t>ガメン</t>
    </rPh>
    <rPh sb="30" eb="33">
      <t>トウロクジ</t>
    </rPh>
    <rPh sb="34" eb="35">
      <t>スデ</t>
    </rPh>
    <rPh sb="36" eb="38">
      <t>サクジョ</t>
    </rPh>
    <rPh sb="43" eb="45">
      <t>ソウテイ</t>
    </rPh>
    <phoneticPr fontId="12"/>
  </si>
  <si>
    <t>対となる項目が存在しない</t>
    <rPh sb="0" eb="1">
      <t>ツイ</t>
    </rPh>
    <rPh sb="4" eb="6">
      <t>コウモク</t>
    </rPh>
    <rPh sb="7" eb="9">
      <t>ソンザイ</t>
    </rPh>
    <phoneticPr fontId="12"/>
  </si>
  <si>
    <t>製品の仕入処理は存在しない？（購入原紙のこと？）</t>
    <rPh sb="0" eb="2">
      <t>セイヒン</t>
    </rPh>
    <rPh sb="3" eb="5">
      <t>シイ</t>
    </rPh>
    <rPh sb="5" eb="7">
      <t>ショリ</t>
    </rPh>
    <rPh sb="8" eb="10">
      <t>ソンザイ</t>
    </rPh>
    <rPh sb="15" eb="17">
      <t>コウニュウ</t>
    </rPh>
    <rPh sb="17" eb="19">
      <t>ゲンシ</t>
    </rPh>
    <phoneticPr fontId="12"/>
  </si>
  <si>
    <t>入庫場所コード</t>
    <rPh sb="0" eb="2">
      <t>ニュウコ</t>
    </rPh>
    <rPh sb="2" eb="4">
      <t>バショ</t>
    </rPh>
    <phoneticPr fontId="12"/>
  </si>
  <si>
    <t>引取指示№から予定を再度作成する。</t>
    <rPh sb="0" eb="2">
      <t>ヒキトリ</t>
    </rPh>
    <rPh sb="2" eb="4">
      <t>シジ</t>
    </rPh>
    <rPh sb="7" eb="9">
      <t>ヨテイ</t>
    </rPh>
    <rPh sb="10" eb="12">
      <t>サイド</t>
    </rPh>
    <rPh sb="12" eb="14">
      <t>サクセイ</t>
    </rPh>
    <phoneticPr fontId="12"/>
  </si>
  <si>
    <t>引取指示№に紐づく在庫予定情報を削除する</t>
    <rPh sb="0" eb="2">
      <t>ヒキトリ</t>
    </rPh>
    <rPh sb="2" eb="4">
      <t>シジ</t>
    </rPh>
    <rPh sb="6" eb="7">
      <t>ヒモ</t>
    </rPh>
    <rPh sb="9" eb="11">
      <t>ザイコ</t>
    </rPh>
    <rPh sb="11" eb="13">
      <t>ヨテイ</t>
    </rPh>
    <rPh sb="13" eb="15">
      <t>ジョウホウ</t>
    </rPh>
    <rPh sb="16" eb="18">
      <t>サクジョ</t>
    </rPh>
    <phoneticPr fontId="12"/>
  </si>
  <si>
    <t>t_shizai_zaiko</t>
    <phoneticPr fontId="12"/>
  </si>
  <si>
    <t>t_shizai_zaiko_yotei</t>
    <phoneticPr fontId="35"/>
  </si>
  <si>
    <t>資材在庫実績情報</t>
    <phoneticPr fontId="12"/>
  </si>
  <si>
    <t>t_shizai_zaiko_jisseki</t>
    <phoneticPr fontId="12"/>
  </si>
  <si>
    <t>使用実績から登録する際はNullを登録</t>
    <rPh sb="0" eb="2">
      <t>シヨウ</t>
    </rPh>
    <rPh sb="2" eb="4">
      <t>ジッセキ</t>
    </rPh>
    <rPh sb="6" eb="8">
      <t>トウロク</t>
    </rPh>
    <rPh sb="10" eb="11">
      <t>サイ</t>
    </rPh>
    <rPh sb="17" eb="19">
      <t>トウロク</t>
    </rPh>
    <phoneticPr fontId="12"/>
  </si>
  <si>
    <t>製品在庫実績情報</t>
    <rPh sb="0" eb="2">
      <t>セイヒン</t>
    </rPh>
    <rPh sb="4" eb="6">
      <t>ジッセキ</t>
    </rPh>
    <phoneticPr fontId="12"/>
  </si>
  <si>
    <t>t_seihin_zaiko</t>
    <phoneticPr fontId="12"/>
  </si>
  <si>
    <t>t_seihin_zaiko_yotei</t>
    <phoneticPr fontId="35"/>
  </si>
  <si>
    <t>t_seihin_zaiko_jisseki</t>
    <phoneticPr fontId="12"/>
  </si>
  <si>
    <t>製品の在庫を管理するテーブル</t>
    <rPh sb="0" eb="2">
      <t>セイヒン</t>
    </rPh>
    <rPh sb="3" eb="5">
      <t>ザイコ</t>
    </rPh>
    <rPh sb="6" eb="8">
      <t>カンリ</t>
    </rPh>
    <phoneticPr fontId="12"/>
  </si>
  <si>
    <t>製品の追加予定と減少予定を管理するテーブル</t>
    <rPh sb="0" eb="2">
      <t>セイヒン</t>
    </rPh>
    <rPh sb="3" eb="5">
      <t>ツイカ</t>
    </rPh>
    <rPh sb="5" eb="7">
      <t>ヨテイ</t>
    </rPh>
    <rPh sb="8" eb="10">
      <t>ゲンショウ</t>
    </rPh>
    <rPh sb="10" eb="12">
      <t>ヨテイ</t>
    </rPh>
    <rPh sb="13" eb="15">
      <t>カンリ</t>
    </rPh>
    <phoneticPr fontId="12"/>
  </si>
  <si>
    <t>製品の追加実績と減少実績を管理するテーブル</t>
    <rPh sb="0" eb="2">
      <t>セイヒン</t>
    </rPh>
    <rPh sb="5" eb="7">
      <t>ジッセキ</t>
    </rPh>
    <rPh sb="10" eb="12">
      <t>ジッセキ</t>
    </rPh>
    <phoneticPr fontId="12"/>
  </si>
  <si>
    <t>使用実績明細情報の紐付用項目</t>
    <rPh sb="0" eb="2">
      <t>シヨウ</t>
    </rPh>
    <rPh sb="2" eb="4">
      <t>ジッセキ</t>
    </rPh>
    <rPh sb="4" eb="6">
      <t>メイサイ</t>
    </rPh>
    <rPh sb="6" eb="8">
      <t>ジョウホウ</t>
    </rPh>
    <rPh sb="9" eb="10">
      <t>ヒモ</t>
    </rPh>
    <rPh sb="10" eb="11">
      <t>ツ</t>
    </rPh>
    <rPh sb="11" eb="12">
      <t>ヨウ</t>
    </rPh>
    <rPh sb="12" eb="14">
      <t>コウモク</t>
    </rPh>
    <phoneticPr fontId="12"/>
  </si>
  <si>
    <t>tmp_shizai_zaiko_jisseki</t>
    <phoneticPr fontId="12"/>
  </si>
  <si>
    <t>資材在庫実績情報_一時退避</t>
    <rPh sb="9" eb="11">
      <t>イチジ</t>
    </rPh>
    <rPh sb="11" eb="13">
      <t>タイヒ</t>
    </rPh>
    <phoneticPr fontId="12"/>
  </si>
  <si>
    <t>製品在庫実績情報_一時退避</t>
    <rPh sb="0" eb="2">
      <t>セイヒン</t>
    </rPh>
    <rPh sb="4" eb="6">
      <t>ジッセキ</t>
    </rPh>
    <phoneticPr fontId="12"/>
  </si>
  <si>
    <t>tmp_seihin_zaiko_jisseki</t>
    <phoneticPr fontId="12"/>
  </si>
  <si>
    <t xml:space="preserve">製品在庫月別受払情報 </t>
    <phoneticPr fontId="12"/>
  </si>
  <si>
    <t>各年月末時点の資材在庫情報を保管するテーブル　資材推移画面の前月情報表示で使用</t>
    <rPh sb="0" eb="1">
      <t>カク</t>
    </rPh>
    <rPh sb="1" eb="3">
      <t>ネンゲツ</t>
    </rPh>
    <rPh sb="3" eb="4">
      <t>マツ</t>
    </rPh>
    <rPh sb="4" eb="6">
      <t>ジテン</t>
    </rPh>
    <rPh sb="7" eb="9">
      <t>シザイ</t>
    </rPh>
    <rPh sb="9" eb="11">
      <t>ザイコ</t>
    </rPh>
    <rPh sb="11" eb="13">
      <t>ジョウホウ</t>
    </rPh>
    <rPh sb="14" eb="16">
      <t>ホカン</t>
    </rPh>
    <rPh sb="23" eb="25">
      <t>シザイ</t>
    </rPh>
    <rPh sb="25" eb="27">
      <t>スイイ</t>
    </rPh>
    <rPh sb="27" eb="29">
      <t>ガメン</t>
    </rPh>
    <rPh sb="30" eb="32">
      <t>ゼンゲツ</t>
    </rPh>
    <rPh sb="32" eb="34">
      <t>ジョウホウ</t>
    </rPh>
    <rPh sb="34" eb="36">
      <t>ヒョウジ</t>
    </rPh>
    <rPh sb="37" eb="39">
      <t>シヨウ</t>
    </rPh>
    <phoneticPr fontId="12"/>
  </si>
  <si>
    <t>製品在庫月末情報</t>
    <rPh sb="0" eb="2">
      <t>セイヒン</t>
    </rPh>
    <phoneticPr fontId="12"/>
  </si>
  <si>
    <t>【仕入】仕入№</t>
    <phoneticPr fontId="12"/>
  </si>
  <si>
    <t>仕入明細情報の紐付用項目</t>
    <rPh sb="0" eb="2">
      <t>シイレ</t>
    </rPh>
    <rPh sb="2" eb="4">
      <t>メイサイ</t>
    </rPh>
    <rPh sb="4" eb="6">
      <t>ジョウホウ</t>
    </rPh>
    <rPh sb="7" eb="8">
      <t>ヒモ</t>
    </rPh>
    <rPh sb="8" eb="9">
      <t>ヅケ</t>
    </rPh>
    <rPh sb="9" eb="10">
      <t>ヨウ</t>
    </rPh>
    <rPh sb="10" eb="12">
      <t>コウモク</t>
    </rPh>
    <phoneticPr fontId="12"/>
  </si>
  <si>
    <t>仕入明細情報の紐付用項目</t>
    <rPh sb="2" eb="4">
      <t>メイサイ</t>
    </rPh>
    <rPh sb="4" eb="6">
      <t>ジョウホウ</t>
    </rPh>
    <rPh sb="7" eb="8">
      <t>ヒモ</t>
    </rPh>
    <rPh sb="8" eb="9">
      <t>ヅケ</t>
    </rPh>
    <rPh sb="9" eb="10">
      <t>ヨウ</t>
    </rPh>
    <rPh sb="10" eb="12">
      <t>コウモク</t>
    </rPh>
    <phoneticPr fontId="12"/>
  </si>
  <si>
    <t>原反（購入原紙）</t>
    <rPh sb="0" eb="2">
      <t>ゲンタン</t>
    </rPh>
    <phoneticPr fontId="12"/>
  </si>
  <si>
    <t>生産指示登録（調薬）</t>
    <rPh sb="0" eb="4">
      <t>セイサンシジ</t>
    </rPh>
    <rPh sb="7" eb="9">
      <t>チョウヤク</t>
    </rPh>
    <phoneticPr fontId="12"/>
  </si>
  <si>
    <t>生産計画№　等</t>
    <rPh sb="0" eb="4">
      <t>セイサンケイカク</t>
    </rPh>
    <rPh sb="6" eb="7">
      <t>ナド</t>
    </rPh>
    <phoneticPr fontId="12"/>
  </si>
  <si>
    <t>Kg単位</t>
    <rPh sb="2" eb="4">
      <t>タンイ</t>
    </rPh>
    <phoneticPr fontId="12"/>
  </si>
  <si>
    <t>重量</t>
    <rPh sb="0" eb="2">
      <t>ジュウリョウ</t>
    </rPh>
    <phoneticPr fontId="12"/>
  </si>
  <si>
    <t>使用実績登録（調薬）</t>
    <rPh sb="0" eb="4">
      <t>シヨウジッセキ</t>
    </rPh>
    <phoneticPr fontId="12"/>
  </si>
  <si>
    <t>使用実績登録（調薬）(削除処理)</t>
    <rPh sb="0" eb="4">
      <t>シヨウジッセキ</t>
    </rPh>
    <phoneticPr fontId="12"/>
  </si>
  <si>
    <t>生産指示登録（原反）</t>
    <rPh sb="0" eb="2">
      <t>セイサン</t>
    </rPh>
    <rPh sb="2" eb="4">
      <t>シジ</t>
    </rPh>
    <rPh sb="4" eb="6">
      <t>トウロク</t>
    </rPh>
    <phoneticPr fontId="12"/>
  </si>
  <si>
    <t>仕入日</t>
    <rPh sb="0" eb="2">
      <t>シイレ</t>
    </rPh>
    <rPh sb="2" eb="3">
      <t>ビ</t>
    </rPh>
    <phoneticPr fontId="12"/>
  </si>
  <si>
    <t>平判</t>
    <phoneticPr fontId="12"/>
  </si>
  <si>
    <t>11:生産　12:振替生産 13:その他受入</t>
    <rPh sb="3" eb="5">
      <t>セイサン</t>
    </rPh>
    <rPh sb="9" eb="11">
      <t>フリカエ</t>
    </rPh>
    <rPh sb="11" eb="13">
      <t>セイサン</t>
    </rPh>
    <rPh sb="19" eb="20">
      <t>タ</t>
    </rPh>
    <rPh sb="20" eb="21">
      <t>ウ</t>
    </rPh>
    <rPh sb="21" eb="22">
      <t>イ</t>
    </rPh>
    <phoneticPr fontId="12"/>
  </si>
  <si>
    <t>21:出荷　22:振替使用 23:その他払出</t>
    <rPh sb="3" eb="5">
      <t>シュッカ</t>
    </rPh>
    <rPh sb="9" eb="11">
      <t>フリカエ</t>
    </rPh>
    <rPh sb="11" eb="13">
      <t>シヨウ</t>
    </rPh>
    <rPh sb="19" eb="20">
      <t>タ</t>
    </rPh>
    <rPh sb="20" eb="21">
      <t>ハラ</t>
    </rPh>
    <rPh sb="21" eb="22">
      <t>ダ</t>
    </rPh>
    <phoneticPr fontId="12"/>
  </si>
  <si>
    <t>1:仕入登録 2:使用実績登録</t>
    <rPh sb="2" eb="4">
      <t>シイレ</t>
    </rPh>
    <rPh sb="4" eb="6">
      <t>トウロク</t>
    </rPh>
    <rPh sb="9" eb="11">
      <t>シヨウ</t>
    </rPh>
    <rPh sb="11" eb="13">
      <t>ジッセキ</t>
    </rPh>
    <rPh sb="13" eb="15">
      <t>トウロク</t>
    </rPh>
    <phoneticPr fontId="12"/>
  </si>
  <si>
    <t>生産実績時の仕上区分</t>
    <rPh sb="0" eb="2">
      <t>セイサン</t>
    </rPh>
    <rPh sb="2" eb="4">
      <t>ジッセキ</t>
    </rPh>
    <rPh sb="4" eb="5">
      <t>ジ</t>
    </rPh>
    <rPh sb="6" eb="10">
      <t>シアゲクブン</t>
    </rPh>
    <phoneticPr fontId="12"/>
  </si>
  <si>
    <t>パレット在庫情報</t>
    <rPh sb="4" eb="6">
      <t>ザイコ</t>
    </rPh>
    <phoneticPr fontId="12"/>
  </si>
  <si>
    <t>t_pallet_zaiko</t>
    <phoneticPr fontId="12"/>
  </si>
  <si>
    <t>コーヒーフィルタのパレット在庫を管理するテーブル</t>
    <rPh sb="13" eb="15">
      <t>ザイコ</t>
    </rPh>
    <rPh sb="16" eb="18">
      <t>カンリ</t>
    </rPh>
    <phoneticPr fontId="12"/>
  </si>
  <si>
    <t>pallet_no</t>
    <phoneticPr fontId="12"/>
  </si>
  <si>
    <t>varchar</t>
    <phoneticPr fontId="12"/>
  </si>
  <si>
    <t>日付</t>
    <phoneticPr fontId="12"/>
  </si>
  <si>
    <t>datetime</t>
    <phoneticPr fontId="12"/>
  </si>
  <si>
    <t>完了日時</t>
    <phoneticPr fontId="12"/>
  </si>
  <si>
    <t>kanryo_datetime</t>
    <phoneticPr fontId="12"/>
  </si>
  <si>
    <t>完了時刻</t>
    <phoneticPr fontId="29"/>
  </si>
  <si>
    <t>状態</t>
    <phoneticPr fontId="12"/>
  </si>
  <si>
    <t>jotai</t>
    <phoneticPr fontId="12"/>
  </si>
  <si>
    <t>irisu</t>
    <phoneticPr fontId="12"/>
  </si>
  <si>
    <t>数値</t>
    <phoneticPr fontId="12"/>
  </si>
  <si>
    <t>numeric</t>
    <phoneticPr fontId="12"/>
  </si>
  <si>
    <t>生産ケース数</t>
    <phoneticPr fontId="12"/>
  </si>
  <si>
    <t>seisan_case_su</t>
    <phoneticPr fontId="12"/>
  </si>
  <si>
    <t>使用ケース数</t>
    <phoneticPr fontId="12"/>
  </si>
  <si>
    <t>shiyo_case_su</t>
    <phoneticPr fontId="12"/>
  </si>
  <si>
    <t>shukan_busho_cd</t>
    <phoneticPr fontId="12"/>
  </si>
  <si>
    <t>shukan_kotei_cd</t>
    <phoneticPr fontId="12"/>
  </si>
  <si>
    <t>登録機能コード</t>
    <phoneticPr fontId="12"/>
  </si>
  <si>
    <t>insert_func_cd</t>
    <phoneticPr fontId="12"/>
  </si>
  <si>
    <t>insert_datetime</t>
    <phoneticPr fontId="12"/>
  </si>
  <si>
    <t>datetime2</t>
    <phoneticPr fontId="12"/>
  </si>
  <si>
    <t>更新機能コード</t>
    <phoneticPr fontId="12"/>
  </si>
  <si>
    <t>update_func_cd</t>
    <phoneticPr fontId="12"/>
  </si>
  <si>
    <t>update_user_cd</t>
    <phoneticPr fontId="12"/>
  </si>
  <si>
    <t>update_datetime</t>
    <phoneticPr fontId="12"/>
  </si>
  <si>
    <t>入数</t>
  </si>
  <si>
    <t>包装実績：区分マスタ.コーヒーフィルタ.状態</t>
    <rPh sb="0" eb="2">
      <t>ホウソウ</t>
    </rPh>
    <rPh sb="2" eb="4">
      <t>ジッセキ</t>
    </rPh>
    <rPh sb="5" eb="7">
      <t>クブン</t>
    </rPh>
    <rPh sb="20" eb="22">
      <t>ジョウタイ</t>
    </rPh>
    <phoneticPr fontId="12"/>
  </si>
  <si>
    <t>包装実績</t>
  </si>
  <si>
    <t>パッケージ実績</t>
    <rPh sb="5" eb="7">
      <t>ジッセキ</t>
    </rPh>
    <phoneticPr fontId="12"/>
  </si>
  <si>
    <t>包装実績</t>
    <phoneticPr fontId="12"/>
  </si>
  <si>
    <t>包装実績、在庫移動</t>
    <rPh sb="5" eb="7">
      <t>ザイコ</t>
    </rPh>
    <rPh sb="7" eb="9">
      <t>イドウ</t>
    </rPh>
    <phoneticPr fontId="12"/>
  </si>
  <si>
    <t>前回保管場所コード</t>
    <rPh sb="0" eb="2">
      <t>ゼンカイ</t>
    </rPh>
    <phoneticPr fontId="12"/>
  </si>
  <si>
    <t>taisho_nengetsu</t>
    <phoneticPr fontId="12"/>
  </si>
  <si>
    <t>hokan_basho_cd</t>
    <phoneticPr fontId="12"/>
  </si>
  <si>
    <t>tana_start_date</t>
    <phoneticPr fontId="12"/>
  </si>
  <si>
    <t>tana_end_date</t>
    <phoneticPr fontId="12"/>
  </si>
  <si>
    <t>tana_status_cd</t>
    <phoneticPr fontId="12"/>
  </si>
  <si>
    <t>t_tanaoroshi</t>
    <phoneticPr fontId="12"/>
  </si>
  <si>
    <t>check_end_date</t>
    <phoneticPr fontId="12"/>
  </si>
  <si>
    <t>before_hokanbasho_cd</t>
    <phoneticPr fontId="12"/>
  </si>
  <si>
    <t>tanaoroshi_nengetsu</t>
    <phoneticPr fontId="12"/>
  </si>
  <si>
    <r>
      <t>z</t>
    </r>
    <r>
      <rPr>
        <sz val="11"/>
        <color theme="1"/>
        <rFont val="游ゴシック"/>
        <family val="2"/>
        <charset val="128"/>
        <scheme val="minor"/>
      </rPr>
      <t>aiko_exist_flg</t>
    </r>
    <phoneticPr fontId="12"/>
  </si>
  <si>
    <r>
      <t>t</t>
    </r>
    <r>
      <rPr>
        <sz val="11"/>
        <color theme="1"/>
        <rFont val="游ゴシック"/>
        <family val="2"/>
        <charset val="128"/>
        <scheme val="minor"/>
      </rPr>
      <t>anaoroshi_exist_flg</t>
    </r>
    <phoneticPr fontId="12"/>
  </si>
  <si>
    <r>
      <t>h</t>
    </r>
    <r>
      <rPr>
        <sz val="11"/>
        <color theme="1"/>
        <rFont val="游ゴシック"/>
        <family val="2"/>
        <charset val="128"/>
        <scheme val="minor"/>
      </rPr>
      <t>okanbasho_match_flg</t>
    </r>
    <phoneticPr fontId="12"/>
  </si>
  <si>
    <r>
      <t>t</t>
    </r>
    <r>
      <rPr>
        <sz val="11"/>
        <color theme="1"/>
        <rFont val="游ゴシック"/>
        <family val="2"/>
        <charset val="128"/>
        <scheme val="minor"/>
      </rPr>
      <t>ouroku_hoho_cd</t>
    </r>
    <phoneticPr fontId="12"/>
  </si>
  <si>
    <r>
      <t>y</t>
    </r>
    <r>
      <rPr>
        <sz val="11"/>
        <color theme="1"/>
        <rFont val="游ゴシック"/>
        <family val="2"/>
        <charset val="128"/>
        <scheme val="minor"/>
      </rPr>
      <t>omitori_date</t>
    </r>
    <phoneticPr fontId="12"/>
  </si>
  <si>
    <r>
      <t>t</t>
    </r>
    <r>
      <rPr>
        <sz val="11"/>
        <color theme="1"/>
        <rFont val="游ゴシック"/>
        <family val="2"/>
        <charset val="128"/>
        <scheme val="minor"/>
      </rPr>
      <t>ana_kakunin _kekka_cd</t>
    </r>
    <phoneticPr fontId="12"/>
  </si>
  <si>
    <r>
      <t>c</t>
    </r>
    <r>
      <rPr>
        <sz val="11"/>
        <color theme="1"/>
        <rFont val="游ゴシック"/>
        <family val="2"/>
        <charset val="128"/>
        <scheme val="minor"/>
      </rPr>
      <t>heck_status_cd</t>
    </r>
    <phoneticPr fontId="12"/>
  </si>
  <si>
    <r>
      <t>s</t>
    </r>
    <r>
      <rPr>
        <sz val="11"/>
        <color theme="1"/>
        <rFont val="游ゴシック"/>
        <family val="2"/>
        <charset val="128"/>
        <scheme val="minor"/>
      </rPr>
      <t>ai_riyu_cd</t>
    </r>
    <phoneticPr fontId="12"/>
  </si>
  <si>
    <t>zan</t>
  </si>
  <si>
    <t>2023/08/28追加</t>
  </si>
  <si>
    <t>残m</t>
    <phoneticPr fontId="12"/>
  </si>
  <si>
    <t>ロットEPC</t>
    <phoneticPr fontId="12"/>
  </si>
  <si>
    <t>パレットEPC</t>
    <phoneticPr fontId="12"/>
  </si>
  <si>
    <r>
      <rPr>
        <sz val="11"/>
        <color theme="1"/>
        <rFont val="游ゴシック"/>
        <family val="2"/>
        <charset val="128"/>
        <scheme val="minor"/>
      </rPr>
      <t>lot_</t>
    </r>
    <r>
      <rPr>
        <sz val="11"/>
        <color theme="1"/>
        <rFont val="游ゴシック"/>
        <family val="2"/>
        <charset val="128"/>
        <scheme val="minor"/>
      </rPr>
      <t>e</t>
    </r>
    <r>
      <rPr>
        <sz val="11"/>
        <color theme="1"/>
        <rFont val="游ゴシック"/>
        <family val="2"/>
        <charset val="128"/>
        <scheme val="minor"/>
      </rPr>
      <t>pc</t>
    </r>
    <phoneticPr fontId="12"/>
  </si>
  <si>
    <r>
      <rPr>
        <sz val="11"/>
        <color theme="1"/>
        <rFont val="游ゴシック"/>
        <family val="2"/>
        <charset val="128"/>
        <scheme val="minor"/>
      </rPr>
      <t>pallet_</t>
    </r>
    <r>
      <rPr>
        <sz val="11"/>
        <color theme="1"/>
        <rFont val="游ゴシック"/>
        <family val="2"/>
        <charset val="128"/>
        <scheme val="minor"/>
      </rPr>
      <t>e</t>
    </r>
    <r>
      <rPr>
        <sz val="11"/>
        <color theme="1"/>
        <rFont val="游ゴシック"/>
        <family val="2"/>
        <charset val="128"/>
        <scheme val="minor"/>
      </rPr>
      <t>pc</t>
    </r>
    <phoneticPr fontId="12"/>
  </si>
  <si>
    <t>2</t>
    <phoneticPr fontId="12"/>
  </si>
  <si>
    <t>残m</t>
    <rPh sb="0" eb="1">
      <t>ザン</t>
    </rPh>
    <phoneticPr fontId="12"/>
  </si>
  <si>
    <r>
      <t>z</t>
    </r>
    <r>
      <rPr>
        <sz val="11"/>
        <color theme="1"/>
        <rFont val="游ゴシック"/>
        <family val="2"/>
        <charset val="128"/>
        <scheme val="minor"/>
      </rPr>
      <t>an</t>
    </r>
    <phoneticPr fontId="12"/>
  </si>
  <si>
    <t>品質区分</t>
    <phoneticPr fontId="12"/>
  </si>
  <si>
    <r>
      <t>h</t>
    </r>
    <r>
      <rPr>
        <sz val="11"/>
        <color theme="1"/>
        <rFont val="游ゴシック"/>
        <family val="2"/>
        <charset val="128"/>
        <scheme val="minor"/>
      </rPr>
      <t>inshitsu_kbn</t>
    </r>
    <phoneticPr fontId="12"/>
  </si>
  <si>
    <t>対象年月</t>
    <phoneticPr fontId="12"/>
  </si>
  <si>
    <r>
      <t>t</t>
    </r>
    <r>
      <rPr>
        <sz val="11"/>
        <color theme="1"/>
        <rFont val="游ゴシック"/>
        <family val="2"/>
        <charset val="128"/>
        <scheme val="minor"/>
      </rPr>
      <t>aisho_nengetsu</t>
    </r>
    <phoneticPr fontId="12"/>
  </si>
  <si>
    <t>t_tanaoroshi</t>
    <phoneticPr fontId="12"/>
  </si>
  <si>
    <t>J.製品棚卸</t>
  </si>
  <si>
    <t>棚卸実績情報</t>
    <rPh sb="2" eb="4">
      <t>ジッセキ</t>
    </rPh>
    <phoneticPr fontId="12"/>
  </si>
  <si>
    <t>t_tanaoroshi_jisseki</t>
    <phoneticPr fontId="12"/>
  </si>
  <si>
    <t>生産指示明細情報（調薬）の紐付用項目</t>
    <rPh sb="0" eb="4">
      <t>セイサンシジ</t>
    </rPh>
    <rPh sb="4" eb="6">
      <t>メイサイ</t>
    </rPh>
    <rPh sb="6" eb="8">
      <t>ジョウホウ</t>
    </rPh>
    <rPh sb="9" eb="11">
      <t>チョウヤク</t>
    </rPh>
    <rPh sb="13" eb="14">
      <t>ヒモ</t>
    </rPh>
    <rPh sb="14" eb="15">
      <t>ツ</t>
    </rPh>
    <rPh sb="15" eb="16">
      <t>ヨウ</t>
    </rPh>
    <rPh sb="16" eb="18">
      <t>コウモク</t>
    </rPh>
    <phoneticPr fontId="12"/>
  </si>
  <si>
    <t>生産指示（調薬）の原反情報紐付用項目</t>
    <rPh sb="0" eb="4">
      <t>セイサンシジ</t>
    </rPh>
    <rPh sb="5" eb="7">
      <t>チョウヤク</t>
    </rPh>
    <rPh sb="9" eb="13">
      <t>ゲンタンジョウホウ</t>
    </rPh>
    <rPh sb="13" eb="14">
      <t>ヒモ</t>
    </rPh>
    <rPh sb="14" eb="15">
      <t>ツ</t>
    </rPh>
    <rPh sb="15" eb="16">
      <t>ヨウ</t>
    </rPh>
    <rPh sb="16" eb="18">
      <t>コウモク</t>
    </rPh>
    <phoneticPr fontId="12"/>
  </si>
  <si>
    <t>9/8 中室追加</t>
    <rPh sb="4" eb="6">
      <t>ナカムロ</t>
    </rPh>
    <rPh sb="6" eb="8">
      <t>ツイカ</t>
    </rPh>
    <phoneticPr fontId="12"/>
  </si>
  <si>
    <t>genin_shosai</t>
    <phoneticPr fontId="12"/>
  </si>
  <si>
    <t>受入詳細区分</t>
    <rPh sb="0" eb="1">
      <t>ウ</t>
    </rPh>
    <rPh sb="1" eb="2">
      <t>イ</t>
    </rPh>
    <rPh sb="2" eb="4">
      <t>ショウサイ</t>
    </rPh>
    <rPh sb="4" eb="6">
      <t>クブン</t>
    </rPh>
    <phoneticPr fontId="12"/>
  </si>
  <si>
    <t>ukeire_shosai_kbn</t>
    <phoneticPr fontId="12"/>
  </si>
  <si>
    <t>仕上区分の値を登録</t>
    <rPh sb="0" eb="2">
      <t>シア</t>
    </rPh>
    <rPh sb="2" eb="4">
      <t>クブン</t>
    </rPh>
    <rPh sb="5" eb="6">
      <t>アタイ</t>
    </rPh>
    <rPh sb="7" eb="9">
      <t>トウロク</t>
    </rPh>
    <phoneticPr fontId="12"/>
  </si>
  <si>
    <t>在庫情報と同様に設定</t>
    <rPh sb="0" eb="2">
      <t>ザイコ</t>
    </rPh>
    <rPh sb="2" eb="4">
      <t>ジョウホウ</t>
    </rPh>
    <rPh sb="5" eb="7">
      <t>ドウヨウ</t>
    </rPh>
    <rPh sb="8" eb="10">
      <t>セッテイ</t>
    </rPh>
    <phoneticPr fontId="12"/>
  </si>
  <si>
    <t>9/11 中室　不要想定　確認後削除</t>
    <rPh sb="5" eb="7">
      <t>ナカムロ</t>
    </rPh>
    <rPh sb="8" eb="12">
      <t>フヨウソウテイ</t>
    </rPh>
    <rPh sb="13" eb="16">
      <t>カクニンゴ</t>
    </rPh>
    <rPh sb="16" eb="18">
      <t>サクジョ</t>
    </rPh>
    <phoneticPr fontId="12"/>
  </si>
  <si>
    <t>9/11　中室　品種マスタから取得可能なため不要想定　確認後削除</t>
    <rPh sb="5" eb="7">
      <t>ナカムロ</t>
    </rPh>
    <rPh sb="8" eb="10">
      <t>ヒンシュ</t>
    </rPh>
    <rPh sb="15" eb="17">
      <t>シュトク</t>
    </rPh>
    <rPh sb="17" eb="19">
      <t>カノウ</t>
    </rPh>
    <rPh sb="22" eb="26">
      <t>フヨウソウテイカクニンゴサクジョ</t>
    </rPh>
    <phoneticPr fontId="12"/>
  </si>
  <si>
    <t>3:出荷実績№　4:引取実績№　6.生産指示</t>
    <rPh sb="4" eb="6">
      <t>ジッセキ</t>
    </rPh>
    <rPh sb="10" eb="11">
      <t>ヒ</t>
    </rPh>
    <rPh sb="11" eb="12">
      <t>ト</t>
    </rPh>
    <rPh sb="12" eb="14">
      <t>ジッセキ</t>
    </rPh>
    <rPh sb="18" eb="22">
      <t>セイサンシジ</t>
    </rPh>
    <phoneticPr fontId="12"/>
  </si>
  <si>
    <t>NULLの場合、指定なし</t>
    <rPh sb="5" eb="7">
      <t>バアイ</t>
    </rPh>
    <rPh sb="8" eb="10">
      <t>シテイ</t>
    </rPh>
    <phoneticPr fontId="12"/>
  </si>
  <si>
    <t>9/11  中室　不要想定　確認後削除</t>
    <rPh sb="6" eb="8">
      <t>ナカムロ</t>
    </rPh>
    <rPh sb="9" eb="13">
      <t>フヨウソウテイ</t>
    </rPh>
    <rPh sb="14" eb="17">
      <t>カクニンゴ</t>
    </rPh>
    <rPh sb="17" eb="19">
      <t>サクジョ</t>
    </rPh>
    <phoneticPr fontId="12"/>
  </si>
  <si>
    <t>9/11　中室　製品情報に無いため不要想定　確認後削除</t>
    <rPh sb="5" eb="7">
      <t>ナカムロ</t>
    </rPh>
    <rPh sb="8" eb="10">
      <t>セイヒン</t>
    </rPh>
    <rPh sb="10" eb="12">
      <t>ジョウホウ</t>
    </rPh>
    <rPh sb="13" eb="14">
      <t>ナ</t>
    </rPh>
    <rPh sb="17" eb="19">
      <t>フヨウ</t>
    </rPh>
    <rPh sb="19" eb="21">
      <t>ソウテイカクニンゴサクジョ</t>
    </rPh>
    <phoneticPr fontId="12"/>
  </si>
  <si>
    <t>3:出荷指示№　4:引取指示№ 5:生産指示</t>
    <rPh sb="10" eb="11">
      <t>ヒ</t>
    </rPh>
    <rPh sb="11" eb="12">
      <t>ト</t>
    </rPh>
    <rPh sb="12" eb="14">
      <t>シジ</t>
    </rPh>
    <rPh sb="18" eb="22">
      <t>セイサンシジ</t>
    </rPh>
    <phoneticPr fontId="12"/>
  </si>
  <si>
    <t>年月ロット№</t>
    <rPh sb="0" eb="2">
      <t>ネンゲツ</t>
    </rPh>
    <phoneticPr fontId="12"/>
  </si>
  <si>
    <t>nengetsu_lot_no</t>
    <phoneticPr fontId="12"/>
  </si>
  <si>
    <t>削除</t>
    <rPh sb="0" eb="2">
      <t>サクジョ</t>
    </rPh>
    <phoneticPr fontId="12"/>
  </si>
  <si>
    <t>9/12 中室 名称変更</t>
    <rPh sb="5" eb="7">
      <t>ナカムロ</t>
    </rPh>
    <rPh sb="8" eb="10">
      <t>メイショウ</t>
    </rPh>
    <rPh sb="10" eb="12">
      <t>ヘンコウ</t>
    </rPh>
    <phoneticPr fontId="12"/>
  </si>
  <si>
    <t>受入・払出予定の指定保管場所コードを登録</t>
    <rPh sb="0" eb="2">
      <t>ウケイレ</t>
    </rPh>
    <rPh sb="3" eb="5">
      <t>ハライダシ</t>
    </rPh>
    <rPh sb="5" eb="7">
      <t>ヨテイ</t>
    </rPh>
    <rPh sb="8" eb="10">
      <t>シテイ</t>
    </rPh>
    <rPh sb="10" eb="14">
      <t>ホカンバショ</t>
    </rPh>
    <rPh sb="18" eb="20">
      <t>トウロク</t>
    </rPh>
    <phoneticPr fontId="12"/>
  </si>
  <si>
    <t>9/14 荒木　型変更</t>
    <rPh sb="5" eb="7">
      <t>アラキ</t>
    </rPh>
    <rPh sb="8" eb="11">
      <t>カタヘンコウ</t>
    </rPh>
    <phoneticPr fontId="12"/>
  </si>
  <si>
    <t>棚卸中製品在庫情報</t>
    <rPh sb="2" eb="3">
      <t>ナカ</t>
    </rPh>
    <rPh sb="3" eb="9">
      <t>セイヒンザイコジョウホウ</t>
    </rPh>
    <phoneticPr fontId="12"/>
  </si>
  <si>
    <t>t_seihin_zaiko_tanaoroshi_chu</t>
    <phoneticPr fontId="12"/>
  </si>
  <si>
    <t>巻取は、1固定</t>
    <rPh sb="0" eb="2">
      <t>マキトリ</t>
    </rPh>
    <rPh sb="5" eb="7">
      <t>コテイ</t>
    </rPh>
    <phoneticPr fontId="12"/>
  </si>
  <si>
    <t>平判は、端数等があり1とは限らない</t>
    <rPh sb="0" eb="2">
      <t>ヒラバン</t>
    </rPh>
    <rPh sb="4" eb="7">
      <t>ハスウトウ</t>
    </rPh>
    <rPh sb="13" eb="14">
      <t>カギ</t>
    </rPh>
    <phoneticPr fontId="12"/>
  </si>
  <si>
    <t>9/20 荒木 削除されていたが復活</t>
    <rPh sb="5" eb="7">
      <t>アラキ</t>
    </rPh>
    <rPh sb="8" eb="10">
      <t>サクジョ</t>
    </rPh>
    <rPh sb="16" eb="18">
      <t>フッカツ</t>
    </rPh>
    <phoneticPr fontId="12"/>
  </si>
  <si>
    <t>9/20 荒木 削除</t>
    <rPh sb="5" eb="7">
      <t>アラキ</t>
    </rPh>
    <rPh sb="8" eb="10">
      <t>サクジョ</t>
    </rPh>
    <phoneticPr fontId="12"/>
  </si>
  <si>
    <t>9/20 荒木 追加</t>
    <rPh sb="5" eb="7">
      <t>アラキ</t>
    </rPh>
    <rPh sb="8" eb="10">
      <t>ツイカ</t>
    </rPh>
    <phoneticPr fontId="12"/>
  </si>
  <si>
    <t>9/21 中室 追加</t>
    <rPh sb="5" eb="7">
      <t>ナカムロ</t>
    </rPh>
    <rPh sb="8" eb="10">
      <t>ツイカ</t>
    </rPh>
    <phoneticPr fontId="12"/>
  </si>
  <si>
    <t>9/25 荒木 追加</t>
    <rPh sb="5" eb="7">
      <t>アラキ</t>
    </rPh>
    <rPh sb="8" eb="10">
      <t>ツイカ</t>
    </rPh>
    <phoneticPr fontId="12"/>
  </si>
  <si>
    <t>在庫調整日</t>
    <rPh sb="0" eb="5">
      <t>ザイコチョウセイビ</t>
    </rPh>
    <phoneticPr fontId="12"/>
  </si>
  <si>
    <t>zaiko_chosei_date</t>
    <phoneticPr fontId="12"/>
  </si>
  <si>
    <t>9/26　追加</t>
    <rPh sb="5" eb="7">
      <t>ツイカ</t>
    </rPh>
    <phoneticPr fontId="12"/>
  </si>
  <si>
    <t>9/26　削除</t>
    <rPh sb="5" eb="7">
      <t>サクジョ</t>
    </rPh>
    <phoneticPr fontId="12"/>
  </si>
  <si>
    <t>9/26 藤井 追加</t>
    <rPh sb="5" eb="7">
      <t>フジイ</t>
    </rPh>
    <rPh sb="8" eb="10">
      <t>ツイカ</t>
    </rPh>
    <phoneticPr fontId="12"/>
  </si>
  <si>
    <t>9/26 藤井 グレーアウトから戻し</t>
    <rPh sb="5" eb="7">
      <t>フジイ</t>
    </rPh>
    <rPh sb="16" eb="17">
      <t>モド</t>
    </rPh>
    <phoneticPr fontId="12"/>
  </si>
  <si>
    <t>suryo</t>
    <phoneticPr fontId="12"/>
  </si>
  <si>
    <t>seisan_keikaku_no</t>
    <phoneticPr fontId="12"/>
  </si>
  <si>
    <t>yotei_date</t>
    <phoneticPr fontId="12"/>
  </si>
  <si>
    <t>yotei_kbn</t>
    <phoneticPr fontId="12"/>
  </si>
  <si>
    <t>data_kbn</t>
  </si>
  <si>
    <t>data_kbn</t>
    <phoneticPr fontId="12"/>
  </si>
  <si>
    <t>hinshu_cd</t>
    <phoneticPr fontId="12"/>
  </si>
  <si>
    <t>hokan_basho_cd</t>
  </si>
  <si>
    <t>shiji_meisai_seq</t>
    <phoneticPr fontId="12"/>
  </si>
  <si>
    <t>bunrui_cd</t>
  </si>
  <si>
    <t>hatchu_no</t>
    <phoneticPr fontId="12"/>
  </si>
  <si>
    <t>hatchu_meisai_seq</t>
    <phoneticPr fontId="12"/>
  </si>
  <si>
    <t>shizai_zaiko_yotei_no</t>
    <phoneticPr fontId="12"/>
  </si>
  <si>
    <t>shizai_zaiko_jisseki_no</t>
    <phoneticPr fontId="12"/>
  </si>
  <si>
    <t>shiire_no</t>
    <phoneticPr fontId="12"/>
  </si>
  <si>
    <t>shiire_meisai_seq</t>
    <phoneticPr fontId="12"/>
  </si>
  <si>
    <t>shiyo_jisseki_no</t>
  </si>
  <si>
    <t>shiyo_date</t>
    <phoneticPr fontId="12"/>
  </si>
  <si>
    <t>kotei_cd</t>
    <phoneticPr fontId="12"/>
  </si>
  <si>
    <t>setsubi_cd</t>
    <phoneticPr fontId="12"/>
  </si>
  <si>
    <t>shiyo_ichiran_seq</t>
    <phoneticPr fontId="12"/>
  </si>
  <si>
    <t>shiyo_meisai_seq</t>
    <phoneticPr fontId="12"/>
  </si>
  <si>
    <t>jisseki_date</t>
    <phoneticPr fontId="12"/>
  </si>
  <si>
    <t>jisseki_kbn</t>
    <phoneticPr fontId="12"/>
  </si>
  <si>
    <t>last_month_used_suryo</t>
    <phoneticPr fontId="12"/>
  </si>
  <si>
    <t>this_month_used_suryo</t>
    <phoneticPr fontId="12"/>
  </si>
  <si>
    <t>amount</t>
  </si>
  <si>
    <t>9/29 藤井　EPC値が入るケースを考慮し、型と桁数をEPCに合わせる</t>
    <rPh sb="5" eb="7">
      <t>フジイ</t>
    </rPh>
    <rPh sb="11" eb="12">
      <t>チ</t>
    </rPh>
    <rPh sb="13" eb="14">
      <t>ハイ</t>
    </rPh>
    <rPh sb="19" eb="21">
      <t>コウリョ</t>
    </rPh>
    <rPh sb="23" eb="24">
      <t>カタ</t>
    </rPh>
    <rPh sb="25" eb="27">
      <t>ケタスウ</t>
    </rPh>
    <rPh sb="32" eb="33">
      <t>ア</t>
    </rPh>
    <phoneticPr fontId="12"/>
  </si>
  <si>
    <t>0:有効  1:削除</t>
    <rPh sb="2" eb="4">
      <t>ユウコウ</t>
    </rPh>
    <rPh sb="8" eb="10">
      <t>サクジョ</t>
    </rPh>
    <phoneticPr fontId="12"/>
  </si>
  <si>
    <t>10/2　藤井　追加</t>
    <rPh sb="5" eb="7">
      <t>フジイ</t>
    </rPh>
    <rPh sb="8" eb="10">
      <t>ツイカ</t>
    </rPh>
    <phoneticPr fontId="12"/>
  </si>
  <si>
    <t>10/3 削除</t>
    <rPh sb="5" eb="7">
      <t>サクジョ</t>
    </rPh>
    <phoneticPr fontId="12"/>
  </si>
  <si>
    <t>chodori_no</t>
    <phoneticPr fontId="12"/>
  </si>
  <si>
    <t>ido_shiji_no</t>
    <phoneticPr fontId="12"/>
  </si>
  <si>
    <t>ido_shiji_meisai_no</t>
    <phoneticPr fontId="12"/>
  </si>
  <si>
    <t>shukka_shiji_no</t>
  </si>
  <si>
    <t>hikitori_shiji_no</t>
    <phoneticPr fontId="12"/>
  </si>
  <si>
    <t>hikitori_meisai_seq</t>
    <phoneticPr fontId="12"/>
  </si>
  <si>
    <t>yotei_kbn</t>
  </si>
  <si>
    <t>yotei_syosai_kbn</t>
    <phoneticPr fontId="12"/>
  </si>
  <si>
    <t>data_kbn</t>
    <phoneticPr fontId="12"/>
  </si>
  <si>
    <t>jisseki_syosai_kbn</t>
    <phoneticPr fontId="12"/>
  </si>
  <si>
    <t>closemonth</t>
  </si>
  <si>
    <t>closemonth</t>
    <phoneticPr fontId="12"/>
  </si>
  <si>
    <t>※</t>
    <phoneticPr fontId="12"/>
  </si>
  <si>
    <t>納品時には、シート「実行シート」　削除</t>
    <rPh sb="0" eb="3">
      <t>ノウヒンジ</t>
    </rPh>
    <rPh sb="10" eb="12">
      <t>ジッコウ</t>
    </rPh>
    <rPh sb="17" eb="19">
      <t>サクジョ</t>
    </rPh>
    <phoneticPr fontId="12"/>
  </si>
  <si>
    <t>フッター　右部　に　シート名＋頁　を設定する</t>
    <rPh sb="5" eb="6">
      <t>ミギ</t>
    </rPh>
    <rPh sb="6" eb="7">
      <t>ブ</t>
    </rPh>
    <rPh sb="13" eb="14">
      <t>メイ</t>
    </rPh>
    <rPh sb="15" eb="16">
      <t>ペイジ</t>
    </rPh>
    <rPh sb="18" eb="20">
      <t>セッテイ</t>
    </rPh>
    <phoneticPr fontId="12"/>
  </si>
  <si>
    <t>各テーブルの項目定義　を　シート「項目一覧」　に集計する</t>
    <rPh sb="0" eb="1">
      <t>カク</t>
    </rPh>
    <rPh sb="6" eb="8">
      <t>コウモク</t>
    </rPh>
    <rPh sb="8" eb="10">
      <t>テイギ</t>
    </rPh>
    <rPh sb="17" eb="19">
      <t>コウモク</t>
    </rPh>
    <rPh sb="19" eb="21">
      <t>イチラン</t>
    </rPh>
    <rPh sb="24" eb="26">
      <t>シュウケイ</t>
    </rPh>
    <phoneticPr fontId="12"/>
  </si>
  <si>
    <t>シート「項目一覧」　より　項目別にソートし、　シート「項目一覧（工程別）」　に　展開する</t>
    <rPh sb="4" eb="6">
      <t>コウモク</t>
    </rPh>
    <rPh sb="6" eb="8">
      <t>イチラン</t>
    </rPh>
    <rPh sb="13" eb="15">
      <t>コウモク</t>
    </rPh>
    <rPh sb="15" eb="16">
      <t>ベツ</t>
    </rPh>
    <rPh sb="27" eb="29">
      <t>コウモク</t>
    </rPh>
    <rPh sb="29" eb="31">
      <t>イチラン</t>
    </rPh>
    <rPh sb="32" eb="34">
      <t>コウテイ</t>
    </rPh>
    <rPh sb="34" eb="35">
      <t>ベツ</t>
    </rPh>
    <rPh sb="40" eb="42">
      <t>テンカイ</t>
    </rPh>
    <phoneticPr fontId="12"/>
  </si>
  <si>
    <t>シート「項目一覧（工程別）」　より　編集した設定値　を　各テーブル項目設定値　に　反映する</t>
    <rPh sb="18" eb="20">
      <t>ヘンシュウ</t>
    </rPh>
    <rPh sb="22" eb="24">
      <t>セッテイ</t>
    </rPh>
    <rPh sb="24" eb="25">
      <t>チ</t>
    </rPh>
    <rPh sb="28" eb="29">
      <t>カク</t>
    </rPh>
    <rPh sb="33" eb="35">
      <t>コウモク</t>
    </rPh>
    <rPh sb="35" eb="37">
      <t>セッテイ</t>
    </rPh>
    <rPh sb="37" eb="38">
      <t>チ</t>
    </rPh>
    <rPh sb="41" eb="43">
      <t>ハンエイ</t>
    </rPh>
    <phoneticPr fontId="12"/>
  </si>
  <si>
    <t>各テーブルのSQL作成</t>
    <rPh sb="0" eb="1">
      <t>カク</t>
    </rPh>
    <rPh sb="9" eb="11">
      <t>サクセイ</t>
    </rPh>
    <phoneticPr fontId="12"/>
  </si>
  <si>
    <t>テーブルのSQL作成前に　テーブルリスト（設定値）を確認すること</t>
    <rPh sb="10" eb="11">
      <t>マエ</t>
    </rPh>
    <rPh sb="21" eb="23">
      <t>セッテイ</t>
    </rPh>
    <rPh sb="23" eb="24">
      <t>チ</t>
    </rPh>
    <rPh sb="26" eb="28">
      <t>カクニン</t>
    </rPh>
    <phoneticPr fontId="12"/>
  </si>
  <si>
    <t>taisho_nengetsu</t>
  </si>
  <si>
    <t>登録機能コード</t>
  </si>
  <si>
    <t>登録機能ID</t>
  </si>
  <si>
    <t>更新機能コード</t>
  </si>
  <si>
    <t>更新機能ID</t>
  </si>
  <si>
    <t>hinshitsu_kbn</t>
  </si>
  <si>
    <t>joint_kaisu</t>
  </si>
  <si>
    <t>重量</t>
  </si>
  <si>
    <t>×</t>
  </si>
  <si>
    <t>lot_epc</t>
  </si>
  <si>
    <t>pallet_no</t>
  </si>
  <si>
    <t>before_hokanbasho_cd</t>
  </si>
  <si>
    <t>tana_kakunin _kekka_cd</t>
  </si>
  <si>
    <t>check_status_cd</t>
  </si>
  <si>
    <t>sai_riyu_cd</t>
  </si>
  <si>
    <t>品種中分類コード</t>
  </si>
  <si>
    <t>pallet_epc</t>
  </si>
  <si>
    <t>zaiko_exist_flg</t>
  </si>
  <si>
    <t>tanaoroshi_exist_flg</t>
  </si>
  <si>
    <t>hokanbasho_match_flg</t>
  </si>
  <si>
    <t>touroku_hoho_cd</t>
  </si>
  <si>
    <t>yomitori_date</t>
  </si>
  <si>
    <t>nengetsu_lot_no</t>
  </si>
  <si>
    <t>製品分類名</t>
  </si>
  <si>
    <t>ido_shiji_no</t>
  </si>
  <si>
    <t>データ区分</t>
  </si>
  <si>
    <t>idomoto_hokan_basho_cd</t>
  </si>
  <si>
    <t>完了時刻</t>
  </si>
  <si>
    <t>状態</t>
  </si>
  <si>
    <t>生産ケース数</t>
  </si>
  <si>
    <t>使用ケース数</t>
  </si>
  <si>
    <t>主幹部署コード</t>
  </si>
  <si>
    <t>主幹工程コード</t>
  </si>
  <si>
    <t>datetime2</t>
  </si>
  <si>
    <t>受注№</t>
  </si>
  <si>
    <t>引取指示№</t>
  </si>
  <si>
    <t>引取実績№</t>
  </si>
  <si>
    <t>出荷指示№</t>
  </si>
  <si>
    <t>出荷実績№</t>
  </si>
  <si>
    <t>zaiko_chosei_date</t>
  </si>
  <si>
    <t>品種中分類名</t>
  </si>
  <si>
    <t>hatchu_no</t>
  </si>
  <si>
    <t>hatchu_meisai_seq</t>
  </si>
  <si>
    <t>数量単位コード</t>
  </si>
  <si>
    <t>shizai_zaiko_jisseki_no</t>
  </si>
  <si>
    <t>shiire_no</t>
  </si>
  <si>
    <t>shiire_meisai_seq</t>
  </si>
  <si>
    <t>shiyo_date</t>
  </si>
  <si>
    <t>shiyo_kbn</t>
  </si>
  <si>
    <t>shiyo_ichiran_seq</t>
  </si>
  <si>
    <t>shiyo_meisai_seq</t>
  </si>
  <si>
    <t>単位重量</t>
  </si>
  <si>
    <t>last_month_used_suryo</t>
  </si>
  <si>
    <t>this_month_used_suryo</t>
  </si>
  <si>
    <t>1</t>
  </si>
  <si>
    <t>資材在庫受払伝票情報</t>
  </si>
  <si>
    <t>単位重量コード</t>
  </si>
  <si>
    <t>生産実績単価（受入）</t>
  </si>
  <si>
    <t>生産実績金額（受入）</t>
  </si>
  <si>
    <t>資材受入単価（購入品）</t>
  </si>
  <si>
    <t>資材受入金額（受託品）</t>
  </si>
  <si>
    <t>使用実績単価（払出）</t>
  </si>
  <si>
    <t>使用実績金額（払出）</t>
  </si>
  <si>
    <t>出荷実績単価（払出）</t>
  </si>
  <si>
    <t>出荷実績金額（払出）</t>
  </si>
  <si>
    <t>文字</t>
    <phoneticPr fontId="12"/>
  </si>
  <si>
    <t>varchar</t>
    <phoneticPr fontId="12"/>
  </si>
  <si>
    <t>保管場所コード</t>
    <phoneticPr fontId="12"/>
  </si>
  <si>
    <t>hokan_basho_cd</t>
    <phoneticPr fontId="12"/>
  </si>
  <si>
    <t>登録者コード</t>
    <phoneticPr fontId="12"/>
  </si>
  <si>
    <t>登録日</t>
    <phoneticPr fontId="12"/>
  </si>
  <si>
    <t>日付</t>
    <phoneticPr fontId="12"/>
  </si>
  <si>
    <t>datetime</t>
    <phoneticPr fontId="12"/>
  </si>
  <si>
    <t>更新者コード</t>
    <phoneticPr fontId="12"/>
  </si>
  <si>
    <t>更新日</t>
    <phoneticPr fontId="12"/>
  </si>
  <si>
    <t>品種コード</t>
    <phoneticPr fontId="12"/>
  </si>
  <si>
    <t>品名</t>
    <phoneticPr fontId="12"/>
  </si>
  <si>
    <t>数値</t>
    <phoneticPr fontId="12"/>
  </si>
  <si>
    <t>numeric</t>
    <phoneticPr fontId="12"/>
  </si>
  <si>
    <t>坪量</t>
    <phoneticPr fontId="12"/>
  </si>
  <si>
    <t>幅</t>
    <phoneticPr fontId="12"/>
  </si>
  <si>
    <t>長さ</t>
    <phoneticPr fontId="12"/>
  </si>
  <si>
    <t>連量</t>
    <phoneticPr fontId="12"/>
  </si>
  <si>
    <t>残m</t>
    <phoneticPr fontId="12"/>
  </si>
  <si>
    <t>zan</t>
    <phoneticPr fontId="12"/>
  </si>
  <si>
    <t>残ｍ</t>
    <phoneticPr fontId="12"/>
  </si>
  <si>
    <t>unit_cd</t>
    <phoneticPr fontId="12"/>
  </si>
  <si>
    <t>数量</t>
    <phoneticPr fontId="12"/>
  </si>
  <si>
    <t>ロットEPC</t>
    <phoneticPr fontId="12"/>
  </si>
  <si>
    <t>パレット№</t>
    <phoneticPr fontId="12"/>
  </si>
  <si>
    <t>製品番号</t>
    <phoneticPr fontId="12"/>
  </si>
  <si>
    <t>製品分類コード</t>
    <phoneticPr fontId="12"/>
  </si>
  <si>
    <t>数量単位</t>
    <phoneticPr fontId="12"/>
  </si>
  <si>
    <t>パレットEPC</t>
    <phoneticPr fontId="12"/>
  </si>
  <si>
    <t>juchu_no</t>
    <phoneticPr fontId="12"/>
  </si>
  <si>
    <t>seisan_keikaku_no</t>
    <phoneticPr fontId="12"/>
  </si>
  <si>
    <t>shukka_shiji_no</t>
    <phoneticPr fontId="12"/>
  </si>
  <si>
    <t>shukka_shiji_edaban</t>
    <phoneticPr fontId="12"/>
  </si>
  <si>
    <t>juchu_meisai_seq</t>
    <phoneticPr fontId="12"/>
  </si>
  <si>
    <t>zaiko_meisai_seq</t>
    <phoneticPr fontId="12"/>
  </si>
  <si>
    <t>yotei_date</t>
    <phoneticPr fontId="12"/>
  </si>
  <si>
    <t>yotei_kbn</t>
    <phoneticPr fontId="12"/>
  </si>
  <si>
    <t>jisseki_date</t>
    <phoneticPr fontId="12"/>
  </si>
  <si>
    <t>jisseki_kbn</t>
    <phoneticPr fontId="12"/>
  </si>
  <si>
    <t>締月</t>
    <phoneticPr fontId="12"/>
  </si>
  <si>
    <t>入数</t>
    <phoneticPr fontId="12"/>
  </si>
  <si>
    <t>製品ロット№</t>
    <phoneticPr fontId="12"/>
  </si>
  <si>
    <t>仕入№</t>
    <phoneticPr fontId="12"/>
  </si>
  <si>
    <t>仕上実績_加工SC_生産計画№</t>
    <phoneticPr fontId="12"/>
  </si>
  <si>
    <t>使用原反_WD工場_生産計画№</t>
    <phoneticPr fontId="12"/>
  </si>
  <si>
    <t>仕上実績_WD工場_生産計画№</t>
    <phoneticPr fontId="12"/>
  </si>
  <si>
    <t>使用原反_外注加工_生産計画№</t>
    <phoneticPr fontId="12"/>
  </si>
  <si>
    <t>仕上実績_外注加工_生産計画№</t>
    <phoneticPr fontId="12"/>
  </si>
  <si>
    <t>生産計画_コーヒーフィルタ_生産計画№</t>
    <phoneticPr fontId="12"/>
  </si>
  <si>
    <t>成型実績_生産計画№</t>
    <phoneticPr fontId="12"/>
  </si>
  <si>
    <t>包装実績_生産計画№</t>
    <phoneticPr fontId="12"/>
  </si>
  <si>
    <t>生産計画_パッケージ工場_生産計画№</t>
    <phoneticPr fontId="12"/>
  </si>
  <si>
    <t>パッケージ実績_生産計画№</t>
    <phoneticPr fontId="12"/>
  </si>
  <si>
    <t>前月末重量</t>
    <phoneticPr fontId="12"/>
  </si>
  <si>
    <t>前月末金額</t>
    <phoneticPr fontId="12"/>
  </si>
  <si>
    <t>当月受入重量</t>
    <phoneticPr fontId="12"/>
  </si>
  <si>
    <t>当月受入金額</t>
    <phoneticPr fontId="12"/>
  </si>
  <si>
    <t>当月使用重量</t>
    <phoneticPr fontId="12"/>
  </si>
  <si>
    <t>当月使用金額</t>
    <phoneticPr fontId="12"/>
  </si>
  <si>
    <t>当月末重量</t>
    <phoneticPr fontId="12"/>
  </si>
  <si>
    <t>当月末金額</t>
    <phoneticPr fontId="12"/>
  </si>
  <si>
    <t>資材在庫予定№</t>
    <phoneticPr fontId="12"/>
  </si>
  <si>
    <t>bunrui_cd</t>
    <phoneticPr fontId="12"/>
  </si>
  <si>
    <t>genryo_kbn</t>
    <phoneticPr fontId="12"/>
  </si>
  <si>
    <t>amount</t>
    <phoneticPr fontId="12"/>
  </si>
  <si>
    <t>shiyo_jisseki_no</t>
    <phoneticPr fontId="12"/>
  </si>
  <si>
    <t>保管場所</t>
    <phoneticPr fontId="12"/>
  </si>
  <si>
    <t>シーケンス</t>
    <phoneticPr fontId="12"/>
  </si>
  <si>
    <t>受払日付</t>
    <phoneticPr fontId="12"/>
  </si>
  <si>
    <t>製造先コード</t>
    <phoneticPr fontId="12"/>
  </si>
  <si>
    <t>製造先名</t>
    <phoneticPr fontId="12"/>
  </si>
  <si>
    <t>得意先コード</t>
    <phoneticPr fontId="12"/>
  </si>
  <si>
    <t>得意先名</t>
    <phoneticPr fontId="12"/>
  </si>
  <si>
    <t>生産実績数量（受入）</t>
    <phoneticPr fontId="12"/>
  </si>
  <si>
    <t>資材受入数量（購入品）</t>
    <phoneticPr fontId="12"/>
  </si>
  <si>
    <t>使用実績数量（払出）</t>
    <phoneticPr fontId="12"/>
  </si>
  <si>
    <t>使用実績重量（払出）</t>
    <phoneticPr fontId="12"/>
  </si>
  <si>
    <t>出荷実績数量（払出）</t>
    <phoneticPr fontId="12"/>
  </si>
  <si>
    <t>項目コメント</t>
    <phoneticPr fontId="12"/>
  </si>
  <si>
    <t>shukka_jisseki_no</t>
  </si>
  <si>
    <t>【移動指示】移動指示№</t>
    <phoneticPr fontId="12"/>
  </si>
  <si>
    <t/>
  </si>
  <si>
    <t>【移動指示】移動指示明細№</t>
    <phoneticPr fontId="12"/>
  </si>
  <si>
    <t>【引取指示】引取指示№</t>
    <phoneticPr fontId="12"/>
  </si>
  <si>
    <t>【引取指示】引取指示明細№</t>
    <phoneticPr fontId="12"/>
  </si>
  <si>
    <t>【仕入】分類</t>
    <phoneticPr fontId="12"/>
  </si>
  <si>
    <t>【仕入】明細SEQ</t>
    <phoneticPr fontId="12"/>
  </si>
  <si>
    <t>【使用実績】一覧SEQ</t>
    <phoneticPr fontId="12"/>
  </si>
  <si>
    <t>【使用実績】原材料区分</t>
    <phoneticPr fontId="12"/>
  </si>
  <si>
    <t>【使用実績】工程コード</t>
    <phoneticPr fontId="12"/>
  </si>
  <si>
    <t>【使用実績】作業日</t>
    <phoneticPr fontId="12"/>
  </si>
  <si>
    <t>【使用実績】使用区分</t>
    <phoneticPr fontId="12"/>
  </si>
  <si>
    <t>【使用実績】使用実績№</t>
    <phoneticPr fontId="12"/>
  </si>
  <si>
    <t>【使用実績】使用日</t>
    <phoneticPr fontId="12"/>
  </si>
  <si>
    <t>【使用実績】生産計画№</t>
    <phoneticPr fontId="12"/>
  </si>
  <si>
    <t>【使用実績】設備</t>
    <phoneticPr fontId="12"/>
  </si>
  <si>
    <t>【使用実績】調薬区分</t>
    <phoneticPr fontId="12"/>
  </si>
  <si>
    <t>【使用実績】明細SEQ</t>
    <phoneticPr fontId="12"/>
  </si>
  <si>
    <t>【受注】受注№</t>
    <phoneticPr fontId="12"/>
  </si>
  <si>
    <t>【出荷指示】ロット明細SEQ</t>
    <phoneticPr fontId="12"/>
  </si>
  <si>
    <t>【出荷指示】在庫明細SEQ</t>
    <phoneticPr fontId="12"/>
  </si>
  <si>
    <t>【出荷指示】受注明細SEQ</t>
    <phoneticPr fontId="12"/>
  </si>
  <si>
    <t>【出荷指示】出荷指示№</t>
    <phoneticPr fontId="12"/>
  </si>
  <si>
    <t>【出荷指示】出荷指示№枝番</t>
    <phoneticPr fontId="12"/>
  </si>
  <si>
    <t>【生産計画】生産計画№</t>
    <phoneticPr fontId="12"/>
  </si>
  <si>
    <t>【生産計画】丁取№</t>
    <phoneticPr fontId="12"/>
  </si>
  <si>
    <t>【生産指示】原材料区分</t>
    <phoneticPr fontId="12"/>
  </si>
  <si>
    <t>【生産指示】生産計画№</t>
    <phoneticPr fontId="12"/>
  </si>
  <si>
    <t>【生産指示】明細SEQ</t>
    <phoneticPr fontId="12"/>
  </si>
  <si>
    <t>【発注】発注№</t>
    <phoneticPr fontId="12"/>
  </si>
  <si>
    <t>【発注】発注明細SEQ</t>
    <phoneticPr fontId="12"/>
  </si>
  <si>
    <t>【発注】分類コード</t>
    <phoneticPr fontId="12"/>
  </si>
  <si>
    <t>ジョイント回数</t>
    <phoneticPr fontId="12"/>
  </si>
  <si>
    <t>チェック完了年月日</t>
    <phoneticPr fontId="12"/>
  </si>
  <si>
    <t>文字</t>
    <phoneticPr fontId="12"/>
  </si>
  <si>
    <t>varchar</t>
    <phoneticPr fontId="12"/>
  </si>
  <si>
    <t>チェック状況コード</t>
    <phoneticPr fontId="12"/>
  </si>
  <si>
    <t>データ区分</t>
    <phoneticPr fontId="12"/>
  </si>
  <si>
    <t>データ区分</t>
    <phoneticPr fontId="9"/>
  </si>
  <si>
    <t>実績詳細区分</t>
    <phoneticPr fontId="12"/>
  </si>
  <si>
    <t>移動元保管場所コード</t>
    <phoneticPr fontId="12"/>
  </si>
  <si>
    <t>引取指示№</t>
    <phoneticPr fontId="9"/>
  </si>
  <si>
    <t>引取実績№</t>
    <phoneticPr fontId="9"/>
  </si>
  <si>
    <t>hikitori_jisseki_no</t>
  </si>
  <si>
    <t>加工依頼_生産計画№</t>
    <phoneticPr fontId="9"/>
  </si>
  <si>
    <t>加工実績_加工CM_生産計画№</t>
    <phoneticPr fontId="9"/>
  </si>
  <si>
    <t>加工実績_加工SC_生産計画№</t>
    <phoneticPr fontId="9"/>
  </si>
  <si>
    <t>加工実績_熱加工_生産計画№</t>
    <phoneticPr fontId="9"/>
  </si>
  <si>
    <t>金額</t>
    <phoneticPr fontId="12"/>
  </si>
  <si>
    <t>update_func_id</t>
    <phoneticPr fontId="12"/>
  </si>
  <si>
    <t>更新機能ID</t>
    <phoneticPr fontId="12"/>
  </si>
  <si>
    <t>更新者コード</t>
    <phoneticPr fontId="12"/>
  </si>
  <si>
    <t>update_user_cd</t>
    <phoneticPr fontId="12"/>
  </si>
  <si>
    <t>更新日</t>
    <phoneticPr fontId="12"/>
  </si>
  <si>
    <t>update_datetime</t>
    <phoneticPr fontId="12"/>
  </si>
  <si>
    <t>日付</t>
    <phoneticPr fontId="12"/>
  </si>
  <si>
    <t>datetime</t>
    <phoneticPr fontId="12"/>
  </si>
  <si>
    <t>今月使用済み数量</t>
    <phoneticPr fontId="12"/>
  </si>
  <si>
    <t>差異理由コード</t>
    <phoneticPr fontId="12"/>
  </si>
  <si>
    <t>在庫移動指示№</t>
    <phoneticPr fontId="9"/>
  </si>
  <si>
    <t>在庫移動実績№</t>
    <phoneticPr fontId="9"/>
  </si>
  <si>
    <t>在庫情報存在フラグ</t>
    <phoneticPr fontId="12"/>
  </si>
  <si>
    <t>在庫調整日</t>
    <phoneticPr fontId="12"/>
  </si>
  <si>
    <t>仕上実績_加工CM_生産計画№</t>
    <phoneticPr fontId="9"/>
  </si>
  <si>
    <t>仕上実績_抄紙_生産計画№</t>
    <phoneticPr fontId="9"/>
  </si>
  <si>
    <t>仕上実績_熱加工_生産計画№</t>
    <phoneticPr fontId="9"/>
  </si>
  <si>
    <t>使用済み数量</t>
    <phoneticPr fontId="12"/>
  </si>
  <si>
    <t>使用実績金額（払出）</t>
    <phoneticPr fontId="12"/>
  </si>
  <si>
    <t>使用実績単価（払出）</t>
    <phoneticPr fontId="12"/>
  </si>
  <si>
    <t>使用製品フルロット№</t>
    <phoneticPr fontId="9"/>
  </si>
  <si>
    <t>使用枠№</t>
    <phoneticPr fontId="9"/>
  </si>
  <si>
    <t>資材在庫実績№</t>
    <phoneticPr fontId="12"/>
  </si>
  <si>
    <t>資材在庫予定№</t>
    <phoneticPr fontId="16"/>
  </si>
  <si>
    <t>資材受入金額（受託品）</t>
    <phoneticPr fontId="12"/>
  </si>
  <si>
    <t>資材受入単価（購入品）</t>
    <phoneticPr fontId="12"/>
  </si>
  <si>
    <t>実績区分</t>
    <phoneticPr fontId="12"/>
  </si>
  <si>
    <t>実績日</t>
    <phoneticPr fontId="12"/>
  </si>
  <si>
    <t>受注№</t>
    <phoneticPr fontId="9"/>
  </si>
  <si>
    <t>受払年月</t>
    <phoneticPr fontId="12"/>
  </si>
  <si>
    <t>受払年月日</t>
    <phoneticPr fontId="12"/>
  </si>
  <si>
    <t>受払表使用フラグ</t>
    <phoneticPr fontId="12"/>
  </si>
  <si>
    <t>出荷指示№</t>
    <phoneticPr fontId="9"/>
  </si>
  <si>
    <t>出荷実績№</t>
    <phoneticPr fontId="9"/>
  </si>
  <si>
    <t>出荷実績金額（払出）</t>
    <phoneticPr fontId="12"/>
  </si>
  <si>
    <t>出荷実績単価（払出）</t>
    <phoneticPr fontId="12"/>
  </si>
  <si>
    <t>上位作業番号値</t>
    <phoneticPr fontId="9"/>
  </si>
  <si>
    <t>上位作業番号名</t>
    <phoneticPr fontId="9"/>
  </si>
  <si>
    <t>総量</t>
    <phoneticPr fontId="16"/>
  </si>
  <si>
    <t>数量単位</t>
    <phoneticPr fontId="16"/>
  </si>
  <si>
    <t>生産計画_WD工場_生産計画№</t>
    <phoneticPr fontId="9"/>
  </si>
  <si>
    <t>生産計画_加工CM_生産計画№</t>
    <phoneticPr fontId="9"/>
  </si>
  <si>
    <t>生産計画_加工SC_生産計画№</t>
    <phoneticPr fontId="9"/>
  </si>
  <si>
    <t>生産計画_外注加工_生産計画№</t>
    <phoneticPr fontId="9"/>
  </si>
  <si>
    <t>生産計画_抄紙_生産計画№</t>
    <phoneticPr fontId="9"/>
  </si>
  <si>
    <t>生産計画_熱加工_生産計画№</t>
    <phoneticPr fontId="9"/>
  </si>
  <si>
    <t>生産指示_原反_生産計画№</t>
    <phoneticPr fontId="9"/>
  </si>
  <si>
    <t>生産指示_調薬_生産計画№</t>
    <phoneticPr fontId="9"/>
  </si>
  <si>
    <t>生産実績金額（受入）</t>
    <phoneticPr fontId="12"/>
  </si>
  <si>
    <t>生産実績単価（受入）</t>
    <phoneticPr fontId="12"/>
  </si>
  <si>
    <t>製品フルロット№</t>
    <phoneticPr fontId="16"/>
  </si>
  <si>
    <t>製品フルロット№</t>
    <phoneticPr fontId="9"/>
  </si>
  <si>
    <t>製品在庫実績№</t>
    <phoneticPr fontId="16"/>
  </si>
  <si>
    <t>製品在庫予定№</t>
    <phoneticPr fontId="16"/>
  </si>
  <si>
    <t>製品番号</t>
    <phoneticPr fontId="16"/>
  </si>
  <si>
    <t>製品分類名</t>
    <phoneticPr fontId="0"/>
  </si>
  <si>
    <t>先月使用済み数量</t>
    <phoneticPr fontId="12"/>
  </si>
  <si>
    <t>前回保管場所コード</t>
    <phoneticPr fontId="12"/>
  </si>
  <si>
    <t>対象データ登録日時</t>
    <phoneticPr fontId="9"/>
  </si>
  <si>
    <t>対象年月</t>
    <phoneticPr fontId="16"/>
  </si>
  <si>
    <t>棚卸開始年月日</t>
    <phoneticPr fontId="12"/>
  </si>
  <si>
    <t>棚卸確認結果コード</t>
    <phoneticPr fontId="12"/>
  </si>
  <si>
    <t>棚卸作業状況コード</t>
    <phoneticPr fontId="12"/>
  </si>
  <si>
    <t>棚卸終了年月日</t>
    <phoneticPr fontId="12"/>
  </si>
  <si>
    <t>棚卸存在フラグ</t>
    <phoneticPr fontId="12"/>
  </si>
  <si>
    <t>単位重量　</t>
    <phoneticPr fontId="12"/>
  </si>
  <si>
    <t>単価</t>
    <phoneticPr fontId="12"/>
  </si>
  <si>
    <t>長さ</t>
    <phoneticPr fontId="16"/>
  </si>
  <si>
    <t>坪量</t>
    <phoneticPr fontId="16"/>
  </si>
  <si>
    <t>締日</t>
    <phoneticPr fontId="12"/>
  </si>
  <si>
    <t>insert_func_cd</t>
    <phoneticPr fontId="12"/>
  </si>
  <si>
    <t>登録機能ID</t>
    <phoneticPr fontId="12"/>
  </si>
  <si>
    <t>登録者コード</t>
    <phoneticPr fontId="12"/>
  </si>
  <si>
    <t>登録日</t>
    <phoneticPr fontId="12"/>
  </si>
  <si>
    <t>insert_datetime</t>
    <phoneticPr fontId="12"/>
  </si>
  <si>
    <t>登録方法コード</t>
    <phoneticPr fontId="12"/>
  </si>
  <si>
    <t>読取日時</t>
    <phoneticPr fontId="12"/>
  </si>
  <si>
    <t>入数</t>
    <phoneticPr fontId="12"/>
  </si>
  <si>
    <t>年月ロット№</t>
    <phoneticPr fontId="16"/>
  </si>
  <si>
    <t>発注№</t>
    <phoneticPr fontId="9"/>
  </si>
  <si>
    <t>番号</t>
    <phoneticPr fontId="9"/>
  </si>
  <si>
    <t>品質名</t>
    <phoneticPr fontId="12"/>
  </si>
  <si>
    <t>品種コード</t>
    <phoneticPr fontId="16"/>
  </si>
  <si>
    <t>品種大分類コード</t>
    <phoneticPr fontId="15"/>
  </si>
  <si>
    <t>品種大分類名</t>
    <phoneticPr fontId="15"/>
  </si>
  <si>
    <t>品種中分類コード</t>
    <phoneticPr fontId="15"/>
  </si>
  <si>
    <t>品種中分類名</t>
    <phoneticPr fontId="15"/>
  </si>
  <si>
    <t>品名</t>
    <phoneticPr fontId="16"/>
  </si>
  <si>
    <t>幅</t>
    <phoneticPr fontId="16"/>
  </si>
  <si>
    <t>保管場所コード</t>
    <phoneticPr fontId="12"/>
  </si>
  <si>
    <t>保管場所一致フラグ</t>
    <phoneticPr fontId="12"/>
  </si>
  <si>
    <t>本数</t>
    <phoneticPr fontId="12"/>
  </si>
  <si>
    <t>本数</t>
    <phoneticPr fontId="16"/>
  </si>
  <si>
    <t>予定区分</t>
    <phoneticPr fontId="12"/>
  </si>
  <si>
    <t>予定詳細区分</t>
    <phoneticPr fontId="12"/>
  </si>
  <si>
    <t>予定日</t>
    <phoneticPr fontId="12"/>
  </si>
  <si>
    <t>連量</t>
    <phoneticPr fontId="16"/>
  </si>
  <si>
    <t>枠№</t>
    <phoneticPr fontId="9"/>
  </si>
  <si>
    <t>読取りEPC</t>
    <rPh sb="0" eb="2">
      <t>ヨミト</t>
    </rPh>
    <phoneticPr fontId="12"/>
  </si>
  <si>
    <t>読取りEPC</t>
    <phoneticPr fontId="12"/>
  </si>
  <si>
    <r>
      <t>y</t>
    </r>
    <r>
      <rPr>
        <sz val="11"/>
        <color theme="1"/>
        <rFont val="游ゴシック"/>
        <family val="2"/>
        <charset val="128"/>
        <scheme val="minor"/>
      </rPr>
      <t>omitori_epc</t>
    </r>
    <phoneticPr fontId="12"/>
  </si>
  <si>
    <t>yomitori_epc</t>
    <phoneticPr fontId="12"/>
  </si>
  <si>
    <t>年月パレット№</t>
    <phoneticPr fontId="16"/>
  </si>
  <si>
    <t>nengetsu_pallet_no</t>
    <phoneticPr fontId="12"/>
  </si>
  <si>
    <t>年月パレットNo.</t>
    <rPh sb="0" eb="2">
      <t>ネンゲツ</t>
    </rPh>
    <phoneticPr fontId="12"/>
  </si>
  <si>
    <t>10/11 荒木 追加</t>
    <rPh sb="6" eb="8">
      <t>アラキ</t>
    </rPh>
    <rPh sb="9" eb="11">
      <t>ツイカ</t>
    </rPh>
    <phoneticPr fontId="12"/>
  </si>
  <si>
    <t xml:space="preserve">11:生産（抄紙）12:生産（その他） </t>
    <rPh sb="3" eb="5">
      <t>セイサン</t>
    </rPh>
    <rPh sb="6" eb="8">
      <t>ショウシ</t>
    </rPh>
    <rPh sb="12" eb="14">
      <t>セイサン</t>
    </rPh>
    <rPh sb="17" eb="18">
      <t>タ</t>
    </rPh>
    <phoneticPr fontId="12"/>
  </si>
  <si>
    <t>13:その他受入</t>
  </si>
  <si>
    <t>ukebarai_kbn</t>
    <phoneticPr fontId="12"/>
  </si>
  <si>
    <t>受払区分</t>
    <rPh sb="0" eb="2">
      <t>ウケバライ</t>
    </rPh>
    <phoneticPr fontId="12"/>
  </si>
  <si>
    <t>10/11 荒木　項目説明修正</t>
    <rPh sb="6" eb="8">
      <t>アラキ</t>
    </rPh>
    <rPh sb="9" eb="13">
      <t>コウモクセツメイ</t>
    </rPh>
    <rPh sb="13" eb="15">
      <t>シュウセイ</t>
    </rPh>
    <phoneticPr fontId="12"/>
  </si>
  <si>
    <t>生産(抄紙)数量</t>
    <rPh sb="0" eb="2">
      <t>セイサン</t>
    </rPh>
    <rPh sb="3" eb="5">
      <t>ショウシ</t>
    </rPh>
    <rPh sb="6" eb="8">
      <t>スウリョウ</t>
    </rPh>
    <phoneticPr fontId="12"/>
  </si>
  <si>
    <t>生産(その他)数量</t>
    <rPh sb="0" eb="2">
      <t>セイサン</t>
    </rPh>
    <rPh sb="5" eb="6">
      <t>タ</t>
    </rPh>
    <rPh sb="7" eb="9">
      <t>スウリョウ</t>
    </rPh>
    <phoneticPr fontId="12"/>
  </si>
  <si>
    <t>その他受入数量</t>
    <rPh sb="2" eb="5">
      <t>タウケイレ</t>
    </rPh>
    <rPh sb="5" eb="7">
      <t>スウリョウ</t>
    </rPh>
    <phoneticPr fontId="12"/>
  </si>
  <si>
    <t>出荷数量</t>
    <rPh sb="0" eb="4">
      <t>シュッカスウリョウ</t>
    </rPh>
    <phoneticPr fontId="12"/>
  </si>
  <si>
    <t>使用数量</t>
    <rPh sb="0" eb="2">
      <t>シヨウ</t>
    </rPh>
    <rPh sb="2" eb="4">
      <t>スウリョウ</t>
    </rPh>
    <phoneticPr fontId="12"/>
  </si>
  <si>
    <t>その他払出数量</t>
    <rPh sb="2" eb="5">
      <t>タハライダシ</t>
    </rPh>
    <rPh sb="5" eb="7">
      <t>スウリョウ</t>
    </rPh>
    <phoneticPr fontId="12"/>
  </si>
  <si>
    <t>詳細内訳</t>
    <rPh sb="0" eb="4">
      <t>ショウサイウチワケ</t>
    </rPh>
    <phoneticPr fontId="12"/>
  </si>
  <si>
    <t>seisan_shoshi_suryo</t>
    <phoneticPr fontId="12"/>
  </si>
  <si>
    <t>seisan_sonota_suryo</t>
    <phoneticPr fontId="12"/>
  </si>
  <si>
    <t>sonota_ukeire_suryo</t>
    <phoneticPr fontId="12"/>
  </si>
  <si>
    <t>shukka_suryo</t>
    <phoneticPr fontId="12"/>
  </si>
  <si>
    <t>shiyo_suryo</t>
    <phoneticPr fontId="12"/>
  </si>
  <si>
    <t>sonota_haraidashi_suryo</t>
    <phoneticPr fontId="12"/>
  </si>
  <si>
    <t>shosai_uchiwake</t>
    <phoneticPr fontId="12"/>
  </si>
  <si>
    <t>10/23　荒木　品種マスタから取得可能なため削除</t>
    <rPh sb="6" eb="8">
      <t>アラキ</t>
    </rPh>
    <rPh sb="9" eb="11">
      <t>ヒンシュ</t>
    </rPh>
    <rPh sb="16" eb="18">
      <t>シュトク</t>
    </rPh>
    <rPh sb="18" eb="20">
      <t>カノウ</t>
    </rPh>
    <phoneticPr fontId="12"/>
  </si>
  <si>
    <t>0:未使用 1:前回締で使用</t>
    <rPh sb="2" eb="5">
      <t>ミシヨウ</t>
    </rPh>
    <rPh sb="8" eb="10">
      <t>ゼンカイ</t>
    </rPh>
    <rPh sb="10" eb="11">
      <t>シメ</t>
    </rPh>
    <rPh sb="12" eb="14">
      <t>シヨウ</t>
    </rPh>
    <phoneticPr fontId="12"/>
  </si>
  <si>
    <t>2:前々回以前で使用済</t>
    <phoneticPr fontId="12"/>
  </si>
  <si>
    <t>前回締の使用数量</t>
    <rPh sb="0" eb="3">
      <t>ゼンカイシメ</t>
    </rPh>
    <rPh sb="4" eb="6">
      <t>シヨウ</t>
    </rPh>
    <rPh sb="6" eb="8">
      <t>スウリョウ</t>
    </rPh>
    <phoneticPr fontId="12"/>
  </si>
  <si>
    <t>前々回締めまでの使用数量</t>
    <rPh sb="0" eb="3">
      <t>ゼンゼンカイ</t>
    </rPh>
    <rPh sb="3" eb="4">
      <t>シ</t>
    </rPh>
    <rPh sb="8" eb="10">
      <t>シヨウ</t>
    </rPh>
    <rPh sb="10" eb="12">
      <t>スウリョウ</t>
    </rPh>
    <phoneticPr fontId="12"/>
  </si>
  <si>
    <t>単価</t>
    <rPh sb="0" eb="2">
      <t>タンカ</t>
    </rPh>
    <phoneticPr fontId="12"/>
  </si>
  <si>
    <t>unit_price</t>
    <phoneticPr fontId="12"/>
  </si>
  <si>
    <t>10/25 荒木 追加</t>
    <rPh sb="6" eb="8">
      <t>アラキ</t>
    </rPh>
    <rPh sb="9" eb="11">
      <t>ツイカ</t>
    </rPh>
    <phoneticPr fontId="12"/>
  </si>
  <si>
    <t>伝票区分</t>
    <rPh sb="0" eb="2">
      <t>デンピョウ</t>
    </rPh>
    <rPh sb="2" eb="4">
      <t>クブン</t>
    </rPh>
    <phoneticPr fontId="16"/>
  </si>
  <si>
    <t>赤・黒伝票</t>
    <rPh sb="0" eb="1">
      <t>アカ</t>
    </rPh>
    <rPh sb="2" eb="3">
      <t>クロ</t>
    </rPh>
    <rPh sb="3" eb="5">
      <t>デンピョウ</t>
    </rPh>
    <phoneticPr fontId="16"/>
  </si>
  <si>
    <t xml:space="preserve">通常:0 赤伝票:1  黒伝票:2 </t>
    <rPh sb="5" eb="6">
      <t>アカ</t>
    </rPh>
    <rPh sb="6" eb="8">
      <t>デンピョウ</t>
    </rPh>
    <rPh sb="12" eb="13">
      <t>クロ</t>
    </rPh>
    <rPh sb="13" eb="15">
      <t>デンピョウ</t>
    </rPh>
    <phoneticPr fontId="12"/>
  </si>
  <si>
    <t>調整REV</t>
    <rPh sb="0" eb="2">
      <t>チョウセイ</t>
    </rPh>
    <phoneticPr fontId="12"/>
  </si>
  <si>
    <t>調整REV</t>
    <phoneticPr fontId="12"/>
  </si>
  <si>
    <t>履歴管理用revision</t>
    <rPh sb="0" eb="2">
      <t>リレキ</t>
    </rPh>
    <rPh sb="2" eb="4">
      <t>カンリ</t>
    </rPh>
    <rPh sb="4" eb="5">
      <t>ヨウ</t>
    </rPh>
    <phoneticPr fontId="12"/>
  </si>
  <si>
    <t>調整元伝仕入№</t>
    <phoneticPr fontId="16"/>
  </si>
  <si>
    <t>調整元仕入明細Seq</t>
    <phoneticPr fontId="16"/>
  </si>
  <si>
    <t>denpyo_kbn</t>
  </si>
  <si>
    <t>chosei_rev</t>
  </si>
  <si>
    <t>chosei_moto_shiire_no</t>
  </si>
  <si>
    <t>chosei_moto_shiire_meisai_seq</t>
  </si>
  <si>
    <t>調整元仕入№</t>
    <phoneticPr fontId="16"/>
  </si>
  <si>
    <t>10/30　荒木 システム情報から取得できるため削除</t>
  </si>
  <si>
    <t>hikiate_seijo_flg</t>
    <phoneticPr fontId="12"/>
  </si>
  <si>
    <t>insert_user_cd</t>
    <phoneticPr fontId="12"/>
  </si>
  <si>
    <t>引当異常フラグ</t>
    <rPh sb="2" eb="4">
      <t>イジョウ</t>
    </rPh>
    <phoneticPr fontId="12"/>
  </si>
  <si>
    <t>引当異常フラグ</t>
    <rPh sb="0" eb="2">
      <t>ヒキアテ</t>
    </rPh>
    <rPh sb="2" eb="4">
      <t>イジョウ</t>
    </rPh>
    <phoneticPr fontId="12"/>
  </si>
  <si>
    <t>0:正常 1:異常</t>
    <rPh sb="2" eb="4">
      <t>セイジョウ</t>
    </rPh>
    <rPh sb="7" eb="9">
      <t>イジョウ</t>
    </rPh>
    <phoneticPr fontId="12"/>
  </si>
  <si>
    <t>10/30　荒木 追加</t>
    <rPh sb="9" eb="11">
      <t>ツイカ</t>
    </rPh>
    <phoneticPr fontId="12"/>
  </si>
  <si>
    <t>在庫区分</t>
    <rPh sb="0" eb="2">
      <t>ザイコ</t>
    </rPh>
    <phoneticPr fontId="12"/>
  </si>
  <si>
    <t>在庫区分により、</t>
    <rPh sb="0" eb="2">
      <t>ザイコ</t>
    </rPh>
    <rPh sb="2" eb="4">
      <t>クブン</t>
    </rPh>
    <phoneticPr fontId="12"/>
  </si>
  <si>
    <t>製品ロット№・パレット№・枠№を設定</t>
    <rPh sb="16" eb="18">
      <t>セッテイ</t>
    </rPh>
    <phoneticPr fontId="12"/>
  </si>
  <si>
    <t>製品ロット№・パレット№・枠№の年月ロットを設定</t>
    <rPh sb="16" eb="17">
      <t>ネン</t>
    </rPh>
    <rPh sb="17" eb="18">
      <t>ツキ</t>
    </rPh>
    <rPh sb="22" eb="24">
      <t>セッテイ</t>
    </rPh>
    <phoneticPr fontId="12"/>
  </si>
  <si>
    <t>注文書番号</t>
    <rPh sb="0" eb="5">
      <t>チュウモンショバンゴウ</t>
    </rPh>
    <phoneticPr fontId="16"/>
  </si>
  <si>
    <t>chumonsho_no</t>
  </si>
  <si>
    <t>EPC</t>
    <phoneticPr fontId="12"/>
  </si>
  <si>
    <t>epc</t>
    <phoneticPr fontId="12"/>
  </si>
  <si>
    <t>zaiko_kbn</t>
    <phoneticPr fontId="12"/>
  </si>
  <si>
    <t>製品区分</t>
    <rPh sb="0" eb="2">
      <t>セイヒン</t>
    </rPh>
    <rPh sb="2" eb="4">
      <t>クブン</t>
    </rPh>
    <phoneticPr fontId="12"/>
  </si>
  <si>
    <t>seihin_kbn</t>
    <phoneticPr fontId="12"/>
  </si>
  <si>
    <t>【区分】12.製品区分</t>
    <rPh sb="1" eb="3">
      <t>クブン</t>
    </rPh>
    <rPh sb="7" eb="9">
      <t>セイヒン</t>
    </rPh>
    <rPh sb="9" eb="11">
      <t>クブン</t>
    </rPh>
    <phoneticPr fontId="12"/>
  </si>
  <si>
    <t>仕上実績区分</t>
    <rPh sb="0" eb="2">
      <t>シアゲ</t>
    </rPh>
    <rPh sb="2" eb="4">
      <t>ジッセキ</t>
    </rPh>
    <rPh sb="4" eb="6">
      <t>クブン</t>
    </rPh>
    <phoneticPr fontId="16"/>
  </si>
  <si>
    <t>shiage_jisseki_kbn</t>
    <phoneticPr fontId="12"/>
  </si>
  <si>
    <t>0.未実績　1.仕上実績</t>
    <rPh sb="2" eb="3">
      <t>ミ</t>
    </rPh>
    <rPh sb="3" eb="5">
      <t>ジッセキ</t>
    </rPh>
    <rPh sb="8" eb="10">
      <t>シアゲ</t>
    </rPh>
    <rPh sb="10" eb="12">
      <t>ジッセキ</t>
    </rPh>
    <phoneticPr fontId="12"/>
  </si>
  <si>
    <t>生産計画№</t>
    <phoneticPr fontId="12"/>
  </si>
  <si>
    <t>１</t>
    <phoneticPr fontId="12"/>
  </si>
  <si>
    <t>設備</t>
    <phoneticPr fontId="12"/>
  </si>
  <si>
    <t>setsubi</t>
    <phoneticPr fontId="12"/>
  </si>
  <si>
    <t>年月</t>
    <phoneticPr fontId="16"/>
  </si>
  <si>
    <t>nengetsu</t>
  </si>
  <si>
    <t>YYYYMM形式</t>
    <rPh sb="6" eb="8">
      <t>ケイシキ</t>
    </rPh>
    <phoneticPr fontId="12"/>
  </si>
  <si>
    <t>平判は、端数等があり1とは限らない</t>
  </si>
  <si>
    <t>在庫区分＝製品ロット№の場合のみ</t>
    <rPh sb="5" eb="7">
      <t>セイヒン</t>
    </rPh>
    <rPh sb="12" eb="14">
      <t>バアイ</t>
    </rPh>
    <phoneticPr fontId="12"/>
  </si>
  <si>
    <t>製品ロット№を積込んでいるパレット№を指定</t>
    <rPh sb="0" eb="2">
      <t>セイヒン</t>
    </rPh>
    <rPh sb="7" eb="9">
      <t>ツミコ</t>
    </rPh>
    <rPh sb="19" eb="21">
      <t>シテイ</t>
    </rPh>
    <phoneticPr fontId="12"/>
  </si>
  <si>
    <t>３</t>
    <phoneticPr fontId="12"/>
  </si>
  <si>
    <t>ラベル発行日</t>
    <rPh sb="3" eb="5">
      <t>ハッコウ</t>
    </rPh>
    <rPh sb="5" eb="6">
      <t>ヒ</t>
    </rPh>
    <phoneticPr fontId="12"/>
  </si>
  <si>
    <t>lable_datetime</t>
    <phoneticPr fontId="12"/>
  </si>
  <si>
    <t>ジョイント区分</t>
    <rPh sb="5" eb="7">
      <t>クブン</t>
    </rPh>
    <phoneticPr fontId="12"/>
  </si>
  <si>
    <t>joint_kbn</t>
    <phoneticPr fontId="12"/>
  </si>
  <si>
    <t>【区分】127.ジョイント有無</t>
    <rPh sb="1" eb="3">
      <t>クブン</t>
    </rPh>
    <rPh sb="13" eb="15">
      <t>ウム</t>
    </rPh>
    <phoneticPr fontId="12"/>
  </si>
  <si>
    <t>seihin_no</t>
    <phoneticPr fontId="12"/>
  </si>
  <si>
    <t>ym_lot_no</t>
    <phoneticPr fontId="12"/>
  </si>
  <si>
    <t>積載数</t>
    <rPh sb="0" eb="3">
      <t>セキサイスウ</t>
    </rPh>
    <phoneticPr fontId="12"/>
  </si>
  <si>
    <t>sekisai_su</t>
    <phoneticPr fontId="12"/>
  </si>
  <si>
    <t>11/13追加</t>
    <rPh sb="5" eb="7">
      <t>ツイカ</t>
    </rPh>
    <phoneticPr fontId="12"/>
  </si>
  <si>
    <t>パレット№の場合、1固定</t>
    <rPh sb="6" eb="8">
      <t>バアイ</t>
    </rPh>
    <rPh sb="10" eb="12">
      <t>コテイ</t>
    </rPh>
    <phoneticPr fontId="12"/>
  </si>
  <si>
    <t>包装№</t>
    <phoneticPr fontId="29"/>
  </si>
  <si>
    <t>hoso_no</t>
    <phoneticPr fontId="12"/>
  </si>
  <si>
    <t>包装</t>
    <phoneticPr fontId="29"/>
  </si>
  <si>
    <t>単位＝包装以外：１設定</t>
    <rPh sb="0" eb="2">
      <t>タンイ</t>
    </rPh>
    <rPh sb="3" eb="5">
      <t>ホウソウ</t>
    </rPh>
    <rPh sb="5" eb="7">
      <t>イガイ</t>
    </rPh>
    <rPh sb="9" eb="11">
      <t>セッテイ</t>
    </rPh>
    <phoneticPr fontId="12"/>
  </si>
  <si>
    <t>１包装当たり</t>
    <phoneticPr fontId="12"/>
  </si>
  <si>
    <t>hoso_atari</t>
    <phoneticPr fontId="12"/>
  </si>
  <si>
    <t>１包装当りの本数　単位＝包装時</t>
    <rPh sb="1" eb="3">
      <t>ホウソウ</t>
    </rPh>
    <rPh sb="3" eb="4">
      <t>アタ</t>
    </rPh>
    <rPh sb="6" eb="8">
      <t>ホンスウ</t>
    </rPh>
    <rPh sb="9" eb="11">
      <t>タンイ</t>
    </rPh>
    <rPh sb="12" eb="14">
      <t>ホウソウ</t>
    </rPh>
    <rPh sb="14" eb="15">
      <t>ジ</t>
    </rPh>
    <phoneticPr fontId="12"/>
  </si>
  <si>
    <t>製品ロット№</t>
    <phoneticPr fontId="16"/>
  </si>
  <si>
    <t>seihin_lot_no</t>
  </si>
  <si>
    <t>seihin_lot_no</t>
    <phoneticPr fontId="12"/>
  </si>
  <si>
    <t>11/16削除</t>
    <rPh sb="5" eb="7">
      <t>サクジョ</t>
    </rPh>
    <phoneticPr fontId="12"/>
  </si>
  <si>
    <t>11/16追加</t>
    <rPh sb="5" eb="7">
      <t>ツイカ</t>
    </rPh>
    <phoneticPr fontId="12"/>
  </si>
  <si>
    <t>製品ロット№</t>
    <rPh sb="0" eb="2">
      <t>セイヒン</t>
    </rPh>
    <phoneticPr fontId="16"/>
  </si>
  <si>
    <t>11/16修正</t>
    <rPh sb="5" eb="7">
      <t>シュウセイ</t>
    </rPh>
    <phoneticPr fontId="12"/>
  </si>
  <si>
    <t>コード区分：143</t>
    <rPh sb="3" eb="5">
      <t>クブン</t>
    </rPh>
    <phoneticPr fontId="12"/>
  </si>
  <si>
    <t>*</t>
  </si>
  <si>
    <t>在庫区分＝パレットのみ設定</t>
    <rPh sb="0" eb="2">
      <t>ザイコ</t>
    </rPh>
    <rPh sb="2" eb="4">
      <t>クブン</t>
    </rPh>
    <rPh sb="11" eb="13">
      <t>セッテイ</t>
    </rPh>
    <phoneticPr fontId="12"/>
  </si>
  <si>
    <t>ケース数</t>
  </si>
  <si>
    <t>在庫区分＝パレット（CF）のみ設定</t>
    <rPh sb="0" eb="2">
      <t>ザイコ</t>
    </rPh>
    <rPh sb="2" eb="4">
      <t>クブン</t>
    </rPh>
    <rPh sb="15" eb="17">
      <t>セッテイ</t>
    </rPh>
    <phoneticPr fontId="12"/>
  </si>
  <si>
    <t>11/16 荒木 項目ID修正</t>
    <rPh sb="6" eb="8">
      <t>アラキ</t>
    </rPh>
    <phoneticPr fontId="12"/>
  </si>
  <si>
    <t>11/16 荒木削除</t>
    <rPh sb="6" eb="8">
      <t>アラキ</t>
    </rPh>
    <rPh sb="8" eb="10">
      <t>サクジョ</t>
    </rPh>
    <phoneticPr fontId="12"/>
  </si>
  <si>
    <t>11/16 荒木追加</t>
    <rPh sb="6" eb="8">
      <t>アラキ</t>
    </rPh>
    <rPh sb="8" eb="10">
      <t>ツイカ</t>
    </rPh>
    <phoneticPr fontId="12"/>
  </si>
  <si>
    <t>suryo</t>
    <phoneticPr fontId="12"/>
  </si>
  <si>
    <t>数量</t>
    <rPh sb="0" eb="2">
      <t>スウリョウ</t>
    </rPh>
    <phoneticPr fontId="16"/>
  </si>
  <si>
    <t>zan_m</t>
    <phoneticPr fontId="12"/>
  </si>
  <si>
    <t>case_su</t>
    <phoneticPr fontId="12"/>
  </si>
  <si>
    <t>残ケース数</t>
    <rPh sb="0" eb="1">
      <t>ザン</t>
    </rPh>
    <phoneticPr fontId="7"/>
  </si>
  <si>
    <t>zan_case_su</t>
  </si>
  <si>
    <t>11/17追加</t>
    <rPh sb="5" eb="7">
      <t>ツイカ</t>
    </rPh>
    <phoneticPr fontId="12"/>
  </si>
  <si>
    <t>受払表作成時にデータの登録を行う一時テーブル。</t>
    <rPh sb="0" eb="1">
      <t>ウ</t>
    </rPh>
    <rPh sb="1" eb="2">
      <t>ハラ</t>
    </rPh>
    <rPh sb="2" eb="3">
      <t>ヒョウ</t>
    </rPh>
    <rPh sb="3" eb="5">
      <t>サクセイ</t>
    </rPh>
    <rPh sb="5" eb="6">
      <t>ジ</t>
    </rPh>
    <rPh sb="11" eb="13">
      <t>トウロク</t>
    </rPh>
    <rPh sb="14" eb="15">
      <t>オコナ</t>
    </rPh>
    <rPh sb="16" eb="18">
      <t>イチジ</t>
    </rPh>
    <phoneticPr fontId="12"/>
  </si>
  <si>
    <t>受払表出力後、締め処理までの変更が無いか確認するために</t>
    <rPh sb="0" eb="1">
      <t>ウ</t>
    </rPh>
    <rPh sb="1" eb="2">
      <t>ハラ</t>
    </rPh>
    <rPh sb="2" eb="3">
      <t>ヒョウ</t>
    </rPh>
    <rPh sb="3" eb="5">
      <t>シュツリョク</t>
    </rPh>
    <rPh sb="5" eb="6">
      <t>アト</t>
    </rPh>
    <rPh sb="7" eb="8">
      <t>シ</t>
    </rPh>
    <rPh sb="9" eb="11">
      <t>ショリ</t>
    </rPh>
    <rPh sb="14" eb="16">
      <t>ヘンコウ</t>
    </rPh>
    <rPh sb="17" eb="18">
      <t>ナ</t>
    </rPh>
    <rPh sb="20" eb="22">
      <t>カクニン</t>
    </rPh>
    <phoneticPr fontId="12"/>
  </si>
  <si>
    <t>資材推移画面の前月情報表示で使用　集約した状態で登録する。</t>
    <rPh sb="0" eb="2">
      <t>シザイ</t>
    </rPh>
    <rPh sb="2" eb="4">
      <t>スイイ</t>
    </rPh>
    <rPh sb="4" eb="6">
      <t>ガメン</t>
    </rPh>
    <rPh sb="7" eb="9">
      <t>ゼンゲツ</t>
    </rPh>
    <rPh sb="9" eb="11">
      <t>ジョウホウ</t>
    </rPh>
    <rPh sb="11" eb="13">
      <t>ヒョウジ</t>
    </rPh>
    <rPh sb="14" eb="16">
      <t>シヨウ</t>
    </rPh>
    <rPh sb="17" eb="19">
      <t>シュウヤク</t>
    </rPh>
    <rPh sb="21" eb="23">
      <t>ジョウタイ</t>
    </rPh>
    <rPh sb="24" eb="26">
      <t>トウロク</t>
    </rPh>
    <phoneticPr fontId="12"/>
  </si>
  <si>
    <t>各年月末時点の資材在庫情報を保管するテーブル</t>
    <rPh sb="0" eb="1">
      <t>カク</t>
    </rPh>
    <rPh sb="1" eb="3">
      <t>ネンゲツ</t>
    </rPh>
    <rPh sb="3" eb="4">
      <t>マツ</t>
    </rPh>
    <rPh sb="4" eb="6">
      <t>ジテン</t>
    </rPh>
    <rPh sb="7" eb="9">
      <t>シザイ</t>
    </rPh>
    <rPh sb="9" eb="11">
      <t>ザイコ</t>
    </rPh>
    <rPh sb="11" eb="13">
      <t>ジョウホウ</t>
    </rPh>
    <rPh sb="14" eb="16">
      <t>ホカン</t>
    </rPh>
    <phoneticPr fontId="12"/>
  </si>
  <si>
    <t>11/17 製品在庫情報で管理</t>
    <rPh sb="6" eb="8">
      <t>セイヒン</t>
    </rPh>
    <rPh sb="8" eb="10">
      <t>ザイコ</t>
    </rPh>
    <rPh sb="10" eb="12">
      <t>ジョウホウ</t>
    </rPh>
    <rPh sb="13" eb="15">
      <t>カンリ</t>
    </rPh>
    <phoneticPr fontId="12"/>
  </si>
  <si>
    <t>11/17 削除</t>
    <rPh sb="6" eb="8">
      <t>サクジョ</t>
    </rPh>
    <phoneticPr fontId="12"/>
  </si>
  <si>
    <t>棚卸情報</t>
    <phoneticPr fontId="12"/>
  </si>
  <si>
    <t>対象年月</t>
    <phoneticPr fontId="12"/>
  </si>
  <si>
    <t>taisho_nengetsu</t>
    <phoneticPr fontId="12"/>
  </si>
  <si>
    <t>文字</t>
    <phoneticPr fontId="12"/>
  </si>
  <si>
    <t>varchar</t>
    <phoneticPr fontId="12"/>
  </si>
  <si>
    <t>保管場所コード</t>
    <phoneticPr fontId="12"/>
  </si>
  <si>
    <t>hokan_basho_cd</t>
    <phoneticPr fontId="12"/>
  </si>
  <si>
    <t>棚卸開始年月日</t>
    <phoneticPr fontId="12"/>
  </si>
  <si>
    <t>tana_start_date</t>
    <phoneticPr fontId="12"/>
  </si>
  <si>
    <t>棚卸終了年月日</t>
    <phoneticPr fontId="12"/>
  </si>
  <si>
    <t>tana_end_date</t>
    <phoneticPr fontId="12"/>
  </si>
  <si>
    <t>チェック完了年月日</t>
    <phoneticPr fontId="12"/>
  </si>
  <si>
    <t>check_end_date</t>
    <phoneticPr fontId="12"/>
  </si>
  <si>
    <t>棚卸作業状況コード</t>
    <phoneticPr fontId="12"/>
  </si>
  <si>
    <t>tana_status_cd</t>
    <phoneticPr fontId="12"/>
  </si>
  <si>
    <t>登録機能コード</t>
    <phoneticPr fontId="12"/>
  </si>
  <si>
    <t>insert_func_cd</t>
    <phoneticPr fontId="12"/>
  </si>
  <si>
    <t>登録機能ID</t>
    <phoneticPr fontId="12"/>
  </si>
  <si>
    <t>登録者コード</t>
    <phoneticPr fontId="12"/>
  </si>
  <si>
    <t>登録日</t>
    <phoneticPr fontId="12"/>
  </si>
  <si>
    <t>insert_datetime</t>
    <phoneticPr fontId="12"/>
  </si>
  <si>
    <t>日付</t>
    <phoneticPr fontId="12"/>
  </si>
  <si>
    <t>datetime</t>
    <phoneticPr fontId="12"/>
  </si>
  <si>
    <t>更新機能コード</t>
    <phoneticPr fontId="12"/>
  </si>
  <si>
    <t>update_func_id</t>
    <phoneticPr fontId="12"/>
  </si>
  <si>
    <t>更新機能ID</t>
    <phoneticPr fontId="12"/>
  </si>
  <si>
    <t>更新者コード</t>
    <phoneticPr fontId="12"/>
  </si>
  <si>
    <t>update_user_cd</t>
    <phoneticPr fontId="12"/>
  </si>
  <si>
    <t>更新日</t>
    <phoneticPr fontId="12"/>
  </si>
  <si>
    <t>update_datetime</t>
    <phoneticPr fontId="12"/>
  </si>
  <si>
    <t>棚卸中製品在庫情報</t>
    <phoneticPr fontId="12"/>
  </si>
  <si>
    <t>製品フルロット№</t>
    <phoneticPr fontId="12"/>
  </si>
  <si>
    <t>seihin_full_lot_no</t>
    <phoneticPr fontId="12"/>
  </si>
  <si>
    <t>品質区分</t>
    <phoneticPr fontId="12"/>
  </si>
  <si>
    <t>hinshitsu_kbn</t>
    <phoneticPr fontId="12"/>
  </si>
  <si>
    <t>品種コード</t>
    <phoneticPr fontId="12"/>
  </si>
  <si>
    <t>hinshu_cd</t>
    <phoneticPr fontId="12"/>
  </si>
  <si>
    <t>品名</t>
    <phoneticPr fontId="12"/>
  </si>
  <si>
    <t>hinmei</t>
    <phoneticPr fontId="12"/>
  </si>
  <si>
    <t>ジョイント回数</t>
    <phoneticPr fontId="12"/>
  </si>
  <si>
    <t>joint_kaisu</t>
    <phoneticPr fontId="12"/>
  </si>
  <si>
    <t>数値</t>
    <phoneticPr fontId="12"/>
  </si>
  <si>
    <t>numeric</t>
    <phoneticPr fontId="12"/>
  </si>
  <si>
    <t>坪量</t>
    <phoneticPr fontId="12"/>
  </si>
  <si>
    <t>paper_weight</t>
    <phoneticPr fontId="12"/>
  </si>
  <si>
    <t>幅</t>
    <phoneticPr fontId="12"/>
  </si>
  <si>
    <t>width</t>
    <phoneticPr fontId="12"/>
  </si>
  <si>
    <t>長さ</t>
    <phoneticPr fontId="12"/>
  </si>
  <si>
    <t>length</t>
    <phoneticPr fontId="12"/>
  </si>
  <si>
    <t>連量</t>
    <phoneticPr fontId="12"/>
  </si>
  <si>
    <t>renryo</t>
    <phoneticPr fontId="12"/>
  </si>
  <si>
    <t>残m</t>
    <phoneticPr fontId="12"/>
  </si>
  <si>
    <t>zan</t>
    <phoneticPr fontId="12"/>
  </si>
  <si>
    <t>残ｍ</t>
    <phoneticPr fontId="12"/>
  </si>
  <si>
    <t>単位コード</t>
    <phoneticPr fontId="12"/>
  </si>
  <si>
    <t>unit_cd</t>
    <phoneticPr fontId="12"/>
  </si>
  <si>
    <t>数量</t>
    <phoneticPr fontId="12"/>
  </si>
  <si>
    <t>suryo</t>
    <phoneticPr fontId="12"/>
  </si>
  <si>
    <t>重量</t>
    <phoneticPr fontId="12"/>
  </si>
  <si>
    <t>juryo</t>
    <phoneticPr fontId="12"/>
  </si>
  <si>
    <t>×</t>
    <phoneticPr fontId="12"/>
  </si>
  <si>
    <t>ロットEPC</t>
    <phoneticPr fontId="12"/>
  </si>
  <si>
    <t>lot_epc</t>
    <phoneticPr fontId="12"/>
  </si>
  <si>
    <t>パレット№</t>
    <phoneticPr fontId="12"/>
  </si>
  <si>
    <t>pallet_no</t>
    <phoneticPr fontId="12"/>
  </si>
  <si>
    <t>前回保管場所コード</t>
    <phoneticPr fontId="12"/>
  </si>
  <si>
    <t>before_hokanbasho_cd</t>
    <phoneticPr fontId="12"/>
  </si>
  <si>
    <t>棚卸確認結果コード</t>
    <phoneticPr fontId="12"/>
  </si>
  <si>
    <t>tana_kakunin _kekka_cd</t>
    <phoneticPr fontId="12"/>
  </si>
  <si>
    <t>チェック状況コード</t>
    <phoneticPr fontId="12"/>
  </si>
  <si>
    <t>check_status_cd</t>
    <phoneticPr fontId="12"/>
  </si>
  <si>
    <t>差異理由コード</t>
    <phoneticPr fontId="12"/>
  </si>
  <si>
    <t>sai_riyu_cd</t>
    <phoneticPr fontId="12"/>
  </si>
  <si>
    <t>update_func_cd</t>
    <phoneticPr fontId="12"/>
  </si>
  <si>
    <t>棚卸実績情報</t>
    <phoneticPr fontId="12"/>
  </si>
  <si>
    <t>製品番号</t>
    <phoneticPr fontId="12"/>
  </si>
  <si>
    <t>seihin_no</t>
    <phoneticPr fontId="12"/>
  </si>
  <si>
    <t>品種大分類コード</t>
    <phoneticPr fontId="12"/>
  </si>
  <si>
    <t>hinshu_daibunrui_cd</t>
    <phoneticPr fontId="12"/>
  </si>
  <si>
    <t>品種中分類コード</t>
    <phoneticPr fontId="12"/>
  </si>
  <si>
    <t>hinshu_chubunrui_cd</t>
    <phoneticPr fontId="12"/>
  </si>
  <si>
    <t>製品分類コード</t>
    <phoneticPr fontId="12"/>
  </si>
  <si>
    <t>seihin_bunrui_cd</t>
    <phoneticPr fontId="12"/>
  </si>
  <si>
    <t>パレットEPC</t>
    <phoneticPr fontId="12"/>
  </si>
  <si>
    <t>pallet_epc</t>
    <phoneticPr fontId="12"/>
  </si>
  <si>
    <t>在庫情報存在フラグ</t>
    <phoneticPr fontId="12"/>
  </si>
  <si>
    <t>zaiko_exist_flg</t>
    <phoneticPr fontId="12"/>
  </si>
  <si>
    <t>棚卸存在フラグ</t>
    <phoneticPr fontId="12"/>
  </si>
  <si>
    <t>tanaoroshi_exist_flg</t>
    <phoneticPr fontId="12"/>
  </si>
  <si>
    <t>保管場所一致フラグ</t>
    <phoneticPr fontId="12"/>
  </si>
  <si>
    <t>hokanbasho_match_flg</t>
    <phoneticPr fontId="12"/>
  </si>
  <si>
    <t>登録方法コード</t>
    <phoneticPr fontId="12"/>
  </si>
  <si>
    <t>touroku_hoho_cd</t>
    <phoneticPr fontId="12"/>
  </si>
  <si>
    <t>読取日時</t>
    <phoneticPr fontId="12"/>
  </si>
  <si>
    <t>yomitori_date</t>
    <phoneticPr fontId="12"/>
  </si>
  <si>
    <t>読取りEPC</t>
    <phoneticPr fontId="12"/>
  </si>
  <si>
    <t>yomitori_epc</t>
    <phoneticPr fontId="12"/>
  </si>
  <si>
    <t>削除フラグ</t>
    <phoneticPr fontId="12"/>
  </si>
  <si>
    <t>delete_flg</t>
    <phoneticPr fontId="12"/>
  </si>
  <si>
    <t>製品在庫情報</t>
    <phoneticPr fontId="12"/>
  </si>
  <si>
    <t>製品ロット№</t>
    <phoneticPr fontId="12"/>
  </si>
  <si>
    <t>seihin_lot_no</t>
    <phoneticPr fontId="12"/>
  </si>
  <si>
    <t>包装№</t>
    <phoneticPr fontId="12"/>
  </si>
  <si>
    <t>hoso_no</t>
    <phoneticPr fontId="12"/>
  </si>
  <si>
    <t>包装</t>
    <phoneticPr fontId="12"/>
  </si>
  <si>
    <t>年月ロット№</t>
    <phoneticPr fontId="12"/>
  </si>
  <si>
    <t>ym_lot_no</t>
    <phoneticPr fontId="12"/>
  </si>
  <si>
    <t>EPC</t>
    <phoneticPr fontId="12"/>
  </si>
  <si>
    <t>epc</t>
    <phoneticPr fontId="12"/>
  </si>
  <si>
    <t>在庫区分</t>
    <phoneticPr fontId="12"/>
  </si>
  <si>
    <t>zaiko_kbn</t>
    <phoneticPr fontId="12"/>
  </si>
  <si>
    <t>年月</t>
    <phoneticPr fontId="12"/>
  </si>
  <si>
    <t>nengetsu</t>
    <phoneticPr fontId="12"/>
  </si>
  <si>
    <t>工程コード</t>
    <phoneticPr fontId="12"/>
  </si>
  <si>
    <t>kotei_cd</t>
    <phoneticPr fontId="12"/>
  </si>
  <si>
    <t>設備</t>
    <phoneticPr fontId="12"/>
  </si>
  <si>
    <t>setsubi</t>
    <phoneticPr fontId="12"/>
  </si>
  <si>
    <t>製品区分</t>
    <phoneticPr fontId="12"/>
  </si>
  <si>
    <t>seihin_kbn</t>
    <phoneticPr fontId="12"/>
  </si>
  <si>
    <t>仕上実績区分</t>
    <phoneticPr fontId="12"/>
  </si>
  <si>
    <t>shiage_jisseki_kbn</t>
    <phoneticPr fontId="12"/>
  </si>
  <si>
    <t>zan_m</t>
    <phoneticPr fontId="12"/>
  </si>
  <si>
    <t>積載数</t>
    <phoneticPr fontId="12"/>
  </si>
  <si>
    <t>sekisai_su</t>
    <phoneticPr fontId="12"/>
  </si>
  <si>
    <t>状態</t>
    <phoneticPr fontId="12"/>
  </si>
  <si>
    <t>ケース数</t>
    <phoneticPr fontId="12"/>
  </si>
  <si>
    <t>残ケース数</t>
    <phoneticPr fontId="12"/>
  </si>
  <si>
    <t>zan_case_su</t>
    <phoneticPr fontId="12"/>
  </si>
  <si>
    <t>１包装当たり</t>
    <phoneticPr fontId="12"/>
  </si>
  <si>
    <t>hoso_atari</t>
    <phoneticPr fontId="12"/>
  </si>
  <si>
    <t>ジョイント区分</t>
    <phoneticPr fontId="12"/>
  </si>
  <si>
    <t>joint_kbn</t>
    <phoneticPr fontId="12"/>
  </si>
  <si>
    <t>注文書番号</t>
    <phoneticPr fontId="12"/>
  </si>
  <si>
    <t>chumonsho_no</t>
    <phoneticPr fontId="12"/>
  </si>
  <si>
    <t>生産計画№</t>
    <phoneticPr fontId="12"/>
  </si>
  <si>
    <t>seisan_keikaku_no</t>
    <phoneticPr fontId="12"/>
  </si>
  <si>
    <t>ラベル発行日</t>
    <phoneticPr fontId="12"/>
  </si>
  <si>
    <t>lable_datetime</t>
    <phoneticPr fontId="12"/>
  </si>
  <si>
    <t>受払区分</t>
    <phoneticPr fontId="12"/>
  </si>
  <si>
    <t>ukebarai_kbn</t>
    <phoneticPr fontId="12"/>
  </si>
  <si>
    <t>生産(抄紙)数量</t>
    <phoneticPr fontId="12"/>
  </si>
  <si>
    <t>seisan_shoshi_suryo</t>
  </si>
  <si>
    <t>生産(その他)数量</t>
    <phoneticPr fontId="12"/>
  </si>
  <si>
    <t>seisan_sonota_suryo</t>
    <phoneticPr fontId="12"/>
  </si>
  <si>
    <t>その他受入数量</t>
    <phoneticPr fontId="12"/>
  </si>
  <si>
    <t>sonota_ukeire_suryo</t>
    <phoneticPr fontId="12"/>
  </si>
  <si>
    <t>出荷数量</t>
    <phoneticPr fontId="12"/>
  </si>
  <si>
    <t>shukka_suryo</t>
    <phoneticPr fontId="12"/>
  </si>
  <si>
    <t>使用数量</t>
    <phoneticPr fontId="12"/>
  </si>
  <si>
    <t>shiyo_suryo</t>
    <phoneticPr fontId="12"/>
  </si>
  <si>
    <t>その他払出数量</t>
    <phoneticPr fontId="12"/>
  </si>
  <si>
    <t>sonota_haraidashi_suryo</t>
    <phoneticPr fontId="12"/>
  </si>
  <si>
    <t>詳細内訳</t>
    <phoneticPr fontId="12"/>
  </si>
  <si>
    <t>shosai_uchiwake</t>
    <phoneticPr fontId="12"/>
  </si>
  <si>
    <t>製品在庫予定情報</t>
    <phoneticPr fontId="12"/>
  </si>
  <si>
    <t>製品在庫予定№</t>
    <phoneticPr fontId="12"/>
  </si>
  <si>
    <t>【受注】受注№</t>
    <phoneticPr fontId="12"/>
  </si>
  <si>
    <t>juchu_no</t>
    <phoneticPr fontId="12"/>
  </si>
  <si>
    <t>【生産計画】生産計画№</t>
    <phoneticPr fontId="12"/>
  </si>
  <si>
    <t>【生産計画】丁取№</t>
    <phoneticPr fontId="12"/>
  </si>
  <si>
    <t>chodori_no</t>
    <phoneticPr fontId="12"/>
  </si>
  <si>
    <t>【移動指示】移動指示№</t>
    <phoneticPr fontId="12"/>
  </si>
  <si>
    <t>ido_shiji_no</t>
    <phoneticPr fontId="12"/>
  </si>
  <si>
    <t>【移動指示】移動指示明細№</t>
    <phoneticPr fontId="12"/>
  </si>
  <si>
    <t>ido_shiji_meisai_no</t>
    <phoneticPr fontId="12"/>
  </si>
  <si>
    <t>【出荷指示】出荷指示№</t>
    <phoneticPr fontId="12"/>
  </si>
  <si>
    <t>shukka_shiji_no</t>
    <phoneticPr fontId="12"/>
  </si>
  <si>
    <t>【出荷指示】出荷指示№枝番</t>
    <phoneticPr fontId="12"/>
  </si>
  <si>
    <t>shukka_shiji_edaban</t>
    <phoneticPr fontId="12"/>
  </si>
  <si>
    <t>【出荷指示】受注明細SEQ</t>
    <phoneticPr fontId="12"/>
  </si>
  <si>
    <t>juchu_meisai_seq</t>
    <phoneticPr fontId="12"/>
  </si>
  <si>
    <t>【出荷指示】在庫明細SEQ</t>
    <phoneticPr fontId="12"/>
  </si>
  <si>
    <t>zaiko_meisai_seq</t>
    <phoneticPr fontId="12"/>
  </si>
  <si>
    <t>【出荷指示】ロット明細SEQ</t>
    <phoneticPr fontId="12"/>
  </si>
  <si>
    <t>【引取指示】引取指示№</t>
    <phoneticPr fontId="12"/>
  </si>
  <si>
    <t>hikitori_shiji_no</t>
    <phoneticPr fontId="12"/>
  </si>
  <si>
    <t>【引取指示】引取指示明細№</t>
    <phoneticPr fontId="12"/>
  </si>
  <si>
    <t>hikitori_meisai_seq</t>
    <phoneticPr fontId="12"/>
  </si>
  <si>
    <t>【生産指示】明細SEQ</t>
    <phoneticPr fontId="12"/>
  </si>
  <si>
    <t>shiji_meisai_seq</t>
    <phoneticPr fontId="12"/>
  </si>
  <si>
    <t>nengetsu_lot_no</t>
    <phoneticPr fontId="12"/>
  </si>
  <si>
    <t>予定日</t>
    <phoneticPr fontId="12"/>
  </si>
  <si>
    <t>yotei_date</t>
    <phoneticPr fontId="12"/>
  </si>
  <si>
    <t>予定区分</t>
    <phoneticPr fontId="12"/>
  </si>
  <si>
    <t>yotei_kbn</t>
    <phoneticPr fontId="12"/>
  </si>
  <si>
    <t>予定詳細区分</t>
    <phoneticPr fontId="12"/>
  </si>
  <si>
    <t>yotei_syosai_kbn</t>
    <phoneticPr fontId="12"/>
  </si>
  <si>
    <t>データ区分</t>
    <phoneticPr fontId="12"/>
  </si>
  <si>
    <t>data_kbn</t>
    <phoneticPr fontId="12"/>
  </si>
  <si>
    <t>本数</t>
    <phoneticPr fontId="12"/>
  </si>
  <si>
    <t>honsu</t>
    <phoneticPr fontId="12"/>
  </si>
  <si>
    <t>年月パレット№</t>
    <phoneticPr fontId="12"/>
  </si>
  <si>
    <t>nengetsu_pallet_no</t>
    <phoneticPr fontId="12"/>
  </si>
  <si>
    <t>年月パレットNo.</t>
    <phoneticPr fontId="12"/>
  </si>
  <si>
    <t>フルパレット№</t>
    <phoneticPr fontId="12"/>
  </si>
  <si>
    <t>full_pallet_no</t>
    <phoneticPr fontId="12"/>
  </si>
  <si>
    <t>製品在庫実績情報</t>
    <phoneticPr fontId="12"/>
  </si>
  <si>
    <t>製品在庫実績№</t>
    <phoneticPr fontId="12"/>
  </si>
  <si>
    <t>実績日</t>
    <phoneticPr fontId="12"/>
  </si>
  <si>
    <t>jisseki_date</t>
    <phoneticPr fontId="12"/>
  </si>
  <si>
    <t>実績区分</t>
    <phoneticPr fontId="12"/>
  </si>
  <si>
    <t>jisseki_kbn</t>
    <phoneticPr fontId="12"/>
  </si>
  <si>
    <t>実績詳細区分</t>
    <phoneticPr fontId="12"/>
  </si>
  <si>
    <t>jisseki_syosai_kbn</t>
    <phoneticPr fontId="12"/>
  </si>
  <si>
    <t>数量単位</t>
    <phoneticPr fontId="12"/>
  </si>
  <si>
    <t>総量</t>
    <phoneticPr fontId="12"/>
  </si>
  <si>
    <t>移動元保管場所コード</t>
    <phoneticPr fontId="12"/>
  </si>
  <si>
    <t>idomoto_hokan_basho_cd</t>
    <phoneticPr fontId="12"/>
  </si>
  <si>
    <t>製品在庫月末情報</t>
    <phoneticPr fontId="12"/>
  </si>
  <si>
    <t>締月</t>
    <phoneticPr fontId="12"/>
  </si>
  <si>
    <t>closemonth</t>
    <phoneticPr fontId="12"/>
  </si>
  <si>
    <t>パレット在庫情報</t>
    <phoneticPr fontId="12"/>
  </si>
  <si>
    <t>完了日時</t>
    <phoneticPr fontId="12"/>
  </si>
  <si>
    <t>入数</t>
    <phoneticPr fontId="12"/>
  </si>
  <si>
    <t>生産ケース数</t>
    <phoneticPr fontId="12"/>
  </si>
  <si>
    <t>使用ケース数</t>
    <phoneticPr fontId="12"/>
  </si>
  <si>
    <t>主幹部署コード</t>
    <phoneticPr fontId="12"/>
  </si>
  <si>
    <t>主幹工程コード</t>
    <phoneticPr fontId="12"/>
  </si>
  <si>
    <t>ロットトレース情報</t>
    <phoneticPr fontId="12"/>
  </si>
  <si>
    <t>番号</t>
    <phoneticPr fontId="12"/>
  </si>
  <si>
    <t>上位作業番号名</t>
    <phoneticPr fontId="12"/>
  </si>
  <si>
    <t>上位作業番号値</t>
    <phoneticPr fontId="12"/>
  </si>
  <si>
    <t>使用枠№</t>
    <phoneticPr fontId="12"/>
  </si>
  <si>
    <t>使用製品フルロット№</t>
    <phoneticPr fontId="12"/>
  </si>
  <si>
    <t>枠№</t>
    <phoneticPr fontId="12"/>
  </si>
  <si>
    <t>対象データ登録日時</t>
    <phoneticPr fontId="12"/>
  </si>
  <si>
    <t>発注№</t>
    <phoneticPr fontId="12"/>
  </si>
  <si>
    <t>仕入№</t>
    <phoneticPr fontId="12"/>
  </si>
  <si>
    <t>受注№</t>
    <phoneticPr fontId="12"/>
  </si>
  <si>
    <t>在庫移動指示№</t>
    <phoneticPr fontId="12"/>
  </si>
  <si>
    <t>在庫移動実績№</t>
    <phoneticPr fontId="12"/>
  </si>
  <si>
    <t>引取指示№</t>
    <phoneticPr fontId="12"/>
  </si>
  <si>
    <t>引取実績№</t>
    <phoneticPr fontId="12"/>
  </si>
  <si>
    <t>生産指示_原反_生産計画№</t>
    <phoneticPr fontId="12"/>
  </si>
  <si>
    <t>生産指示_調薬_生産計画№</t>
    <phoneticPr fontId="12"/>
  </si>
  <si>
    <t>生産計画_抄紙_生産計画№</t>
    <phoneticPr fontId="12"/>
  </si>
  <si>
    <t>仕上実績_抄紙_生産計画№</t>
    <phoneticPr fontId="12"/>
  </si>
  <si>
    <t>生産計画_熱加工_生産計画№</t>
    <phoneticPr fontId="12"/>
  </si>
  <si>
    <t>加工実績_熱加工_生産計画№</t>
    <phoneticPr fontId="12"/>
  </si>
  <si>
    <t>仕上実績_熱加工_生産計画№</t>
    <phoneticPr fontId="12"/>
  </si>
  <si>
    <t>生産計画_加工CM_生産計画№</t>
    <phoneticPr fontId="12"/>
  </si>
  <si>
    <t>加工実績_加工CM_生産計画№</t>
    <phoneticPr fontId="12"/>
  </si>
  <si>
    <t>仕上実績_加工CM_生産計画№</t>
    <phoneticPr fontId="12"/>
  </si>
  <si>
    <t>生産計画_加工SC_生産計画№</t>
    <phoneticPr fontId="12"/>
  </si>
  <si>
    <t>加工実績_加工SC_生産計画№</t>
    <phoneticPr fontId="12"/>
  </si>
  <si>
    <t>仕上実績_加工SC_生産計画№</t>
    <phoneticPr fontId="12"/>
  </si>
  <si>
    <t>生産計画_WD工場_生産計画№</t>
    <phoneticPr fontId="12"/>
  </si>
  <si>
    <t>使用原反_WD工場_生産計画№</t>
    <phoneticPr fontId="12"/>
  </si>
  <si>
    <t>仕上実績_WD工場_生産計画№</t>
    <phoneticPr fontId="12"/>
  </si>
  <si>
    <t>生産計画_外注加工_生産計画№</t>
    <phoneticPr fontId="12"/>
  </si>
  <si>
    <t>加工依頼_生産計画№</t>
    <phoneticPr fontId="12"/>
  </si>
  <si>
    <t>使用原反_外注加工_生産計画№</t>
    <phoneticPr fontId="12"/>
  </si>
  <si>
    <t>仕上実績_外注加工_生産計画№</t>
    <phoneticPr fontId="12"/>
  </si>
  <si>
    <t>出荷指示№</t>
    <phoneticPr fontId="12"/>
  </si>
  <si>
    <t>出荷実績№</t>
    <phoneticPr fontId="12"/>
  </si>
  <si>
    <t>生産計画_コーヒーフィルタ_生産計画№</t>
    <phoneticPr fontId="12"/>
  </si>
  <si>
    <t>成型実績_生産計画№</t>
    <phoneticPr fontId="12"/>
  </si>
  <si>
    <t>包装実績_生産計画№</t>
    <phoneticPr fontId="12"/>
  </si>
  <si>
    <t>生産計画_パッケージ工場_生産計画№</t>
    <phoneticPr fontId="12"/>
  </si>
  <si>
    <t>パッケージ実績_生産計画№</t>
    <phoneticPr fontId="12"/>
  </si>
  <si>
    <t>資材在庫情報</t>
    <phoneticPr fontId="12"/>
  </si>
  <si>
    <t>在庫調整日</t>
    <phoneticPr fontId="12"/>
  </si>
  <si>
    <t>資材在庫月末情報</t>
    <phoneticPr fontId="12"/>
  </si>
  <si>
    <t>保管場所名</t>
    <phoneticPr fontId="12"/>
  </si>
  <si>
    <t>品質名</t>
    <phoneticPr fontId="12"/>
  </si>
  <si>
    <t>金額</t>
    <phoneticPr fontId="12"/>
  </si>
  <si>
    <t xml:space="preserve">資材在庫月別受払情報 </t>
    <phoneticPr fontId="12"/>
  </si>
  <si>
    <t>締日</t>
    <phoneticPr fontId="12"/>
  </si>
  <si>
    <t>品種大分類名</t>
    <phoneticPr fontId="12"/>
  </si>
  <si>
    <t>品種中分類名</t>
    <phoneticPr fontId="12"/>
  </si>
  <si>
    <t>前月末重量</t>
    <phoneticPr fontId="12"/>
  </si>
  <si>
    <t>前月末金額</t>
    <phoneticPr fontId="12"/>
  </si>
  <si>
    <t>当月受入重量</t>
    <phoneticPr fontId="12"/>
  </si>
  <si>
    <t>当月受入金額</t>
    <phoneticPr fontId="12"/>
  </si>
  <si>
    <t>当月使用重量</t>
    <phoneticPr fontId="12"/>
  </si>
  <si>
    <t>当月使用金額</t>
    <phoneticPr fontId="12"/>
  </si>
  <si>
    <t>当月末重量</t>
    <phoneticPr fontId="12"/>
  </si>
  <si>
    <t>当月末金額</t>
    <phoneticPr fontId="12"/>
  </si>
  <si>
    <t>引当異常フラグ</t>
    <phoneticPr fontId="12"/>
  </si>
  <si>
    <t>hikiate_seijo_flg</t>
    <phoneticPr fontId="12"/>
  </si>
  <si>
    <t>insert_user_cd</t>
    <phoneticPr fontId="12"/>
  </si>
  <si>
    <t>資材在庫予定情報</t>
    <phoneticPr fontId="12"/>
  </si>
  <si>
    <t>資材在庫予定№</t>
    <phoneticPr fontId="12"/>
  </si>
  <si>
    <t>shizai_zaiko_yotei_no</t>
    <phoneticPr fontId="12"/>
  </si>
  <si>
    <t>【発注】発注№</t>
    <phoneticPr fontId="12"/>
  </si>
  <si>
    <t>hatchu_no</t>
    <phoneticPr fontId="12"/>
  </si>
  <si>
    <t>【発注】分類コード</t>
    <phoneticPr fontId="12"/>
  </si>
  <si>
    <t>bunrui_cd</t>
    <phoneticPr fontId="12"/>
  </si>
  <si>
    <t>【発注】発注明細SEQ</t>
    <phoneticPr fontId="12"/>
  </si>
  <si>
    <t>hatchu_meisai_seq</t>
    <phoneticPr fontId="12"/>
  </si>
  <si>
    <t>【生産指示】生産計画№</t>
    <phoneticPr fontId="12"/>
  </si>
  <si>
    <t>【生産指示】原材料区分</t>
    <phoneticPr fontId="12"/>
  </si>
  <si>
    <t>genryo_kbn</t>
    <phoneticPr fontId="12"/>
  </si>
  <si>
    <t>数量単位コード</t>
    <phoneticPr fontId="12"/>
  </si>
  <si>
    <t>datetime2</t>
    <phoneticPr fontId="12"/>
  </si>
  <si>
    <t>資材在庫実績情報</t>
    <phoneticPr fontId="12"/>
  </si>
  <si>
    <t>資材在庫実績№</t>
    <phoneticPr fontId="12"/>
  </si>
  <si>
    <t>【仕入】仕入№</t>
    <phoneticPr fontId="12"/>
  </si>
  <si>
    <t>【仕入】分類</t>
    <phoneticPr fontId="12"/>
  </si>
  <si>
    <t>【仕入】明細SEQ</t>
    <phoneticPr fontId="12"/>
  </si>
  <si>
    <t>【使用実績】使用実績№</t>
    <phoneticPr fontId="12"/>
  </si>
  <si>
    <t>【使用実績】生産計画№</t>
    <phoneticPr fontId="12"/>
  </si>
  <si>
    <t>【使用実績】使用日</t>
    <phoneticPr fontId="12"/>
  </si>
  <si>
    <t>【使用実績】作業日</t>
    <phoneticPr fontId="12"/>
  </si>
  <si>
    <t>【使用実績】工程コード</t>
    <phoneticPr fontId="12"/>
  </si>
  <si>
    <t>【使用実績】設備</t>
    <phoneticPr fontId="12"/>
  </si>
  <si>
    <t>【使用実績】使用区分</t>
    <phoneticPr fontId="12"/>
  </si>
  <si>
    <t>shiyo_kbn</t>
    <phoneticPr fontId="12"/>
  </si>
  <si>
    <t>【使用実績】原材料区分</t>
    <phoneticPr fontId="12"/>
  </si>
  <si>
    <t>【使用実績】調薬区分</t>
    <phoneticPr fontId="12"/>
  </si>
  <si>
    <t>【使用実績】一覧SEQ</t>
    <phoneticPr fontId="12"/>
  </si>
  <si>
    <t>shiyo_ichiran_seq</t>
    <phoneticPr fontId="12"/>
  </si>
  <si>
    <t>【使用実績】明細SEQ</t>
    <phoneticPr fontId="12"/>
  </si>
  <si>
    <t>伝票区分</t>
    <phoneticPr fontId="12"/>
  </si>
  <si>
    <t>denpyo_kbn</t>
    <phoneticPr fontId="12"/>
  </si>
  <si>
    <t>赤・黒伝票</t>
    <phoneticPr fontId="12"/>
  </si>
  <si>
    <t>調整REV</t>
    <phoneticPr fontId="12"/>
  </si>
  <si>
    <t>chosei_rev</t>
    <phoneticPr fontId="12"/>
  </si>
  <si>
    <t>調整元仕入№</t>
    <phoneticPr fontId="12"/>
  </si>
  <si>
    <t>chosei_moto_shiire_no</t>
    <phoneticPr fontId="12"/>
  </si>
  <si>
    <t>調整元伝仕入№</t>
    <phoneticPr fontId="12"/>
  </si>
  <si>
    <t>調整元仕入明細Seq</t>
    <phoneticPr fontId="12"/>
  </si>
  <si>
    <t>chosei_moto_shiire_meisai_seq</t>
    <phoneticPr fontId="12"/>
  </si>
  <si>
    <t>保管場所</t>
    <phoneticPr fontId="12"/>
  </si>
  <si>
    <t>製品分類名</t>
    <phoneticPr fontId="12"/>
  </si>
  <si>
    <t>単位重量　</t>
    <phoneticPr fontId="12"/>
  </si>
  <si>
    <t>単位重量</t>
    <phoneticPr fontId="12"/>
  </si>
  <si>
    <t>単価</t>
    <phoneticPr fontId="12"/>
  </si>
  <si>
    <t>unit_price</t>
  </si>
  <si>
    <t>先月使用済み数量</t>
    <phoneticPr fontId="12"/>
  </si>
  <si>
    <t>今月使用済み数量</t>
    <phoneticPr fontId="12"/>
  </si>
  <si>
    <t>受払表使用フラグ</t>
    <phoneticPr fontId="12"/>
  </si>
  <si>
    <t>資材在庫実績情報_一時退避</t>
    <phoneticPr fontId="12"/>
  </si>
  <si>
    <t>【発注】分類</t>
    <phoneticPr fontId="12"/>
  </si>
  <si>
    <t>使用済み数量</t>
    <phoneticPr fontId="12"/>
  </si>
  <si>
    <t>資材在庫受払情報</t>
    <phoneticPr fontId="12"/>
  </si>
  <si>
    <t>受払年月</t>
    <phoneticPr fontId="12"/>
  </si>
  <si>
    <t>受払年月日</t>
    <phoneticPr fontId="12"/>
  </si>
  <si>
    <t>資材在庫受払伝票情報</t>
    <phoneticPr fontId="12"/>
  </si>
  <si>
    <t>シーケンス</t>
    <phoneticPr fontId="12"/>
  </si>
  <si>
    <t>受払日付</t>
    <phoneticPr fontId="12"/>
  </si>
  <si>
    <t>設備コード</t>
    <phoneticPr fontId="12"/>
  </si>
  <si>
    <t>製造先コード</t>
    <phoneticPr fontId="12"/>
  </si>
  <si>
    <t>製造先名</t>
    <phoneticPr fontId="12"/>
  </si>
  <si>
    <t>得意先コード</t>
    <phoneticPr fontId="12"/>
  </si>
  <si>
    <t>得意先名</t>
    <phoneticPr fontId="1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</si>
</sst>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8">
    <font>
      <sz val="10"/>
      <color theme="1"/>
      <name val="Meiryo UI"/>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name val="ＭＳ Ｐゴシック"/>
      <family val="3"/>
      <charset val="128"/>
    </font>
    <font>
      <sz val="6"/>
      <name val="Meiryo UI"/>
      <family val="2"/>
      <charset val="128"/>
    </font>
    <font>
      <sz val="6"/>
      <name val="ＭＳ Ｐゴシック"/>
      <family val="3"/>
      <charset val="128"/>
    </font>
    <font>
      <sz val="10"/>
      <name val="Meiryo UI"/>
      <family val="3"/>
      <charset val="128"/>
    </font>
    <font>
      <sz val="6"/>
      <name val="MS UI Gothic"/>
      <family val="3"/>
      <charset val="128"/>
    </font>
    <font>
      <sz val="10"/>
      <name val="MS UI Gothic"/>
      <family val="3"/>
      <charset val="128"/>
    </font>
    <font>
      <sz val="11"/>
      <color theme="1"/>
      <name val="游ゴシック"/>
      <family val="3"/>
      <charset val="128"/>
      <scheme val="minor"/>
    </font>
    <font>
      <sz val="9"/>
      <color indexed="81"/>
      <name val="ＭＳ Ｐゴシック"/>
      <family val="3"/>
      <charset val="128"/>
    </font>
    <font>
      <sz val="14"/>
      <color theme="1"/>
      <name val="Meiryo UI"/>
      <family val="2"/>
      <charset val="128"/>
    </font>
    <font>
      <sz val="10"/>
      <color theme="1"/>
      <name val="Meiryo UI"/>
      <family val="3"/>
      <charset val="128"/>
    </font>
    <font>
      <sz val="12"/>
      <color theme="1"/>
      <name val="Meiryo UI"/>
      <family val="3"/>
      <charset val="128"/>
    </font>
    <font>
      <sz val="10"/>
      <color theme="0"/>
      <name val="Meiryo UI"/>
      <family val="3"/>
      <charset val="128"/>
    </font>
    <font>
      <b/>
      <sz val="18"/>
      <color theme="0"/>
      <name val="Meiryo UI"/>
      <family val="3"/>
      <charset val="128"/>
    </font>
    <font>
      <b/>
      <sz val="16"/>
      <color theme="0"/>
      <name val="Meiryo UI"/>
      <family val="3"/>
      <charset val="128"/>
    </font>
    <font>
      <sz val="22"/>
      <color theme="1"/>
      <name val="Meiryo UI"/>
      <family val="2"/>
      <charset val="128"/>
    </font>
    <font>
      <sz val="10"/>
      <color rgb="FFFF0000"/>
      <name val="Meiryo UI"/>
      <family val="2"/>
      <charset val="128"/>
    </font>
    <font>
      <sz val="10"/>
      <color rgb="FFFF0000"/>
      <name val="Meiryo UI"/>
      <family val="3"/>
      <charset val="128"/>
    </font>
    <font>
      <sz val="10"/>
      <color theme="1"/>
      <name val="Meiryo UI"/>
      <family val="2"/>
      <charset val="128"/>
    </font>
    <font>
      <sz val="18"/>
      <color theme="3"/>
      <name val="游ゴシック Light"/>
      <family val="2"/>
      <charset val="128"/>
      <scheme val="major"/>
    </font>
    <font>
      <b/>
      <sz val="13"/>
      <color theme="3"/>
      <name val="游ゴシック"/>
      <family val="2"/>
      <charset val="128"/>
      <scheme val="minor"/>
    </font>
    <font>
      <sz val="11"/>
      <color rgb="FF006100"/>
      <name val="游ゴシック"/>
      <family val="2"/>
      <charset val="128"/>
      <scheme val="minor"/>
    </font>
    <font>
      <sz val="11"/>
      <color rgb="FF3F3F76"/>
      <name val="游ゴシック"/>
      <family val="2"/>
      <charset val="128"/>
      <scheme val="minor"/>
    </font>
    <font>
      <b/>
      <sz val="11"/>
      <color rgb="FFFA7D00"/>
      <name val="游ゴシック"/>
      <family val="2"/>
      <charset val="128"/>
      <scheme val="minor"/>
    </font>
    <font>
      <u/>
      <sz val="11"/>
      <color theme="10"/>
      <name val="游ゴシック"/>
      <family val="2"/>
      <charset val="128"/>
      <scheme val="minor"/>
    </font>
    <font>
      <sz val="6"/>
      <name val="游ゴシック"/>
      <family val="2"/>
      <charset val="128"/>
      <scheme val="minor"/>
    </font>
    <font>
      <sz val="11"/>
      <name val="游ゴシック"/>
      <family val="3"/>
      <charset val="128"/>
      <scheme val="minor"/>
    </font>
    <font>
      <sz val="11"/>
      <color theme="1"/>
      <name val="游ゴシック"/>
      <family val="2"/>
      <charset val="128"/>
    </font>
    <font>
      <b/>
      <sz val="11"/>
      <color theme="1"/>
      <name val="Meiryo UI"/>
      <family val="2"/>
      <charset val="128"/>
    </font>
    <font>
      <sz val="11"/>
      <color rgb="FF006100"/>
      <name val="Meiryo UI"/>
      <family val="2"/>
      <charset val="128"/>
    </font>
    <font>
      <sz val="11"/>
      <color theme="0"/>
      <name val="Meiryo UI"/>
      <family val="2"/>
      <charset val="128"/>
    </font>
    <font>
      <sz val="8"/>
      <color theme="1"/>
      <name val="Meiryo UI"/>
      <family val="3"/>
      <charset val="128"/>
    </font>
    <font>
      <sz val="9"/>
      <color theme="1"/>
      <name val="Meiryo UI"/>
      <family val="3"/>
      <charset val="128"/>
    </font>
    <font>
      <sz val="10"/>
      <name val="Meiryo UI"/>
      <family val="2"/>
      <charset val="128"/>
    </font>
    <font>
      <sz val="7"/>
      <color theme="1"/>
      <name val="Meiryo UI"/>
      <family val="3"/>
      <charset val="128"/>
    </font>
    <font>
      <strike/>
      <sz val="10"/>
      <color rgb="FFFF0000"/>
      <name val="Meiryo UI"/>
      <family val="3"/>
      <charset val="128"/>
    </font>
    <font>
      <sz val="14"/>
      <color rgb="FFFF0000"/>
      <name val="Meiryo UI"/>
      <family val="2"/>
      <charset val="128"/>
    </font>
    <font>
      <sz val="14"/>
      <color rgb="FFFF0000"/>
      <name val="Meiryo UI"/>
      <family val="3"/>
      <charset val="128"/>
    </font>
  </fonts>
  <fills count="17">
    <fill>
      <patternFill patternType="none"/>
    </fill>
    <fill>
      <patternFill patternType="gray125"/>
    </fill>
    <fill>
      <patternFill patternType="solid">
        <fgColor rgb="FFCCFFCC"/>
        <bgColor indexed="64"/>
      </patternFill>
    </fill>
    <fill>
      <patternFill patternType="solid">
        <fgColor rgb="FF0066FF"/>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FFCC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34998626667073579"/>
        <bgColor indexed="64"/>
      </patternFill>
    </fill>
  </fills>
  <borders count="67">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top/>
      <bottom style="double">
        <color indexed="64"/>
      </bottom>
      <diagonal/>
    </border>
    <border>
      <left/>
      <right/>
      <top style="double">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64"/>
      </bottom>
      <diagonal/>
    </border>
    <border>
      <left style="medium">
        <color indexed="64"/>
      </left>
      <right/>
      <top/>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medium">
        <color indexed="64"/>
      </right>
      <top style="thin">
        <color indexed="64"/>
      </top>
      <bottom/>
      <diagonal/>
    </border>
  </borders>
  <cellStyleXfs count="9">
    <xf numFmtId="0" fontId="0" fillId="0" borderId="0">
      <alignment vertical="center"/>
    </xf>
    <xf numFmtId="0" fontId="11" fillId="0" borderId="0"/>
    <xf numFmtId="0" fontId="11" fillId="0" borderId="0"/>
    <xf numFmtId="0" fontId="16" fillId="0" borderId="0">
      <alignment vertical="center"/>
    </xf>
    <xf numFmtId="0" fontId="11" fillId="0" borderId="0"/>
    <xf numFmtId="0" fontId="11" fillId="0" borderId="0"/>
    <xf numFmtId="0" fontId="17" fillId="0" borderId="0">
      <alignment vertical="center"/>
    </xf>
    <xf numFmtId="0" fontId="10" fillId="0" borderId="0">
      <alignment vertical="center"/>
    </xf>
    <xf numFmtId="0" fontId="34" fillId="0" borderId="0" applyNumberFormat="0" applyFill="0" applyBorder="0" applyAlignment="0" applyProtection="0">
      <alignment vertical="center"/>
    </xf>
  </cellStyleXfs>
  <cellXfs count="699">
    <xf numFmtId="0" fontId="0" fillId="0" borderId="0" xfId="0">
      <alignment vertical="center"/>
    </xf>
    <xf numFmtId="0" fontId="14" fillId="0" borderId="0" xfId="1" applyFont="1" applyAlignment="1">
      <alignment vertical="center"/>
    </xf>
    <xf numFmtId="0" fontId="14" fillId="0" borderId="3" xfId="1" applyFont="1" applyBorder="1" applyAlignment="1">
      <alignment vertical="center"/>
    </xf>
    <xf numFmtId="0" fontId="14" fillId="0" borderId="4" xfId="1" applyFont="1" applyBorder="1" applyAlignment="1">
      <alignment vertical="center"/>
    </xf>
    <xf numFmtId="0" fontId="14" fillId="0" borderId="1" xfId="1" applyFont="1" applyBorder="1" applyAlignment="1">
      <alignment vertical="center"/>
    </xf>
    <xf numFmtId="0" fontId="14" fillId="0" borderId="0" xfId="1" quotePrefix="1" applyFont="1" applyAlignment="1">
      <alignment vertical="center"/>
    </xf>
    <xf numFmtId="49" fontId="14" fillId="0" borderId="3" xfId="3" applyNumberFormat="1" applyFont="1" applyBorder="1" applyAlignment="1">
      <alignment vertical="top"/>
    </xf>
    <xf numFmtId="0" fontId="19" fillId="0" borderId="10" xfId="0" applyFont="1" applyBorder="1">
      <alignment vertical="center"/>
    </xf>
    <xf numFmtId="0" fontId="0" fillId="0" borderId="10" xfId="0" applyBorder="1">
      <alignment vertical="center"/>
    </xf>
    <xf numFmtId="0" fontId="0" fillId="0" borderId="10" xfId="0" applyBorder="1" applyAlignment="1">
      <alignment horizontal="center" vertical="center"/>
    </xf>
    <xf numFmtId="0" fontId="0" fillId="2" borderId="2" xfId="0" applyFill="1" applyBorder="1">
      <alignment vertical="center"/>
    </xf>
    <xf numFmtId="0" fontId="0" fillId="2" borderId="2" xfId="0" applyFill="1" applyBorder="1" applyAlignment="1">
      <alignment horizontal="center" vertical="center"/>
    </xf>
    <xf numFmtId="0" fontId="0" fillId="0" borderId="2" xfId="0" applyBorder="1">
      <alignment vertical="center"/>
    </xf>
    <xf numFmtId="0" fontId="0" fillId="0" borderId="2" xfId="0" applyBorder="1" applyAlignment="1">
      <alignment horizontal="center" vertical="center"/>
    </xf>
    <xf numFmtId="0" fontId="0" fillId="0" borderId="0" xfId="0" applyAlignment="1">
      <alignment horizontal="center" vertical="center"/>
    </xf>
    <xf numFmtId="0" fontId="20" fillId="0" borderId="0" xfId="1" applyFont="1" applyAlignment="1">
      <alignment horizontal="center" vertical="center"/>
    </xf>
    <xf numFmtId="0" fontId="20" fillId="0" borderId="0" xfId="1" applyFont="1" applyAlignment="1">
      <alignment vertical="center"/>
    </xf>
    <xf numFmtId="49" fontId="20" fillId="0" borderId="3" xfId="3" applyNumberFormat="1" applyFont="1" applyBorder="1" applyAlignment="1">
      <alignment vertical="top"/>
    </xf>
    <xf numFmtId="49" fontId="20" fillId="0" borderId="4" xfId="2" applyNumberFormat="1" applyFont="1" applyBorder="1" applyAlignment="1">
      <alignment vertical="top"/>
    </xf>
    <xf numFmtId="49" fontId="20" fillId="0" borderId="3" xfId="4" applyNumberFormat="1" applyFont="1" applyBorder="1" applyAlignment="1">
      <alignment vertical="top"/>
    </xf>
    <xf numFmtId="49" fontId="20" fillId="0" borderId="4" xfId="4" applyNumberFormat="1" applyFont="1" applyBorder="1" applyAlignment="1">
      <alignment vertical="top"/>
    </xf>
    <xf numFmtId="49" fontId="20" fillId="0" borderId="3" xfId="5" applyNumberFormat="1" applyFont="1" applyBorder="1" applyAlignment="1">
      <alignment vertical="top"/>
    </xf>
    <xf numFmtId="49" fontId="20" fillId="0" borderId="4" xfId="5" applyNumberFormat="1" applyFont="1" applyBorder="1" applyAlignment="1">
      <alignment vertical="top"/>
    </xf>
    <xf numFmtId="0" fontId="20" fillId="0" borderId="1" xfId="2" applyFont="1" applyBorder="1" applyAlignment="1">
      <alignment horizontal="right" vertical="top" shrinkToFit="1"/>
    </xf>
    <xf numFmtId="49" fontId="20" fillId="0" borderId="2" xfId="2" applyNumberFormat="1" applyFont="1" applyBorder="1" applyAlignment="1">
      <alignment horizontal="center" vertical="top" shrinkToFit="1"/>
    </xf>
    <xf numFmtId="0" fontId="20" fillId="0" borderId="2" xfId="2" applyFont="1" applyBorder="1" applyAlignment="1">
      <alignment horizontal="center" vertical="top" shrinkToFit="1"/>
    </xf>
    <xf numFmtId="0" fontId="20" fillId="0" borderId="3" xfId="3" applyFont="1" applyBorder="1" applyAlignment="1">
      <alignment vertical="top"/>
    </xf>
    <xf numFmtId="0" fontId="20" fillId="0" borderId="4" xfId="4" applyFont="1" applyBorder="1" applyAlignment="1">
      <alignment vertical="top"/>
    </xf>
    <xf numFmtId="49" fontId="20" fillId="0" borderId="4" xfId="3" applyNumberFormat="1" applyFont="1" applyBorder="1" applyAlignment="1">
      <alignment vertical="top"/>
    </xf>
    <xf numFmtId="49" fontId="20" fillId="0" borderId="1" xfId="5" applyNumberFormat="1" applyFont="1" applyBorder="1" applyAlignment="1">
      <alignment vertical="top"/>
    </xf>
    <xf numFmtId="49" fontId="20" fillId="0" borderId="2" xfId="2" applyNumberFormat="1" applyFont="1" applyBorder="1" applyAlignment="1">
      <alignment horizontal="center" vertical="top"/>
    </xf>
    <xf numFmtId="0" fontId="20" fillId="0" borderId="2" xfId="2" applyFont="1" applyBorder="1" applyAlignment="1">
      <alignment horizontal="center" vertical="top"/>
    </xf>
    <xf numFmtId="0" fontId="20" fillId="0" borderId="3" xfId="3" applyFont="1" applyBorder="1" applyAlignment="1">
      <alignment horizontal="left" vertical="center"/>
    </xf>
    <xf numFmtId="0" fontId="20" fillId="0" borderId="4" xfId="1" applyFont="1" applyBorder="1" applyAlignment="1">
      <alignment horizontal="left" vertical="center"/>
    </xf>
    <xf numFmtId="0" fontId="20" fillId="0" borderId="4" xfId="2" applyFont="1" applyBorder="1" applyAlignment="1">
      <alignment vertical="top"/>
    </xf>
    <xf numFmtId="0" fontId="20" fillId="0" borderId="3" xfId="6" applyFont="1" applyBorder="1" applyAlignment="1">
      <alignment vertical="top"/>
    </xf>
    <xf numFmtId="0" fontId="20" fillId="0" borderId="4" xfId="6" applyFont="1" applyBorder="1" applyAlignment="1">
      <alignment vertical="top"/>
    </xf>
    <xf numFmtId="0" fontId="20" fillId="0" borderId="3" xfId="2" quotePrefix="1" applyFont="1" applyBorder="1" applyAlignment="1">
      <alignment horizontal="center" vertical="top"/>
    </xf>
    <xf numFmtId="0" fontId="20" fillId="0" borderId="4" xfId="2" applyFont="1" applyBorder="1" applyAlignment="1">
      <alignment vertical="top" shrinkToFit="1"/>
    </xf>
    <xf numFmtId="0" fontId="22" fillId="3" borderId="2" xfId="2" applyFont="1" applyFill="1" applyBorder="1" applyAlignment="1">
      <alignment horizontal="center" vertical="center" shrinkToFit="1"/>
    </xf>
    <xf numFmtId="0" fontId="22" fillId="3" borderId="1" xfId="1" applyFont="1" applyFill="1" applyBorder="1" applyAlignment="1">
      <alignment vertical="center"/>
    </xf>
    <xf numFmtId="0" fontId="22" fillId="3" borderId="3" xfId="1" applyFont="1" applyFill="1" applyBorder="1" applyAlignment="1">
      <alignment vertical="center"/>
    </xf>
    <xf numFmtId="0" fontId="22" fillId="3" borderId="4" xfId="1" applyFont="1" applyFill="1" applyBorder="1" applyAlignment="1">
      <alignment vertical="center"/>
    </xf>
    <xf numFmtId="0" fontId="22" fillId="3" borderId="3" xfId="1" applyFont="1" applyFill="1" applyBorder="1" applyAlignment="1">
      <alignment vertical="top"/>
    </xf>
    <xf numFmtId="0" fontId="22" fillId="3" borderId="4" xfId="1" applyFont="1" applyFill="1" applyBorder="1" applyAlignment="1">
      <alignment vertical="top"/>
    </xf>
    <xf numFmtId="0" fontId="22" fillId="3" borderId="1" xfId="1" applyFont="1" applyFill="1" applyBorder="1" applyAlignment="1">
      <alignment vertical="top"/>
    </xf>
    <xf numFmtId="14" fontId="20" fillId="0" borderId="3" xfId="1" applyNumberFormat="1" applyFont="1" applyBorder="1" applyAlignment="1">
      <alignment vertical="top"/>
    </xf>
    <xf numFmtId="14" fontId="20" fillId="0" borderId="4" xfId="1" applyNumberFormat="1" applyFont="1" applyBorder="1" applyAlignment="1">
      <alignment vertical="top"/>
    </xf>
    <xf numFmtId="14" fontId="20" fillId="0" borderId="1" xfId="1" applyNumberFormat="1" applyFont="1" applyBorder="1" applyAlignment="1">
      <alignment vertical="top"/>
    </xf>
    <xf numFmtId="49" fontId="14" fillId="0" borderId="3" xfId="5" applyNumberFormat="1" applyFont="1" applyBorder="1" applyAlignment="1">
      <alignment vertical="top"/>
    </xf>
    <xf numFmtId="0" fontId="20" fillId="0" borderId="1" xfId="6" applyFont="1" applyBorder="1" applyAlignment="1">
      <alignment vertical="top"/>
    </xf>
    <xf numFmtId="0" fontId="20" fillId="0" borderId="4" xfId="1" applyFont="1" applyBorder="1" applyAlignment="1">
      <alignment vertical="top"/>
    </xf>
    <xf numFmtId="0" fontId="20" fillId="0" borderId="1" xfId="1" applyFont="1" applyBorder="1" applyAlignment="1">
      <alignment vertical="top"/>
    </xf>
    <xf numFmtId="0" fontId="20" fillId="0" borderId="4" xfId="6" applyFont="1" applyBorder="1" applyAlignment="1">
      <alignment vertical="top" shrinkToFit="1"/>
    </xf>
    <xf numFmtId="0" fontId="20" fillId="4" borderId="3" xfId="6" applyFont="1" applyFill="1" applyBorder="1" applyAlignment="1">
      <alignment vertical="top"/>
    </xf>
    <xf numFmtId="0" fontId="20" fillId="4" borderId="4" xfId="2" applyFont="1" applyFill="1" applyBorder="1" applyAlignment="1">
      <alignment vertical="top"/>
    </xf>
    <xf numFmtId="0" fontId="20" fillId="4" borderId="4" xfId="4" applyFont="1" applyFill="1" applyBorder="1" applyAlignment="1">
      <alignment vertical="top"/>
    </xf>
    <xf numFmtId="0" fontId="20" fillId="4" borderId="4" xfId="6" applyFont="1" applyFill="1" applyBorder="1" applyAlignment="1">
      <alignment vertical="top" shrinkToFit="1"/>
    </xf>
    <xf numFmtId="0" fontId="20" fillId="4" borderId="2" xfId="2" applyFont="1" applyFill="1" applyBorder="1" applyAlignment="1">
      <alignment horizontal="center" vertical="top" shrinkToFit="1"/>
    </xf>
    <xf numFmtId="0" fontId="20" fillId="4" borderId="4" xfId="6" applyFont="1" applyFill="1" applyBorder="1" applyAlignment="1">
      <alignment vertical="top"/>
    </xf>
    <xf numFmtId="0" fontId="20" fillId="4" borderId="1" xfId="6" applyFont="1" applyFill="1" applyBorder="1" applyAlignment="1">
      <alignment vertical="top"/>
    </xf>
    <xf numFmtId="0" fontId="0" fillId="4" borderId="2" xfId="0" applyFill="1" applyBorder="1">
      <alignment vertical="center"/>
    </xf>
    <xf numFmtId="0" fontId="25" fillId="0" borderId="0" xfId="0" applyFont="1">
      <alignment vertical="center"/>
    </xf>
    <xf numFmtId="0" fontId="0" fillId="0" borderId="13" xfId="0" applyBorder="1">
      <alignment vertical="center"/>
    </xf>
    <xf numFmtId="0" fontId="0" fillId="5" borderId="16" xfId="0" applyFill="1" applyBorder="1">
      <alignment vertical="center"/>
    </xf>
    <xf numFmtId="0" fontId="0" fillId="6" borderId="16" xfId="0" applyFill="1" applyBorder="1">
      <alignment vertical="center"/>
    </xf>
    <xf numFmtId="0" fontId="0" fillId="0" borderId="12" xfId="0" applyBorder="1" applyAlignment="1">
      <alignment horizontal="left" vertical="center"/>
    </xf>
    <xf numFmtId="0" fontId="0" fillId="0" borderId="3" xfId="0" applyBorder="1">
      <alignment vertical="center"/>
    </xf>
    <xf numFmtId="0" fontId="0" fillId="0" borderId="9" xfId="0" applyBorder="1">
      <alignment vertical="center"/>
    </xf>
    <xf numFmtId="0" fontId="0" fillId="5" borderId="27" xfId="0" applyFill="1" applyBorder="1">
      <alignment vertical="center"/>
    </xf>
    <xf numFmtId="0" fontId="0" fillId="5" borderId="28" xfId="0" applyFill="1"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26" fillId="0" borderId="32" xfId="0" applyFont="1" applyBorder="1">
      <alignment vertical="center"/>
    </xf>
    <xf numFmtId="0" fontId="27" fillId="0" borderId="32" xfId="0" applyFont="1" applyBorder="1">
      <alignment vertical="center"/>
    </xf>
    <xf numFmtId="0" fontId="0" fillId="0" borderId="33" xfId="0" applyBorder="1">
      <alignment vertical="center"/>
    </xf>
    <xf numFmtId="0" fontId="0" fillId="0" borderId="34" xfId="0" applyBorder="1">
      <alignment vertical="center"/>
    </xf>
    <xf numFmtId="0" fontId="27" fillId="0" borderId="35" xfId="0" applyFont="1" applyBorder="1">
      <alignment vertical="center"/>
    </xf>
    <xf numFmtId="0" fontId="0" fillId="6" borderId="27" xfId="0" applyFill="1" applyBorder="1">
      <alignment vertical="center"/>
    </xf>
    <xf numFmtId="0" fontId="0" fillId="6" borderId="28" xfId="0" applyFill="1" applyBorder="1">
      <alignment vertical="center"/>
    </xf>
    <xf numFmtId="0" fontId="0" fillId="0" borderId="35" xfId="0" applyBorder="1">
      <alignment vertical="center"/>
    </xf>
    <xf numFmtId="0" fontId="0" fillId="7" borderId="2" xfId="0" applyFill="1" applyBorder="1" applyAlignment="1">
      <alignment vertical="center" wrapText="1"/>
    </xf>
    <xf numFmtId="0" fontId="0" fillId="0" borderId="40" xfId="0" applyBorder="1">
      <alignment vertical="center"/>
    </xf>
    <xf numFmtId="0" fontId="0" fillId="0" borderId="41" xfId="0" applyBorder="1">
      <alignment vertical="center"/>
    </xf>
    <xf numFmtId="0" fontId="14" fillId="0" borderId="13" xfId="0" applyFont="1" applyBorder="1">
      <alignment vertical="center"/>
    </xf>
    <xf numFmtId="0" fontId="20" fillId="0" borderId="6" xfId="6" applyFont="1" applyBorder="1" applyAlignment="1">
      <alignment vertical="top"/>
    </xf>
    <xf numFmtId="0" fontId="20" fillId="0" borderId="7" xfId="6" applyFont="1" applyBorder="1" applyAlignment="1">
      <alignment vertical="top"/>
    </xf>
    <xf numFmtId="0" fontId="20" fillId="0" borderId="8" xfId="6" applyFont="1" applyBorder="1" applyAlignment="1">
      <alignment vertical="top"/>
    </xf>
    <xf numFmtId="0" fontId="20" fillId="0" borderId="9" xfId="6" applyFont="1" applyBorder="1" applyAlignment="1">
      <alignment vertical="top"/>
    </xf>
    <xf numFmtId="0" fontId="20" fillId="0" borderId="10" xfId="6" applyFont="1" applyBorder="1" applyAlignment="1">
      <alignment vertical="top"/>
    </xf>
    <xf numFmtId="0" fontId="20" fillId="0" borderId="11" xfId="6" applyFont="1" applyBorder="1" applyAlignment="1">
      <alignment vertical="top"/>
    </xf>
    <xf numFmtId="0" fontId="20" fillId="0" borderId="6" xfId="2" quotePrefix="1" applyFont="1" applyBorder="1" applyAlignment="1">
      <alignment horizontal="center" vertical="top"/>
    </xf>
    <xf numFmtId="0" fontId="20" fillId="0" borderId="7" xfId="6" applyFont="1" applyBorder="1" applyAlignment="1">
      <alignment vertical="top" shrinkToFit="1"/>
    </xf>
    <xf numFmtId="0" fontId="20" fillId="0" borderId="12" xfId="2" applyFont="1" applyBorder="1" applyAlignment="1">
      <alignment horizontal="center" vertical="top" shrinkToFit="1"/>
    </xf>
    <xf numFmtId="0" fontId="20" fillId="0" borderId="9" xfId="2" quotePrefix="1" applyFont="1" applyBorder="1" applyAlignment="1">
      <alignment horizontal="center" vertical="top"/>
    </xf>
    <xf numFmtId="49" fontId="20" fillId="0" borderId="9" xfId="3" applyNumberFormat="1" applyFont="1" applyBorder="1" applyAlignment="1">
      <alignment vertical="top"/>
    </xf>
    <xf numFmtId="49" fontId="20" fillId="0" borderId="10" xfId="2" applyNumberFormat="1" applyFont="1" applyBorder="1" applyAlignment="1">
      <alignment vertical="top"/>
    </xf>
    <xf numFmtId="49" fontId="20" fillId="0" borderId="10" xfId="4" applyNumberFormat="1" applyFont="1" applyBorder="1" applyAlignment="1">
      <alignment vertical="top"/>
    </xf>
    <xf numFmtId="49" fontId="20" fillId="0" borderId="10" xfId="3" applyNumberFormat="1" applyFont="1" applyBorder="1" applyAlignment="1">
      <alignment vertical="top"/>
    </xf>
    <xf numFmtId="0" fontId="20" fillId="0" borderId="10" xfId="6" applyFont="1" applyBorder="1" applyAlignment="1">
      <alignment vertical="top" shrinkToFit="1"/>
    </xf>
    <xf numFmtId="49" fontId="20" fillId="0" borderId="13" xfId="2" applyNumberFormat="1" applyFont="1" applyBorder="1" applyAlignment="1">
      <alignment horizontal="center" vertical="top" shrinkToFit="1"/>
    </xf>
    <xf numFmtId="0" fontId="20" fillId="0" borderId="13" xfId="2" applyFont="1" applyBorder="1" applyAlignment="1">
      <alignment horizontal="center" vertical="top" shrinkToFit="1"/>
    </xf>
    <xf numFmtId="0" fontId="10" fillId="8" borderId="2" xfId="7" applyFill="1" applyBorder="1">
      <alignment vertical="center"/>
    </xf>
    <xf numFmtId="0" fontId="0" fillId="8" borderId="2" xfId="7" applyFont="1" applyFill="1" applyBorder="1">
      <alignment vertical="center"/>
    </xf>
    <xf numFmtId="0" fontId="10" fillId="0" borderId="0" xfId="7">
      <alignment vertical="center"/>
    </xf>
    <xf numFmtId="0" fontId="10" fillId="0" borderId="2" xfId="7" applyBorder="1">
      <alignment vertical="center"/>
    </xf>
    <xf numFmtId="0" fontId="34" fillId="0" borderId="0" xfId="8">
      <alignment vertical="center"/>
    </xf>
    <xf numFmtId="0" fontId="0" fillId="0" borderId="2" xfId="7" applyFont="1" applyBorder="1">
      <alignment vertical="center"/>
    </xf>
    <xf numFmtId="49" fontId="36" fillId="0" borderId="2" xfId="3" applyNumberFormat="1" applyFont="1" applyBorder="1" applyAlignment="1">
      <alignment vertical="top"/>
    </xf>
    <xf numFmtId="49" fontId="36" fillId="0" borderId="2" xfId="4" applyNumberFormat="1" applyFont="1" applyBorder="1" applyAlignment="1">
      <alignment vertical="top"/>
    </xf>
    <xf numFmtId="49" fontId="20" fillId="0" borderId="2" xfId="3" applyNumberFormat="1" applyFont="1" applyBorder="1" applyAlignment="1">
      <alignment vertical="top"/>
    </xf>
    <xf numFmtId="0" fontId="9" fillId="0" borderId="2" xfId="7" applyFont="1" applyBorder="1">
      <alignment vertical="center"/>
    </xf>
    <xf numFmtId="49" fontId="20" fillId="0" borderId="11" xfId="4" applyNumberFormat="1" applyFont="1" applyBorder="1" applyAlignment="1">
      <alignment vertical="top"/>
    </xf>
    <xf numFmtId="49" fontId="42" fillId="0" borderId="3" xfId="3" applyNumberFormat="1" applyFont="1" applyBorder="1" applyAlignment="1">
      <alignment vertical="top"/>
    </xf>
    <xf numFmtId="0" fontId="27" fillId="0" borderId="2" xfId="0" applyFont="1" applyBorder="1">
      <alignment vertical="center"/>
    </xf>
    <xf numFmtId="0" fontId="26" fillId="0" borderId="2" xfId="0" applyFont="1" applyBorder="1">
      <alignment vertical="center"/>
    </xf>
    <xf numFmtId="0" fontId="20" fillId="0" borderId="8" xfId="2" applyFont="1" applyBorder="1" applyAlignment="1">
      <alignment horizontal="right" vertical="top" shrinkToFit="1"/>
    </xf>
    <xf numFmtId="0" fontId="0" fillId="4" borderId="32" xfId="0" applyFill="1" applyBorder="1">
      <alignment vertical="center"/>
    </xf>
    <xf numFmtId="0" fontId="0" fillId="6" borderId="46" xfId="0" applyFill="1" applyBorder="1">
      <alignment vertical="center"/>
    </xf>
    <xf numFmtId="0" fontId="0" fillId="0" borderId="11" xfId="0" applyBorder="1">
      <alignment vertical="center"/>
    </xf>
    <xf numFmtId="0" fontId="0" fillId="0" borderId="1" xfId="0" applyBorder="1">
      <alignment vertical="center"/>
    </xf>
    <xf numFmtId="0" fontId="0" fillId="6" borderId="31" xfId="0" applyFill="1" applyBorder="1">
      <alignment vertical="center"/>
    </xf>
    <xf numFmtId="0" fontId="0" fillId="5" borderId="38" xfId="0" applyFill="1" applyBorder="1">
      <alignment vertical="center"/>
    </xf>
    <xf numFmtId="0" fontId="0" fillId="10" borderId="27" xfId="0" applyFill="1" applyBorder="1">
      <alignment vertical="center"/>
    </xf>
    <xf numFmtId="0" fontId="0" fillId="10" borderId="16" xfId="0" applyFill="1" applyBorder="1">
      <alignment vertical="center"/>
    </xf>
    <xf numFmtId="0" fontId="0" fillId="0" borderId="64" xfId="0" applyBorder="1">
      <alignment vertical="center"/>
    </xf>
    <xf numFmtId="0" fontId="0" fillId="0" borderId="65" xfId="0" applyBorder="1">
      <alignment vertical="center"/>
    </xf>
    <xf numFmtId="0" fontId="43" fillId="0" borderId="2" xfId="0" applyFont="1" applyBorder="1">
      <alignment vertical="center"/>
    </xf>
    <xf numFmtId="0" fontId="14" fillId="0" borderId="2" xfId="0" applyFont="1" applyBorder="1">
      <alignment vertical="center"/>
    </xf>
    <xf numFmtId="0" fontId="43" fillId="0" borderId="32" xfId="0" applyFont="1" applyBorder="1">
      <alignment vertical="center"/>
    </xf>
    <xf numFmtId="0" fontId="43" fillId="0" borderId="35" xfId="0" applyFont="1" applyBorder="1">
      <alignment vertical="center"/>
    </xf>
    <xf numFmtId="49" fontId="41" fillId="0" borderId="4" xfId="2" applyNumberFormat="1" applyFont="1" applyBorder="1" applyAlignment="1">
      <alignment vertical="top"/>
    </xf>
    <xf numFmtId="49" fontId="41" fillId="0" borderId="4" xfId="4" applyNumberFormat="1" applyFont="1" applyBorder="1" applyAlignment="1">
      <alignment vertical="top"/>
    </xf>
    <xf numFmtId="0" fontId="0" fillId="11" borderId="12" xfId="0" applyFill="1" applyBorder="1" applyAlignment="1">
      <alignment horizontal="left" vertical="center"/>
    </xf>
    <xf numFmtId="0" fontId="0" fillId="11" borderId="3" xfId="0" applyFill="1" applyBorder="1" applyAlignment="1">
      <alignment horizontal="left" vertical="center"/>
    </xf>
    <xf numFmtId="0" fontId="0" fillId="11" borderId="56" xfId="0" applyFill="1" applyBorder="1" applyAlignment="1">
      <alignment vertical="top"/>
    </xf>
    <xf numFmtId="0" fontId="0" fillId="11" borderId="7" xfId="0" applyFill="1" applyBorder="1" applyAlignment="1">
      <alignment vertical="top"/>
    </xf>
    <xf numFmtId="0" fontId="0" fillId="11" borderId="8" xfId="0" applyFill="1" applyBorder="1" applyAlignment="1">
      <alignment vertical="top"/>
    </xf>
    <xf numFmtId="0" fontId="0" fillId="11" borderId="2" xfId="0" applyFill="1" applyBorder="1">
      <alignment vertical="center"/>
    </xf>
    <xf numFmtId="0" fontId="0" fillId="11" borderId="53" xfId="0" applyFill="1" applyBorder="1" applyAlignment="1">
      <alignment vertical="top"/>
    </xf>
    <xf numFmtId="0" fontId="0" fillId="11" borderId="10" xfId="0" applyFill="1" applyBorder="1" applyAlignment="1">
      <alignment vertical="top"/>
    </xf>
    <xf numFmtId="0" fontId="0" fillId="11" borderId="11" xfId="0" applyFill="1" applyBorder="1" applyAlignment="1">
      <alignment vertical="top"/>
    </xf>
    <xf numFmtId="0" fontId="0" fillId="11" borderId="52" xfId="0" applyFill="1" applyBorder="1" applyAlignment="1">
      <alignment vertical="top"/>
    </xf>
    <xf numFmtId="0" fontId="0" fillId="11" borderId="0" xfId="0" applyFill="1" applyAlignment="1">
      <alignment vertical="top"/>
    </xf>
    <xf numFmtId="0" fontId="0" fillId="11" borderId="14" xfId="0" applyFill="1" applyBorder="1" applyAlignment="1">
      <alignment vertical="top"/>
    </xf>
    <xf numFmtId="0" fontId="0" fillId="12" borderId="3" xfId="0" applyFill="1" applyBorder="1" applyAlignment="1">
      <alignment horizontal="left" vertical="center"/>
    </xf>
    <xf numFmtId="0" fontId="0" fillId="5" borderId="12" xfId="0" applyFill="1" applyBorder="1" applyAlignment="1">
      <alignment horizontal="left" vertical="center"/>
    </xf>
    <xf numFmtId="0" fontId="0" fillId="5" borderId="2" xfId="0" applyFill="1" applyBorder="1">
      <alignment vertical="center"/>
    </xf>
    <xf numFmtId="0" fontId="0" fillId="5" borderId="3" xfId="0" applyFill="1" applyBorder="1" applyAlignment="1">
      <alignment horizontal="left" vertical="center"/>
    </xf>
    <xf numFmtId="0" fontId="0" fillId="5" borderId="66" xfId="0" applyFill="1" applyBorder="1" applyAlignment="1">
      <alignment horizontal="left" vertical="center"/>
    </xf>
    <xf numFmtId="0" fontId="0" fillId="5" borderId="32" xfId="0" applyFill="1" applyBorder="1">
      <alignment vertical="center"/>
    </xf>
    <xf numFmtId="0" fontId="0" fillId="5" borderId="12" xfId="0" applyFill="1" applyBorder="1">
      <alignment vertical="center"/>
    </xf>
    <xf numFmtId="0" fontId="0" fillId="5" borderId="6" xfId="0" applyFill="1" applyBorder="1">
      <alignment vertical="center"/>
    </xf>
    <xf numFmtId="0" fontId="0" fillId="5" borderId="15" xfId="0" applyFill="1" applyBorder="1">
      <alignment vertical="center"/>
    </xf>
    <xf numFmtId="0" fontId="0" fillId="5" borderId="5" xfId="0" applyFill="1" applyBorder="1">
      <alignment vertical="center"/>
    </xf>
    <xf numFmtId="0" fontId="0" fillId="5" borderId="31" xfId="0" applyFill="1" applyBorder="1">
      <alignment vertical="center"/>
    </xf>
    <xf numFmtId="0" fontId="0" fillId="7" borderId="31" xfId="0" applyFill="1" applyBorder="1">
      <alignment vertical="center"/>
    </xf>
    <xf numFmtId="0" fontId="0" fillId="7" borderId="2" xfId="0" applyFill="1" applyBorder="1">
      <alignment vertical="center"/>
    </xf>
    <xf numFmtId="0" fontId="0" fillId="7" borderId="32" xfId="0" applyFill="1" applyBorder="1" applyAlignment="1">
      <alignment horizontal="left" vertical="center"/>
    </xf>
    <xf numFmtId="0" fontId="0" fillId="12" borderId="2" xfId="0" applyFill="1" applyBorder="1">
      <alignment vertical="center"/>
    </xf>
    <xf numFmtId="0" fontId="0" fillId="13" borderId="32" xfId="0" applyFill="1" applyBorder="1" applyAlignment="1">
      <alignment horizontal="left" vertical="center"/>
    </xf>
    <xf numFmtId="0" fontId="0" fillId="13" borderId="56" xfId="0" applyFill="1" applyBorder="1" applyAlignment="1">
      <alignment vertical="top"/>
    </xf>
    <xf numFmtId="0" fontId="0" fillId="13" borderId="0" xfId="0" applyFill="1" applyAlignment="1">
      <alignment vertical="top"/>
    </xf>
    <xf numFmtId="0" fontId="0" fillId="13" borderId="14" xfId="0" applyFill="1" applyBorder="1" applyAlignment="1">
      <alignment vertical="top"/>
    </xf>
    <xf numFmtId="0" fontId="0" fillId="13" borderId="57" xfId="0" applyFill="1" applyBorder="1" applyAlignment="1">
      <alignment vertical="top"/>
    </xf>
    <xf numFmtId="0" fontId="0" fillId="13" borderId="58" xfId="0" applyFill="1" applyBorder="1" applyAlignment="1">
      <alignment vertical="top"/>
    </xf>
    <xf numFmtId="0" fontId="0" fillId="13" borderId="59" xfId="0" applyFill="1" applyBorder="1" applyAlignment="1">
      <alignment vertical="top"/>
    </xf>
    <xf numFmtId="0" fontId="0" fillId="13" borderId="35" xfId="0" applyFill="1" applyBorder="1" applyAlignment="1">
      <alignment horizontal="left" vertical="center"/>
    </xf>
    <xf numFmtId="0" fontId="27" fillId="0" borderId="37" xfId="0" applyFont="1" applyBorder="1">
      <alignment vertical="center"/>
    </xf>
    <xf numFmtId="0" fontId="0" fillId="14" borderId="31" xfId="0" applyFill="1" applyBorder="1" applyAlignment="1">
      <alignment vertical="top"/>
    </xf>
    <xf numFmtId="0" fontId="0" fillId="14" borderId="3" xfId="0" applyFill="1" applyBorder="1">
      <alignment vertical="center"/>
    </xf>
    <xf numFmtId="0" fontId="0" fillId="14" borderId="33" xfId="0" applyFill="1" applyBorder="1" applyAlignment="1">
      <alignment vertical="top"/>
    </xf>
    <xf numFmtId="0" fontId="0" fillId="14" borderId="61" xfId="0" applyFill="1" applyBorder="1">
      <alignment vertical="center"/>
    </xf>
    <xf numFmtId="0" fontId="0" fillId="7" borderId="31" xfId="0" applyFill="1" applyBorder="1" applyAlignment="1">
      <alignment vertical="top"/>
    </xf>
    <xf numFmtId="0" fontId="0" fillId="7" borderId="3" xfId="0" applyFill="1" applyBorder="1">
      <alignment vertical="center"/>
    </xf>
    <xf numFmtId="0" fontId="0" fillId="13" borderId="31" xfId="0" applyFill="1" applyBorder="1" applyAlignment="1">
      <alignment vertical="top"/>
    </xf>
    <xf numFmtId="0" fontId="0" fillId="13" borderId="3" xfId="0" applyFill="1" applyBorder="1">
      <alignment vertical="center"/>
    </xf>
    <xf numFmtId="0" fontId="20" fillId="0" borderId="34" xfId="0" applyFont="1" applyBorder="1">
      <alignment vertical="center"/>
    </xf>
    <xf numFmtId="0" fontId="20" fillId="0" borderId="62" xfId="0" applyFont="1" applyBorder="1">
      <alignment vertical="center"/>
    </xf>
    <xf numFmtId="0" fontId="20" fillId="0" borderId="7" xfId="2" applyFont="1" applyBorder="1" applyAlignment="1">
      <alignment vertical="top"/>
    </xf>
    <xf numFmtId="0" fontId="20" fillId="0" borderId="7" xfId="4" applyFont="1" applyBorder="1" applyAlignment="1">
      <alignment vertical="top"/>
    </xf>
    <xf numFmtId="0" fontId="42" fillId="0" borderId="3" xfId="3" applyFont="1" applyBorder="1" applyAlignment="1">
      <alignment vertical="top"/>
    </xf>
    <xf numFmtId="0" fontId="42" fillId="0" borderId="3" xfId="6" applyFont="1" applyBorder="1" applyAlignment="1">
      <alignment vertical="top"/>
    </xf>
    <xf numFmtId="0" fontId="41" fillId="0" borderId="3" xfId="6" applyFont="1" applyBorder="1" applyAlignment="1">
      <alignment vertical="top"/>
    </xf>
    <xf numFmtId="49" fontId="44" fillId="0" borderId="3" xfId="3" applyNumberFormat="1" applyFont="1" applyBorder="1" applyAlignment="1">
      <alignment vertical="top"/>
    </xf>
    <xf numFmtId="49" fontId="20" fillId="0" borderId="1" xfId="3" applyNumberFormat="1" applyFont="1" applyBorder="1" applyAlignment="1">
      <alignment vertical="top"/>
    </xf>
    <xf numFmtId="0" fontId="22" fillId="3" borderId="3" xfId="2" applyFont="1" applyFill="1" applyBorder="1" applyAlignment="1">
      <alignment horizontal="center" vertical="center"/>
    </xf>
    <xf numFmtId="0" fontId="20" fillId="0" borderId="3" xfId="1" quotePrefix="1" applyFont="1" applyBorder="1" applyAlignment="1">
      <alignment vertical="top"/>
    </xf>
    <xf numFmtId="0" fontId="20" fillId="0" borderId="4" xfId="1" quotePrefix="1" applyFont="1" applyBorder="1" applyAlignment="1">
      <alignment vertical="top"/>
    </xf>
    <xf numFmtId="0" fontId="20" fillId="0" borderId="1" xfId="1" quotePrefix="1" applyFont="1" applyBorder="1" applyAlignment="1">
      <alignment vertical="top"/>
    </xf>
    <xf numFmtId="0" fontId="20" fillId="15" borderId="3" xfId="2" quotePrefix="1" applyFont="1" applyFill="1" applyBorder="1" applyAlignment="1">
      <alignment horizontal="center" vertical="top"/>
    </xf>
    <xf numFmtId="0" fontId="20" fillId="15" borderId="3" xfId="6" applyFont="1" applyFill="1" applyBorder="1" applyAlignment="1">
      <alignment vertical="top"/>
    </xf>
    <xf numFmtId="0" fontId="20" fillId="15" borderId="4" xfId="2" applyFont="1" applyFill="1" applyBorder="1" applyAlignment="1">
      <alignment vertical="top"/>
    </xf>
    <xf numFmtId="0" fontId="20" fillId="15" borderId="4" xfId="4" applyFont="1" applyFill="1" applyBorder="1" applyAlignment="1">
      <alignment vertical="top"/>
    </xf>
    <xf numFmtId="0" fontId="20" fillId="15" borderId="4" xfId="6" applyFont="1" applyFill="1" applyBorder="1" applyAlignment="1">
      <alignment vertical="top" shrinkToFit="1"/>
    </xf>
    <xf numFmtId="0" fontId="20" fillId="15" borderId="2" xfId="2" applyFont="1" applyFill="1" applyBorder="1" applyAlignment="1">
      <alignment horizontal="center" vertical="top" shrinkToFit="1"/>
    </xf>
    <xf numFmtId="0" fontId="20" fillId="15" borderId="4" xfId="6" applyFont="1" applyFill="1" applyBorder="1" applyAlignment="1">
      <alignment vertical="top"/>
    </xf>
    <xf numFmtId="0" fontId="20" fillId="15" borderId="1" xfId="6" applyFont="1" applyFill="1" applyBorder="1" applyAlignment="1">
      <alignment vertical="top"/>
    </xf>
    <xf numFmtId="49" fontId="20" fillId="15" borderId="3" xfId="3" applyNumberFormat="1" applyFont="1" applyFill="1" applyBorder="1" applyAlignment="1">
      <alignment vertical="top"/>
    </xf>
    <xf numFmtId="49" fontId="20" fillId="15" borderId="4" xfId="3" applyNumberFormat="1" applyFont="1" applyFill="1" applyBorder="1" applyAlignment="1">
      <alignment vertical="top"/>
    </xf>
    <xf numFmtId="0" fontId="20" fillId="0" borderId="3" xfId="4" applyFont="1" applyBorder="1" applyAlignment="1">
      <alignment vertical="top"/>
    </xf>
    <xf numFmtId="49" fontId="20" fillId="0" borderId="1" xfId="2" applyNumberFormat="1" applyFont="1" applyBorder="1" applyAlignment="1">
      <alignment vertical="top"/>
    </xf>
    <xf numFmtId="49" fontId="20" fillId="0" borderId="1" xfId="4" applyNumberFormat="1" applyFont="1" applyBorder="1" applyAlignment="1">
      <alignment vertical="top"/>
    </xf>
    <xf numFmtId="0" fontId="20" fillId="0" borderId="3" xfId="2" applyFont="1" applyBorder="1" applyAlignment="1">
      <alignment vertical="top" shrinkToFit="1"/>
    </xf>
    <xf numFmtId="0" fontId="20" fillId="0" borderId="2" xfId="2" quotePrefix="1" applyFont="1" applyBorder="1" applyAlignment="1">
      <alignment horizontal="center" vertical="top"/>
    </xf>
    <xf numFmtId="49" fontId="14" fillId="0" borderId="4" xfId="2" applyNumberFormat="1" applyFont="1" applyBorder="1" applyAlignment="1">
      <alignment vertical="top"/>
    </xf>
    <xf numFmtId="0" fontId="14" fillId="0" borderId="3" xfId="4" applyFont="1" applyBorder="1" applyAlignment="1">
      <alignment vertical="top"/>
    </xf>
    <xf numFmtId="49" fontId="14" fillId="0" borderId="4" xfId="4" applyNumberFormat="1" applyFont="1" applyBorder="1" applyAlignment="1">
      <alignment vertical="top"/>
    </xf>
    <xf numFmtId="49" fontId="14" fillId="0" borderId="1" xfId="3" applyNumberFormat="1" applyFont="1" applyBorder="1" applyAlignment="1">
      <alignment vertical="top"/>
    </xf>
    <xf numFmtId="49" fontId="14" fillId="0" borderId="4" xfId="5" applyNumberFormat="1" applyFont="1" applyBorder="1" applyAlignment="1">
      <alignment vertical="top"/>
    </xf>
    <xf numFmtId="0" fontId="14" fillId="0" borderId="3" xfId="2" applyFont="1" applyBorder="1" applyAlignment="1">
      <alignment vertical="top" shrinkToFit="1"/>
    </xf>
    <xf numFmtId="49" fontId="14" fillId="0" borderId="2" xfId="2" applyNumberFormat="1" applyFont="1" applyBorder="1" applyAlignment="1">
      <alignment horizontal="center" vertical="top"/>
    </xf>
    <xf numFmtId="0" fontId="14" fillId="0" borderId="2" xfId="2" applyFont="1" applyBorder="1" applyAlignment="1">
      <alignment horizontal="center" vertical="top"/>
    </xf>
    <xf numFmtId="0" fontId="14" fillId="0" borderId="3" xfId="3" applyFont="1" applyBorder="1" applyAlignment="1">
      <alignment horizontal="left" vertical="center"/>
    </xf>
    <xf numFmtId="0" fontId="14" fillId="0" borderId="4" xfId="1" applyFont="1" applyBorder="1" applyAlignment="1">
      <alignment horizontal="left" vertical="center"/>
    </xf>
    <xf numFmtId="0" fontId="14" fillId="0" borderId="4" xfId="1" applyFont="1" applyBorder="1" applyAlignment="1">
      <alignment vertical="top"/>
    </xf>
    <xf numFmtId="0" fontId="8" fillId="0" borderId="2" xfId="7" applyFont="1" applyBorder="1">
      <alignment vertical="center"/>
    </xf>
    <xf numFmtId="49" fontId="20" fillId="4" borderId="3" xfId="3" applyNumberFormat="1" applyFont="1" applyFill="1" applyBorder="1" applyAlignment="1">
      <alignment vertical="top"/>
    </xf>
    <xf numFmtId="49" fontId="20" fillId="4" borderId="4" xfId="2" applyNumberFormat="1" applyFont="1" applyFill="1" applyBorder="1" applyAlignment="1">
      <alignment vertical="top"/>
    </xf>
    <xf numFmtId="49" fontId="20" fillId="4" borderId="3" xfId="4" applyNumberFormat="1" applyFont="1" applyFill="1" applyBorder="1" applyAlignment="1">
      <alignment vertical="top"/>
    </xf>
    <xf numFmtId="49" fontId="20" fillId="4" borderId="4" xfId="4" applyNumberFormat="1" applyFont="1" applyFill="1" applyBorder="1" applyAlignment="1">
      <alignment vertical="top"/>
    </xf>
    <xf numFmtId="0" fontId="20" fillId="4" borderId="4" xfId="1" applyFont="1" applyFill="1" applyBorder="1" applyAlignment="1">
      <alignment vertical="top"/>
    </xf>
    <xf numFmtId="0" fontId="20" fillId="4" borderId="1" xfId="1" applyFont="1" applyFill="1" applyBorder="1" applyAlignment="1">
      <alignment vertical="top"/>
    </xf>
    <xf numFmtId="49" fontId="20" fillId="4" borderId="4" xfId="3" applyNumberFormat="1" applyFont="1" applyFill="1" applyBorder="1" applyAlignment="1">
      <alignment vertical="top"/>
    </xf>
    <xf numFmtId="0" fontId="7" fillId="0" borderId="2" xfId="7" applyFont="1" applyBorder="1">
      <alignment vertical="center"/>
    </xf>
    <xf numFmtId="49" fontId="20" fillId="4" borderId="2" xfId="2" applyNumberFormat="1" applyFont="1" applyFill="1" applyBorder="1" applyAlignment="1">
      <alignment horizontal="center" vertical="top" shrinkToFit="1"/>
    </xf>
    <xf numFmtId="0" fontId="6" fillId="0" borderId="2" xfId="7" applyFont="1" applyBorder="1">
      <alignment vertical="center"/>
    </xf>
    <xf numFmtId="0" fontId="5" fillId="0" borderId="2" xfId="7" applyFont="1" applyBorder="1">
      <alignment vertical="center"/>
    </xf>
    <xf numFmtId="0" fontId="5" fillId="0" borderId="0" xfId="7" applyFont="1">
      <alignment vertical="center"/>
    </xf>
    <xf numFmtId="0" fontId="20" fillId="16" borderId="3" xfId="2" quotePrefix="1" applyFont="1" applyFill="1" applyBorder="1" applyAlignment="1">
      <alignment horizontal="center" vertical="top"/>
    </xf>
    <xf numFmtId="0" fontId="20" fillId="16" borderId="3" xfId="6" applyFont="1" applyFill="1" applyBorder="1" applyAlignment="1">
      <alignment vertical="top"/>
    </xf>
    <xf numFmtId="0" fontId="20" fillId="16" borderId="4" xfId="2" applyFont="1" applyFill="1" applyBorder="1" applyAlignment="1">
      <alignment vertical="top"/>
    </xf>
    <xf numFmtId="0" fontId="20" fillId="16" borderId="4" xfId="4" applyFont="1" applyFill="1" applyBorder="1" applyAlignment="1">
      <alignment vertical="top"/>
    </xf>
    <xf numFmtId="49" fontId="20" fillId="16" borderId="3" xfId="3" applyNumberFormat="1" applyFont="1" applyFill="1" applyBorder="1" applyAlignment="1">
      <alignment vertical="top"/>
    </xf>
    <xf numFmtId="49" fontId="20" fillId="16" borderId="3" xfId="5" applyNumberFormat="1" applyFont="1" applyFill="1" applyBorder="1" applyAlignment="1">
      <alignment vertical="top"/>
    </xf>
    <xf numFmtId="49" fontId="20" fillId="16" borderId="4" xfId="5" applyNumberFormat="1" applyFont="1" applyFill="1" applyBorder="1" applyAlignment="1">
      <alignment vertical="top"/>
    </xf>
    <xf numFmtId="49" fontId="20" fillId="16" borderId="1" xfId="5" applyNumberFormat="1" applyFont="1" applyFill="1" applyBorder="1" applyAlignment="1">
      <alignment vertical="top"/>
    </xf>
    <xf numFmtId="0" fontId="20" fillId="16" borderId="4" xfId="6" applyFont="1" applyFill="1" applyBorder="1" applyAlignment="1">
      <alignment vertical="top" shrinkToFit="1"/>
    </xf>
    <xf numFmtId="0" fontId="20" fillId="16" borderId="2" xfId="2" applyFont="1" applyFill="1" applyBorder="1" applyAlignment="1">
      <alignment horizontal="center" vertical="top" shrinkToFit="1"/>
    </xf>
    <xf numFmtId="0" fontId="20" fillId="16" borderId="4" xfId="6" applyFont="1" applyFill="1" applyBorder="1" applyAlignment="1">
      <alignment vertical="top"/>
    </xf>
    <xf numFmtId="0" fontId="20" fillId="16" borderId="1" xfId="6" applyFont="1" applyFill="1" applyBorder="1" applyAlignment="1">
      <alignment vertical="top"/>
    </xf>
    <xf numFmtId="49" fontId="20" fillId="16" borderId="4" xfId="3" applyNumberFormat="1" applyFont="1" applyFill="1" applyBorder="1" applyAlignment="1">
      <alignment vertical="top"/>
    </xf>
    <xf numFmtId="49" fontId="20" fillId="16" borderId="2" xfId="2" applyNumberFormat="1" applyFont="1" applyFill="1" applyBorder="1" applyAlignment="1">
      <alignment horizontal="center" vertical="top" shrinkToFit="1"/>
    </xf>
    <xf numFmtId="0" fontId="4" fillId="0" borderId="0" xfId="7" applyFont="1">
      <alignment vertical="center"/>
    </xf>
    <xf numFmtId="0" fontId="4" fillId="0" borderId="2" xfId="7" applyFont="1" applyBorder="1">
      <alignment vertical="center"/>
    </xf>
    <xf numFmtId="49" fontId="20" fillId="15" borderId="2" xfId="2" applyNumberFormat="1" applyFont="1" applyFill="1" applyBorder="1" applyAlignment="1">
      <alignment horizontal="center" vertical="top" shrinkToFit="1"/>
    </xf>
    <xf numFmtId="0" fontId="27" fillId="0" borderId="0" xfId="1" applyFont="1" applyAlignment="1">
      <alignment vertical="center"/>
    </xf>
    <xf numFmtId="0" fontId="20" fillId="0" borderId="10" xfId="2" applyFont="1" applyBorder="1" applyAlignment="1">
      <alignment vertical="top"/>
    </xf>
    <xf numFmtId="0" fontId="20" fillId="0" borderId="10" xfId="4" applyFont="1" applyBorder="1" applyAlignment="1">
      <alignment vertical="top"/>
    </xf>
    <xf numFmtId="0" fontId="20" fillId="4" borderId="3" xfId="2" quotePrefix="1" applyFont="1" applyFill="1" applyBorder="1" applyAlignment="1">
      <alignment horizontal="center" vertical="top"/>
    </xf>
    <xf numFmtId="0" fontId="20" fillId="4" borderId="6" xfId="2" quotePrefix="1" applyFont="1" applyFill="1" applyBorder="1" applyAlignment="1">
      <alignment horizontal="center" vertical="top"/>
    </xf>
    <xf numFmtId="0" fontId="20" fillId="4" borderId="6" xfId="6" applyFont="1" applyFill="1" applyBorder="1" applyAlignment="1">
      <alignment vertical="top"/>
    </xf>
    <xf numFmtId="0" fontId="20" fillId="4" borderId="7" xfId="2" applyFont="1" applyFill="1" applyBorder="1" applyAlignment="1">
      <alignment vertical="top"/>
    </xf>
    <xf numFmtId="0" fontId="20" fillId="4" borderId="7" xfId="4" applyFont="1" applyFill="1" applyBorder="1" applyAlignment="1">
      <alignment vertical="top"/>
    </xf>
    <xf numFmtId="0" fontId="20" fillId="4" borderId="7" xfId="6" applyFont="1" applyFill="1" applyBorder="1" applyAlignment="1">
      <alignment vertical="top" shrinkToFit="1"/>
    </xf>
    <xf numFmtId="0" fontId="20" fillId="4" borderId="12" xfId="2" applyFont="1" applyFill="1" applyBorder="1" applyAlignment="1">
      <alignment horizontal="center" vertical="top" shrinkToFit="1"/>
    </xf>
    <xf numFmtId="0" fontId="20" fillId="4" borderId="7" xfId="6" applyFont="1" applyFill="1" applyBorder="1" applyAlignment="1">
      <alignment vertical="top"/>
    </xf>
    <xf numFmtId="0" fontId="20" fillId="4" borderId="8" xfId="6" applyFont="1" applyFill="1" applyBorder="1" applyAlignment="1">
      <alignment vertical="top"/>
    </xf>
    <xf numFmtId="49" fontId="20" fillId="4" borderId="3" xfId="5" applyNumberFormat="1" applyFont="1" applyFill="1" applyBorder="1" applyAlignment="1">
      <alignment vertical="top"/>
    </xf>
    <xf numFmtId="49" fontId="20" fillId="4" borderId="4" xfId="5" applyNumberFormat="1" applyFont="1" applyFill="1" applyBorder="1" applyAlignment="1">
      <alignment vertical="top"/>
    </xf>
    <xf numFmtId="49" fontId="20" fillId="4" borderId="1" xfId="5" applyNumberFormat="1" applyFont="1" applyFill="1" applyBorder="1" applyAlignment="1">
      <alignment vertical="top"/>
    </xf>
    <xf numFmtId="49" fontId="20" fillId="4" borderId="1" xfId="3" applyNumberFormat="1" applyFont="1" applyFill="1" applyBorder="1" applyAlignment="1">
      <alignment vertical="top"/>
    </xf>
    <xf numFmtId="0" fontId="20" fillId="4" borderId="9" xfId="6" applyFont="1" applyFill="1" applyBorder="1" applyAlignment="1">
      <alignment vertical="top"/>
    </xf>
    <xf numFmtId="0" fontId="20" fillId="4" borderId="10" xfId="6" applyFont="1" applyFill="1" applyBorder="1" applyAlignment="1">
      <alignment vertical="top"/>
    </xf>
    <xf numFmtId="0" fontId="3" fillId="0" borderId="0" xfId="7" applyFont="1">
      <alignment vertical="center"/>
    </xf>
    <xf numFmtId="56" fontId="20" fillId="0" borderId="0" xfId="1" applyNumberFormat="1" applyFont="1" applyAlignment="1">
      <alignment vertical="center"/>
    </xf>
    <xf numFmtId="49" fontId="20" fillId="15" borderId="4" xfId="2" applyNumberFormat="1" applyFont="1" applyFill="1" applyBorder="1" applyAlignment="1">
      <alignment vertical="top"/>
    </xf>
    <xf numFmtId="49" fontId="20" fillId="15" borderId="3" xfId="4" applyNumberFormat="1" applyFont="1" applyFill="1" applyBorder="1" applyAlignment="1">
      <alignment vertical="top"/>
    </xf>
    <xf numFmtId="49" fontId="20" fillId="15" borderId="4" xfId="4" applyNumberFormat="1" applyFont="1" applyFill="1" applyBorder="1" applyAlignment="1">
      <alignment vertical="top"/>
    </xf>
    <xf numFmtId="0" fontId="20" fillId="15" borderId="1" xfId="2" applyFont="1" applyFill="1" applyBorder="1" applyAlignment="1">
      <alignment horizontal="right" vertical="top" shrinkToFit="1"/>
    </xf>
    <xf numFmtId="0" fontId="20" fillId="4" borderId="8" xfId="2" applyFont="1" applyFill="1" applyBorder="1" applyAlignment="1">
      <alignment horizontal="right" vertical="top" shrinkToFit="1"/>
    </xf>
    <xf numFmtId="0" fontId="20" fillId="15" borderId="8" xfId="2" applyFont="1" applyFill="1" applyBorder="1" applyAlignment="1">
      <alignment horizontal="right" vertical="top" shrinkToFit="1"/>
    </xf>
    <xf numFmtId="0" fontId="20" fillId="15" borderId="12" xfId="2" applyFont="1" applyFill="1" applyBorder="1" applyAlignment="1">
      <alignment horizontal="center" vertical="top" shrinkToFit="1"/>
    </xf>
    <xf numFmtId="0" fontId="14" fillId="0" borderId="3" xfId="3" applyFont="1" applyBorder="1" applyAlignment="1">
      <alignment vertical="top"/>
    </xf>
    <xf numFmtId="0" fontId="20" fillId="0" borderId="3" xfId="2" applyFont="1" applyBorder="1" applyAlignment="1">
      <alignment vertical="top"/>
    </xf>
    <xf numFmtId="49" fontId="41" fillId="0" borderId="3" xfId="3" applyNumberFormat="1" applyFont="1" applyBorder="1" applyAlignment="1">
      <alignment vertical="top"/>
    </xf>
    <xf numFmtId="49" fontId="41" fillId="15" borderId="3" xfId="3" applyNumberFormat="1" applyFont="1" applyFill="1" applyBorder="1" applyAlignment="1">
      <alignment vertical="top"/>
    </xf>
    <xf numFmtId="49" fontId="41" fillId="15" borderId="4" xfId="2" applyNumberFormat="1" applyFont="1" applyFill="1" applyBorder="1" applyAlignment="1">
      <alignment vertical="top"/>
    </xf>
    <xf numFmtId="49" fontId="41" fillId="15" borderId="3" xfId="4" applyNumberFormat="1" applyFont="1" applyFill="1" applyBorder="1" applyAlignment="1">
      <alignment vertical="top"/>
    </xf>
    <xf numFmtId="49" fontId="41" fillId="15" borderId="4" xfId="4" applyNumberFormat="1" applyFont="1" applyFill="1" applyBorder="1" applyAlignment="1">
      <alignment vertical="top"/>
    </xf>
    <xf numFmtId="0" fontId="45" fillId="0" borderId="0" xfId="1" applyFont="1" applyAlignment="1">
      <alignment vertical="center"/>
    </xf>
    <xf numFmtId="0" fontId="46" fillId="0" borderId="0" xfId="0" applyFont="1">
      <alignment vertical="center"/>
    </xf>
    <xf numFmtId="0" fontId="47" fillId="0" borderId="0" xfId="0" applyFont="1">
      <alignment vertical="center"/>
    </xf>
    <xf numFmtId="0" fontId="19" fillId="0" borderId="0" xfId="0" applyFont="1">
      <alignment vertical="center"/>
    </xf>
    <xf numFmtId="0" fontId="26" fillId="0" borderId="0" xfId="0" applyFont="1">
      <alignment vertical="center"/>
    </xf>
    <xf numFmtId="0" fontId="27" fillId="0" borderId="0" xfId="0" applyFont="1">
      <alignment vertical="center"/>
    </xf>
    <xf numFmtId="0" fontId="0" fillId="0" borderId="0" xfId="0" quotePrefix="1">
      <alignment vertical="center"/>
    </xf>
    <xf numFmtId="49" fontId="14" fillId="0" borderId="2" xfId="3" applyNumberFormat="1" applyFont="1" applyBorder="1" applyAlignment="1">
      <alignment vertical="top"/>
    </xf>
    <xf numFmtId="49" fontId="14" fillId="0" borderId="2" xfId="4" applyNumberFormat="1" applyFont="1" applyBorder="1" applyAlignment="1">
      <alignment vertical="top"/>
    </xf>
    <xf numFmtId="0" fontId="20" fillId="0" borderId="0" xfId="1" quotePrefix="1" applyFont="1" applyAlignment="1">
      <alignment vertical="center"/>
    </xf>
    <xf numFmtId="0" fontId="2" fillId="0" borderId="0" xfId="7" applyFont="1">
      <alignment vertical="center"/>
    </xf>
    <xf numFmtId="0" fontId="20" fillId="4" borderId="11" xfId="6" applyFont="1" applyFill="1" applyBorder="1" applyAlignment="1">
      <alignment vertical="top"/>
    </xf>
    <xf numFmtId="0" fontId="20" fillId="0" borderId="5" xfId="2" quotePrefix="1" applyFont="1" applyBorder="1" applyAlignment="1">
      <alignment horizontal="center" vertical="top"/>
    </xf>
    <xf numFmtId="0" fontId="20" fillId="4" borderId="5" xfId="6" applyFont="1" applyFill="1" applyBorder="1" applyAlignment="1">
      <alignment vertical="top"/>
    </xf>
    <xf numFmtId="0" fontId="20" fillId="4" borderId="0" xfId="6" applyFont="1" applyFill="1" applyAlignment="1">
      <alignment vertical="top"/>
    </xf>
    <xf numFmtId="0" fontId="20" fillId="4" borderId="14" xfId="6" applyFont="1" applyFill="1" applyBorder="1" applyAlignment="1">
      <alignment vertical="top"/>
    </xf>
    <xf numFmtId="0" fontId="20" fillId="0" borderId="5" xfId="6" applyFont="1" applyBorder="1" applyAlignment="1">
      <alignment vertical="top"/>
    </xf>
    <xf numFmtId="0" fontId="20" fillId="0" borderId="0" xfId="2" applyFont="1" applyAlignment="1">
      <alignment vertical="top"/>
    </xf>
    <xf numFmtId="0" fontId="20" fillId="0" borderId="0" xfId="4" applyFont="1" applyAlignment="1">
      <alignment vertical="top"/>
    </xf>
    <xf numFmtId="49" fontId="20" fillId="0" borderId="5" xfId="3" applyNumberFormat="1" applyFont="1" applyBorder="1" applyAlignment="1">
      <alignment vertical="top"/>
    </xf>
    <xf numFmtId="49" fontId="20" fillId="0" borderId="0" xfId="3" applyNumberFormat="1" applyFont="1" applyAlignment="1">
      <alignment vertical="top"/>
    </xf>
    <xf numFmtId="49" fontId="20" fillId="0" borderId="5" xfId="5" applyNumberFormat="1" applyFont="1" applyBorder="1" applyAlignment="1">
      <alignment vertical="top"/>
    </xf>
    <xf numFmtId="49" fontId="20" fillId="0" borderId="0" xfId="5" applyNumberFormat="1" applyFont="1" applyAlignment="1">
      <alignment vertical="top"/>
    </xf>
    <xf numFmtId="49" fontId="20" fillId="0" borderId="14" xfId="5" applyNumberFormat="1" applyFont="1" applyBorder="1" applyAlignment="1">
      <alignment vertical="top"/>
    </xf>
    <xf numFmtId="0" fontId="20" fillId="0" borderId="0" xfId="6" applyFont="1" applyAlignment="1">
      <alignment vertical="top" shrinkToFit="1"/>
    </xf>
    <xf numFmtId="0" fontId="20" fillId="0" borderId="15" xfId="2" applyFont="1" applyBorder="1" applyAlignment="1">
      <alignment horizontal="center" vertical="top" shrinkToFit="1"/>
    </xf>
    <xf numFmtId="0" fontId="20" fillId="4" borderId="10" xfId="2" applyFont="1" applyFill="1" applyBorder="1" applyAlignment="1">
      <alignment vertical="top"/>
    </xf>
    <xf numFmtId="0" fontId="20" fillId="4" borderId="10" xfId="4" applyFont="1" applyFill="1" applyBorder="1" applyAlignment="1">
      <alignment vertical="top"/>
    </xf>
    <xf numFmtId="49" fontId="20" fillId="4" borderId="9" xfId="3" applyNumberFormat="1" applyFont="1" applyFill="1" applyBorder="1" applyAlignment="1">
      <alignment vertical="top"/>
    </xf>
    <xf numFmtId="49" fontId="20" fillId="4" borderId="10" xfId="3" applyNumberFormat="1" applyFont="1" applyFill="1" applyBorder="1" applyAlignment="1">
      <alignment vertical="top"/>
    </xf>
    <xf numFmtId="49" fontId="20" fillId="4" borderId="9" xfId="5" applyNumberFormat="1" applyFont="1" applyFill="1" applyBorder="1" applyAlignment="1">
      <alignment vertical="top"/>
    </xf>
    <xf numFmtId="49" fontId="20" fillId="4" borderId="10" xfId="5" applyNumberFormat="1" applyFont="1" applyFill="1" applyBorder="1" applyAlignment="1">
      <alignment vertical="top"/>
    </xf>
    <xf numFmtId="49" fontId="20" fillId="4" borderId="11" xfId="5" applyNumberFormat="1" applyFont="1" applyFill="1" applyBorder="1" applyAlignment="1">
      <alignment vertical="top"/>
    </xf>
    <xf numFmtId="0" fontId="20" fillId="4" borderId="10" xfId="6" applyFont="1" applyFill="1" applyBorder="1" applyAlignment="1">
      <alignment vertical="top" shrinkToFit="1"/>
    </xf>
    <xf numFmtId="0" fontId="20" fillId="4" borderId="13" xfId="2" applyFont="1" applyFill="1" applyBorder="1" applyAlignment="1">
      <alignment horizontal="center" vertical="top" shrinkToFit="1"/>
    </xf>
    <xf numFmtId="0" fontId="20" fillId="4" borderId="3" xfId="2" applyFont="1" applyFill="1" applyBorder="1" applyAlignment="1">
      <alignment vertical="top"/>
    </xf>
    <xf numFmtId="49" fontId="20" fillId="4" borderId="1" xfId="2" applyNumberFormat="1" applyFont="1" applyFill="1" applyBorder="1" applyAlignment="1">
      <alignment vertical="top"/>
    </xf>
    <xf numFmtId="49" fontId="20" fillId="4" borderId="1" xfId="4" applyNumberFormat="1" applyFont="1" applyFill="1" applyBorder="1" applyAlignment="1">
      <alignment vertical="top"/>
    </xf>
    <xf numFmtId="0" fontId="20" fillId="4" borderId="1" xfId="2" applyFont="1" applyFill="1" applyBorder="1" applyAlignment="1">
      <alignment horizontal="right" vertical="top" shrinkToFit="1"/>
    </xf>
    <xf numFmtId="0" fontId="20" fillId="4" borderId="3" xfId="3" applyFont="1" applyFill="1" applyBorder="1" applyAlignment="1">
      <alignment vertical="top"/>
    </xf>
    <xf numFmtId="0" fontId="20" fillId="4" borderId="1" xfId="2" applyFont="1" applyFill="1" applyBorder="1" applyAlignment="1">
      <alignment vertical="top"/>
    </xf>
    <xf numFmtId="0" fontId="20" fillId="4" borderId="1" xfId="4" applyFont="1" applyFill="1" applyBorder="1" applyAlignment="1">
      <alignment vertical="top"/>
    </xf>
    <xf numFmtId="49" fontId="27" fillId="4" borderId="2" xfId="2" applyNumberFormat="1" applyFont="1" applyFill="1" applyBorder="1" applyAlignment="1">
      <alignment horizontal="center" vertical="top" shrinkToFit="1"/>
    </xf>
    <xf numFmtId="49" fontId="20" fillId="0" borderId="6" xfId="3" applyNumberFormat="1" applyFont="1" applyBorder="1" applyAlignment="1">
      <alignment vertical="top"/>
    </xf>
    <xf numFmtId="49" fontId="20" fillId="0" borderId="7" xfId="3" applyNumberFormat="1" applyFont="1" applyBorder="1" applyAlignment="1">
      <alignment vertical="top"/>
    </xf>
    <xf numFmtId="0" fontId="20" fillId="15" borderId="4" xfId="2" applyFont="1" applyFill="1" applyBorder="1" applyAlignment="1">
      <alignment vertical="top" shrinkToFit="1"/>
    </xf>
    <xf numFmtId="49" fontId="20" fillId="0" borderId="7" xfId="2" applyNumberFormat="1" applyFont="1" applyBorder="1" applyAlignment="1">
      <alignment vertical="top"/>
    </xf>
    <xf numFmtId="49" fontId="20" fillId="0" borderId="7" xfId="4" applyNumberFormat="1" applyFont="1" applyBorder="1" applyAlignment="1">
      <alignment vertical="top"/>
    </xf>
    <xf numFmtId="49" fontId="20" fillId="0" borderId="12" xfId="2" applyNumberFormat="1" applyFont="1" applyBorder="1" applyAlignment="1">
      <alignment horizontal="center" vertical="top" shrinkToFit="1"/>
    </xf>
    <xf numFmtId="49" fontId="14" fillId="0" borderId="1" xfId="2" applyNumberFormat="1" applyFont="1" applyBorder="1" applyAlignment="1">
      <alignment vertical="top"/>
    </xf>
    <xf numFmtId="49" fontId="14" fillId="0" borderId="3" xfId="4" applyNumberFormat="1" applyFont="1" applyBorder="1" applyAlignment="1">
      <alignment vertical="top"/>
    </xf>
    <xf numFmtId="49" fontId="14" fillId="0" borderId="1" xfId="4" applyNumberFormat="1" applyFont="1" applyBorder="1" applyAlignment="1">
      <alignment vertical="top"/>
    </xf>
    <xf numFmtId="0" fontId="14" fillId="0" borderId="1" xfId="2" applyFont="1" applyBorder="1" applyAlignment="1">
      <alignment horizontal="right" vertical="top" shrinkToFit="1"/>
    </xf>
    <xf numFmtId="0" fontId="14" fillId="0" borderId="2" xfId="2" applyFont="1" applyBorder="1" applyAlignment="1">
      <alignment horizontal="center" vertical="top" shrinkToFit="1"/>
    </xf>
    <xf numFmtId="49" fontId="14" fillId="0" borderId="2" xfId="2" applyNumberFormat="1" applyFont="1" applyBorder="1" applyAlignment="1">
      <alignment horizontal="center" vertical="top" shrinkToFit="1"/>
    </xf>
    <xf numFmtId="0" fontId="14" fillId="0" borderId="1" xfId="1" applyFont="1" applyBorder="1" applyAlignment="1">
      <alignment vertical="top"/>
    </xf>
    <xf numFmtId="0" fontId="20" fillId="0" borderId="0" xfId="6" applyFont="1" applyAlignment="1">
      <alignment vertical="top"/>
    </xf>
    <xf numFmtId="0" fontId="20" fillId="0" borderId="14" xfId="6" applyFont="1" applyBorder="1" applyAlignment="1">
      <alignment vertical="top"/>
    </xf>
    <xf numFmtId="0" fontId="20" fillId="0" borderId="6" xfId="4" applyFont="1" applyBorder="1" applyAlignment="1">
      <alignment vertical="top"/>
    </xf>
    <xf numFmtId="0" fontId="14" fillId="0" borderId="6" xfId="3" applyFont="1" applyBorder="1" applyAlignment="1">
      <alignment horizontal="left" vertical="center"/>
    </xf>
    <xf numFmtId="0" fontId="20" fillId="0" borderId="9" xfId="4" applyFont="1" applyBorder="1" applyAlignment="1">
      <alignment vertical="top"/>
    </xf>
    <xf numFmtId="0" fontId="14" fillId="0" borderId="9" xfId="3" applyFont="1" applyBorder="1" applyAlignment="1">
      <alignment horizontal="left" vertical="center"/>
    </xf>
    <xf numFmtId="49" fontId="20" fillId="13" borderId="3" xfId="3" applyNumberFormat="1" applyFont="1" applyFill="1" applyBorder="1" applyAlignment="1">
      <alignment vertical="top"/>
    </xf>
    <xf numFmtId="49" fontId="20" fillId="13" borderId="4" xfId="2" applyNumberFormat="1" applyFont="1" applyFill="1" applyBorder="1" applyAlignment="1">
      <alignment vertical="top"/>
    </xf>
    <xf numFmtId="49" fontId="20" fillId="13" borderId="1" xfId="2" applyNumberFormat="1" applyFont="1" applyFill="1" applyBorder="1" applyAlignment="1">
      <alignment vertical="top"/>
    </xf>
    <xf numFmtId="0" fontId="20" fillId="13" borderId="3" xfId="3" applyFont="1" applyFill="1" applyBorder="1" applyAlignment="1">
      <alignment vertical="top"/>
    </xf>
    <xf numFmtId="49" fontId="20" fillId="13" borderId="4" xfId="4" applyNumberFormat="1" applyFont="1" applyFill="1" applyBorder="1" applyAlignment="1">
      <alignment vertical="top"/>
    </xf>
    <xf numFmtId="49" fontId="20" fillId="13" borderId="4" xfId="3" applyNumberFormat="1" applyFont="1" applyFill="1" applyBorder="1" applyAlignment="1">
      <alignment vertical="top"/>
    </xf>
    <xf numFmtId="0" fontId="20" fillId="13" borderId="4" xfId="2" applyFont="1" applyFill="1" applyBorder="1" applyAlignment="1">
      <alignment vertical="top" shrinkToFit="1"/>
    </xf>
    <xf numFmtId="0" fontId="20" fillId="13" borderId="2" xfId="2" applyFont="1" applyFill="1" applyBorder="1" applyAlignment="1">
      <alignment horizontal="center" vertical="top" shrinkToFit="1"/>
    </xf>
    <xf numFmtId="49" fontId="20" fillId="13" borderId="2" xfId="2" applyNumberFormat="1" applyFont="1" applyFill="1" applyBorder="1" applyAlignment="1">
      <alignment horizontal="center" vertical="top" shrinkToFit="1"/>
    </xf>
    <xf numFmtId="0" fontId="20" fillId="13" borderId="4" xfId="1" applyFont="1" applyFill="1" applyBorder="1" applyAlignment="1">
      <alignment vertical="top"/>
    </xf>
    <xf numFmtId="0" fontId="20" fillId="13" borderId="1" xfId="1" applyFont="1" applyFill="1" applyBorder="1" applyAlignment="1">
      <alignment vertical="top"/>
    </xf>
    <xf numFmtId="0" fontId="20" fillId="13" borderId="9" xfId="6" applyFont="1" applyFill="1" applyBorder="1" applyAlignment="1">
      <alignment vertical="top"/>
    </xf>
    <xf numFmtId="0" fontId="20" fillId="13" borderId="10" xfId="6" applyFont="1" applyFill="1" applyBorder="1" applyAlignment="1">
      <alignment vertical="top"/>
    </xf>
    <xf numFmtId="0" fontId="20" fillId="13" borderId="11" xfId="6" applyFont="1" applyFill="1" applyBorder="1" applyAlignment="1">
      <alignment vertical="top"/>
    </xf>
    <xf numFmtId="0" fontId="14" fillId="0" borderId="3" xfId="2" quotePrefix="1" applyFont="1" applyBorder="1" applyAlignment="1">
      <alignment horizontal="center" vertical="top"/>
    </xf>
    <xf numFmtId="0" fontId="14" fillId="13" borderId="3" xfId="6" applyFont="1" applyFill="1" applyBorder="1" applyAlignment="1">
      <alignment vertical="top"/>
    </xf>
    <xf numFmtId="0" fontId="14" fillId="13" borderId="4" xfId="2" applyFont="1" applyFill="1" applyBorder="1" applyAlignment="1">
      <alignment vertical="top"/>
    </xf>
    <xf numFmtId="0" fontId="14" fillId="13" borderId="4" xfId="4" applyFont="1" applyFill="1" applyBorder="1" applyAlignment="1">
      <alignment vertical="top"/>
    </xf>
    <xf numFmtId="0" fontId="14" fillId="13" borderId="4" xfId="6" applyFont="1" applyFill="1" applyBorder="1" applyAlignment="1">
      <alignment vertical="top" shrinkToFit="1"/>
    </xf>
    <xf numFmtId="0" fontId="14" fillId="13" borderId="2" xfId="2" applyFont="1" applyFill="1" applyBorder="1" applyAlignment="1">
      <alignment horizontal="center" vertical="top" shrinkToFit="1"/>
    </xf>
    <xf numFmtId="0" fontId="14" fillId="13" borderId="4" xfId="6" applyFont="1" applyFill="1" applyBorder="1" applyAlignment="1">
      <alignment vertical="top"/>
    </xf>
    <xf numFmtId="0" fontId="14" fillId="13" borderId="1" xfId="6" applyFont="1" applyFill="1" applyBorder="1" applyAlignment="1">
      <alignment vertical="top"/>
    </xf>
    <xf numFmtId="49" fontId="20" fillId="13" borderId="3" xfId="4" applyNumberFormat="1" applyFont="1" applyFill="1" applyBorder="1" applyAlignment="1">
      <alignment vertical="top"/>
    </xf>
    <xf numFmtId="0" fontId="20" fillId="13" borderId="3" xfId="4" applyFont="1" applyFill="1" applyBorder="1" applyAlignment="1">
      <alignment vertical="top"/>
    </xf>
    <xf numFmtId="49" fontId="20" fillId="13" borderId="1" xfId="4" applyNumberFormat="1" applyFont="1" applyFill="1" applyBorder="1" applyAlignment="1">
      <alignment vertical="top"/>
    </xf>
    <xf numFmtId="0" fontId="20" fillId="13" borderId="1" xfId="2" applyFont="1" applyFill="1" applyBorder="1" applyAlignment="1">
      <alignment horizontal="right" vertical="top" shrinkToFit="1"/>
    </xf>
    <xf numFmtId="0" fontId="20" fillId="13" borderId="3" xfId="6" applyFont="1" applyFill="1" applyBorder="1" applyAlignment="1">
      <alignment vertical="top"/>
    </xf>
    <xf numFmtId="0" fontId="20" fillId="13" borderId="4" xfId="6" applyFont="1" applyFill="1" applyBorder="1" applyAlignment="1">
      <alignment vertical="top" shrinkToFit="1"/>
    </xf>
    <xf numFmtId="0" fontId="20" fillId="13" borderId="4" xfId="6" applyFont="1" applyFill="1" applyBorder="1" applyAlignment="1">
      <alignment vertical="top"/>
    </xf>
    <xf numFmtId="0" fontId="20" fillId="13" borderId="1" xfId="6" applyFont="1" applyFill="1" applyBorder="1" applyAlignment="1">
      <alignment vertical="top"/>
    </xf>
    <xf numFmtId="49" fontId="20" fillId="13" borderId="6" xfId="3" applyNumberFormat="1" applyFont="1" applyFill="1" applyBorder="1" applyAlignment="1">
      <alignment vertical="top"/>
    </xf>
    <xf numFmtId="49" fontId="20" fillId="13" borderId="7" xfId="2" applyNumberFormat="1" applyFont="1" applyFill="1" applyBorder="1" applyAlignment="1">
      <alignment vertical="top"/>
    </xf>
    <xf numFmtId="0" fontId="20" fillId="13" borderId="6" xfId="6" applyFont="1" applyFill="1" applyBorder="1" applyAlignment="1">
      <alignment vertical="top"/>
    </xf>
    <xf numFmtId="49" fontId="20" fillId="13" borderId="7" xfId="4" applyNumberFormat="1" applyFont="1" applyFill="1" applyBorder="1" applyAlignment="1">
      <alignment vertical="top"/>
    </xf>
    <xf numFmtId="0" fontId="20" fillId="13" borderId="4" xfId="2" applyFont="1" applyFill="1" applyBorder="1" applyAlignment="1">
      <alignment vertical="top"/>
    </xf>
    <xf numFmtId="0" fontId="20" fillId="13" borderId="4" xfId="4" applyFont="1" applyFill="1" applyBorder="1" applyAlignment="1">
      <alignment vertical="top"/>
    </xf>
    <xf numFmtId="49" fontId="20" fillId="13" borderId="3" xfId="3" applyNumberFormat="1" applyFont="1" applyFill="1" applyBorder="1" applyAlignment="1">
      <alignment vertical="top"/>
    </xf>
    <xf numFmtId="49" fontId="20" fillId="13" borderId="4" xfId="3" applyNumberFormat="1" applyFont="1" applyFill="1" applyBorder="1" applyAlignment="1">
      <alignment vertical="top"/>
    </xf>
    <xf numFmtId="0" fontId="20" fillId="13" borderId="3" xfId="2" applyFont="1" applyFill="1" applyBorder="1" applyAlignment="1">
      <alignment vertical="top" shrinkToFit="1"/>
    </xf>
    <xf numFmtId="0" fontId="14" fillId="15" borderId="3" xfId="1" applyFont="1" applyFill="1" applyBorder="1" applyAlignment="1">
      <alignment vertical="center"/>
    </xf>
    <xf numFmtId="0" fontId="14" fillId="15" borderId="4" xfId="1" applyFont="1" applyFill="1" applyBorder="1" applyAlignment="1">
      <alignment vertical="center"/>
    </xf>
    <xf numFmtId="0" fontId="14" fillId="15" borderId="1" xfId="1" applyFont="1" applyFill="1" applyBorder="1" applyAlignment="1">
      <alignment vertical="center"/>
    </xf>
    <xf numFmtId="0" fontId="14" fillId="0" borderId="6" xfId="1" applyFont="1" applyBorder="1" applyAlignment="1">
      <alignment vertical="center"/>
    </xf>
    <xf numFmtId="0" fontId="14" fillId="0" borderId="7" xfId="1" applyFont="1" applyBorder="1" applyAlignment="1">
      <alignment vertical="center"/>
    </xf>
    <xf numFmtId="0" fontId="14" fillId="0" borderId="8" xfId="1" applyFont="1" applyBorder="1" applyAlignment="1">
      <alignment vertical="center"/>
    </xf>
    <xf numFmtId="0" fontId="14" fillId="0" borderId="9" xfId="1" applyFont="1" applyBorder="1" applyAlignment="1">
      <alignment vertical="center"/>
    </xf>
    <xf numFmtId="0" fontId="14" fillId="0" borderId="10" xfId="1" applyFont="1" applyBorder="1" applyAlignment="1">
      <alignment vertical="center"/>
    </xf>
    <xf numFmtId="0" fontId="14" fillId="0" borderId="11" xfId="1" applyFont="1" applyBorder="1" applyAlignment="1">
      <alignment vertical="center"/>
    </xf>
    <xf numFmtId="49" fontId="14" fillId="0" borderId="6" xfId="5" applyNumberFormat="1" applyFont="1" applyBorder="1" applyAlignment="1">
      <alignment vertical="top"/>
    </xf>
    <xf numFmtId="49" fontId="14" fillId="0" borderId="9" xfId="5" applyNumberFormat="1" applyFont="1" applyBorder="1" applyAlignment="1">
      <alignment vertical="top"/>
    </xf>
    <xf numFmtId="0" fontId="27" fillId="15" borderId="4" xfId="1" applyFont="1" applyFill="1" applyBorder="1" applyAlignment="1">
      <alignment vertical="center"/>
    </xf>
    <xf numFmtId="0" fontId="14" fillId="15" borderId="6" xfId="1" applyFont="1" applyFill="1" applyBorder="1" applyAlignment="1">
      <alignment vertical="center"/>
    </xf>
    <xf numFmtId="0" fontId="14" fillId="15" borderId="7" xfId="1" applyFont="1" applyFill="1" applyBorder="1" applyAlignment="1">
      <alignment vertical="center"/>
    </xf>
    <xf numFmtId="0" fontId="14" fillId="15" borderId="8" xfId="1" applyFont="1" applyFill="1" applyBorder="1" applyAlignment="1">
      <alignment vertical="center"/>
    </xf>
    <xf numFmtId="0" fontId="14" fillId="15" borderId="9" xfId="1" applyFont="1" applyFill="1" applyBorder="1" applyAlignment="1">
      <alignment vertical="center"/>
    </xf>
    <xf numFmtId="0" fontId="14" fillId="15" borderId="10" xfId="1" applyFont="1" applyFill="1" applyBorder="1" applyAlignment="1">
      <alignment vertical="center"/>
    </xf>
    <xf numFmtId="0" fontId="14" fillId="15" borderId="11" xfId="1" applyFont="1" applyFill="1" applyBorder="1" applyAlignment="1">
      <alignment vertical="center"/>
    </xf>
    <xf numFmtId="0" fontId="27" fillId="15" borderId="7" xfId="1" applyFont="1" applyFill="1" applyBorder="1" applyAlignment="1">
      <alignment vertical="center"/>
    </xf>
    <xf numFmtId="0" fontId="14" fillId="0" borderId="6" xfId="1" applyFont="1" applyFill="1" applyBorder="1" applyAlignment="1">
      <alignment vertical="center"/>
    </xf>
    <xf numFmtId="0" fontId="14" fillId="0" borderId="9" xfId="1" applyFont="1" applyFill="1" applyBorder="1" applyAlignment="1">
      <alignment vertical="center"/>
    </xf>
    <xf numFmtId="0" fontId="43" fillId="0" borderId="3" xfId="0" applyFont="1" applyBorder="1">
      <alignment vertical="center"/>
    </xf>
    <xf numFmtId="0" fontId="14" fillId="0" borderId="4" xfId="0" applyFont="1" applyBorder="1">
      <alignment vertical="center"/>
    </xf>
    <xf numFmtId="0" fontId="14" fillId="0" borderId="1" xfId="0" applyFont="1" applyBorder="1">
      <alignment vertical="center"/>
    </xf>
    <xf numFmtId="0" fontId="14" fillId="0" borderId="9" xfId="1" applyFont="1" applyBorder="1" applyAlignment="1">
      <alignment horizontal="center" vertical="center"/>
    </xf>
    <xf numFmtId="0" fontId="14" fillId="0" borderId="10" xfId="1" applyFont="1" applyBorder="1" applyAlignment="1">
      <alignment horizontal="center" vertical="center"/>
    </xf>
    <xf numFmtId="0" fontId="14" fillId="0" borderId="11" xfId="1" applyFont="1" applyBorder="1" applyAlignment="1">
      <alignment horizontal="center" vertical="center"/>
    </xf>
    <xf numFmtId="0" fontId="14" fillId="15" borderId="9" xfId="1" applyFont="1" applyFill="1" applyBorder="1" applyAlignment="1">
      <alignment horizontal="center" vertical="center"/>
    </xf>
    <xf numFmtId="0" fontId="14" fillId="15" borderId="10" xfId="1" applyFont="1" applyFill="1" applyBorder="1" applyAlignment="1">
      <alignment horizontal="center" vertical="center"/>
    </xf>
    <xf numFmtId="0" fontId="14" fillId="15" borderId="11" xfId="1" applyFont="1" applyFill="1" applyBorder="1" applyAlignment="1">
      <alignment horizontal="center" vertical="center"/>
    </xf>
    <xf numFmtId="0" fontId="14" fillId="0" borderId="3" xfId="1" applyFont="1" applyBorder="1" applyAlignment="1">
      <alignment horizontal="center" vertical="center"/>
    </xf>
    <xf numFmtId="0" fontId="14" fillId="0" borderId="4" xfId="1" applyFont="1" applyBorder="1" applyAlignment="1">
      <alignment horizontal="center" vertical="center"/>
    </xf>
    <xf numFmtId="0" fontId="14" fillId="0" borderId="1" xfId="1" applyFont="1" applyBorder="1" applyAlignment="1">
      <alignment horizontal="center" vertical="center"/>
    </xf>
    <xf numFmtId="0" fontId="14" fillId="0" borderId="6" xfId="1" applyFont="1" applyBorder="1" applyAlignment="1">
      <alignment horizontal="center" vertical="center"/>
    </xf>
    <xf numFmtId="0" fontId="14" fillId="0" borderId="7" xfId="1" applyFont="1" applyBorder="1" applyAlignment="1">
      <alignment horizontal="center" vertical="center"/>
    </xf>
    <xf numFmtId="0" fontId="14" fillId="0" borderId="8" xfId="1" applyFont="1" applyBorder="1" applyAlignment="1">
      <alignment horizontal="center" vertical="center"/>
    </xf>
    <xf numFmtId="0" fontId="14" fillId="15" borderId="3" xfId="1" applyFont="1" applyFill="1" applyBorder="1" applyAlignment="1">
      <alignment horizontal="center" vertical="center"/>
    </xf>
    <xf numFmtId="0" fontId="14" fillId="15" borderId="4" xfId="1" applyFont="1" applyFill="1" applyBorder="1" applyAlignment="1">
      <alignment horizontal="center" vertical="center"/>
    </xf>
    <xf numFmtId="0" fontId="14" fillId="15" borderId="1" xfId="1" applyFont="1" applyFill="1" applyBorder="1" applyAlignment="1">
      <alignment horizontal="center" vertical="center"/>
    </xf>
    <xf numFmtId="0" fontId="14" fillId="15" borderId="6" xfId="1" applyFont="1" applyFill="1" applyBorder="1" applyAlignment="1">
      <alignment horizontal="center" vertical="center"/>
    </xf>
    <xf numFmtId="0" fontId="14" fillId="15" borderId="7" xfId="1" applyFont="1" applyFill="1" applyBorder="1" applyAlignment="1">
      <alignment horizontal="center" vertical="center"/>
    </xf>
    <xf numFmtId="0" fontId="14" fillId="15" borderId="8" xfId="1" applyFont="1" applyFill="1" applyBorder="1" applyAlignment="1">
      <alignment horizontal="center" vertical="center"/>
    </xf>
    <xf numFmtId="14" fontId="20" fillId="0" borderId="3" xfId="1" applyNumberFormat="1" applyFont="1" applyBorder="1" applyAlignment="1">
      <alignment horizontal="center" vertical="center"/>
    </xf>
    <xf numFmtId="14" fontId="20" fillId="0" borderId="4" xfId="1" applyNumberFormat="1" applyFont="1" applyBorder="1" applyAlignment="1">
      <alignment horizontal="center" vertical="center"/>
    </xf>
    <xf numFmtId="14" fontId="20" fillId="0" borderId="1" xfId="1" applyNumberFormat="1" applyFont="1" applyBorder="1" applyAlignment="1">
      <alignment horizontal="center" vertical="center"/>
    </xf>
    <xf numFmtId="14" fontId="20" fillId="0" borderId="3" xfId="1" applyNumberFormat="1" applyFont="1" applyBorder="1" applyAlignment="1">
      <alignment horizontal="center" vertical="top"/>
    </xf>
    <xf numFmtId="14" fontId="20" fillId="0" borderId="4" xfId="1" applyNumberFormat="1" applyFont="1" applyBorder="1" applyAlignment="1">
      <alignment horizontal="center" vertical="top"/>
    </xf>
    <xf numFmtId="14" fontId="20" fillId="0" borderId="1" xfId="1" applyNumberFormat="1" applyFont="1" applyBorder="1" applyAlignment="1">
      <alignment horizontal="center" vertical="top"/>
    </xf>
    <xf numFmtId="0" fontId="22" fillId="3" borderId="3" xfId="2" applyFont="1" applyFill="1" applyBorder="1" applyAlignment="1">
      <alignment horizontal="center" vertical="center"/>
    </xf>
    <xf numFmtId="0" fontId="22" fillId="3" borderId="4" xfId="2" applyFont="1" applyFill="1" applyBorder="1" applyAlignment="1">
      <alignment horizontal="center" vertical="center"/>
    </xf>
    <xf numFmtId="0" fontId="22" fillId="3" borderId="1" xfId="2" applyFont="1" applyFill="1" applyBorder="1" applyAlignment="1">
      <alignment horizontal="center" vertical="center"/>
    </xf>
    <xf numFmtId="0" fontId="22" fillId="3" borderId="3" xfId="1" applyFont="1" applyFill="1" applyBorder="1" applyAlignment="1">
      <alignment horizontal="center" vertical="center"/>
    </xf>
    <xf numFmtId="0" fontId="22" fillId="3" borderId="4" xfId="1" applyFont="1" applyFill="1" applyBorder="1" applyAlignment="1">
      <alignment horizontal="center" vertical="center"/>
    </xf>
    <xf numFmtId="0" fontId="22" fillId="3" borderId="1" xfId="1" applyFont="1" applyFill="1" applyBorder="1" applyAlignment="1">
      <alignment horizontal="center" vertical="center"/>
    </xf>
    <xf numFmtId="0" fontId="23" fillId="3" borderId="6" xfId="1" applyFont="1" applyFill="1" applyBorder="1" applyAlignment="1">
      <alignment horizontal="center" vertical="center"/>
    </xf>
    <xf numFmtId="0" fontId="23" fillId="3" borderId="7" xfId="1" applyFont="1" applyFill="1" applyBorder="1" applyAlignment="1">
      <alignment horizontal="center" vertical="center"/>
    </xf>
    <xf numFmtId="0" fontId="23" fillId="3" borderId="8" xfId="1" applyFont="1" applyFill="1" applyBorder="1" applyAlignment="1">
      <alignment horizontal="center" vertical="center"/>
    </xf>
    <xf numFmtId="0" fontId="23" fillId="3" borderId="5" xfId="1" applyFont="1" applyFill="1" applyBorder="1" applyAlignment="1">
      <alignment horizontal="center" vertical="center"/>
    </xf>
    <xf numFmtId="0" fontId="23" fillId="3" borderId="0" xfId="1" applyFont="1" applyFill="1" applyAlignment="1">
      <alignment horizontal="center" vertical="center"/>
    </xf>
    <xf numFmtId="0" fontId="23" fillId="3" borderId="14" xfId="1" applyFont="1" applyFill="1" applyBorder="1" applyAlignment="1">
      <alignment horizontal="center" vertical="center"/>
    </xf>
    <xf numFmtId="0" fontId="23" fillId="3" borderId="9" xfId="1" applyFont="1" applyFill="1" applyBorder="1" applyAlignment="1">
      <alignment horizontal="center" vertical="center"/>
    </xf>
    <xf numFmtId="0" fontId="23" fillId="3" borderId="10" xfId="1" applyFont="1" applyFill="1" applyBorder="1" applyAlignment="1">
      <alignment horizontal="center" vertical="center"/>
    </xf>
    <xf numFmtId="0" fontId="23" fillId="3" borderId="11" xfId="1" applyFont="1" applyFill="1" applyBorder="1" applyAlignment="1">
      <alignment horizontal="center" vertical="center"/>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1" fillId="0" borderId="5" xfId="1" applyFont="1" applyBorder="1" applyAlignment="1">
      <alignment horizontal="center" vertical="center" wrapText="1"/>
    </xf>
    <xf numFmtId="0" fontId="21" fillId="0" borderId="0" xfId="1" applyFont="1" applyAlignment="1">
      <alignment horizontal="center" vertical="center" wrapText="1"/>
    </xf>
    <xf numFmtId="0" fontId="21" fillId="0" borderId="14"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0" xfId="1" applyFont="1" applyBorder="1" applyAlignment="1">
      <alignment horizontal="center" vertical="center" wrapText="1"/>
    </xf>
    <xf numFmtId="0" fontId="21" fillId="0" borderId="11" xfId="1" applyFont="1" applyBorder="1" applyAlignment="1">
      <alignment horizontal="center" vertical="center" wrapText="1"/>
    </xf>
    <xf numFmtId="49" fontId="21" fillId="0" borderId="6" xfId="1" applyNumberFormat="1" applyFont="1" applyBorder="1" applyAlignment="1">
      <alignment horizontal="center" vertical="center" shrinkToFit="1"/>
    </xf>
    <xf numFmtId="49" fontId="21" fillId="0" borderId="7" xfId="1" applyNumberFormat="1" applyFont="1" applyBorder="1" applyAlignment="1">
      <alignment horizontal="center" vertical="center" shrinkToFit="1"/>
    </xf>
    <xf numFmtId="49" fontId="21" fillId="0" borderId="8" xfId="1" applyNumberFormat="1" applyFont="1" applyBorder="1" applyAlignment="1">
      <alignment horizontal="center" vertical="center" shrinkToFit="1"/>
    </xf>
    <xf numFmtId="49" fontId="21" fillId="0" borderId="5" xfId="1" applyNumberFormat="1" applyFont="1" applyBorder="1" applyAlignment="1">
      <alignment horizontal="center" vertical="center" shrinkToFit="1"/>
    </xf>
    <xf numFmtId="49" fontId="21" fillId="0" borderId="0" xfId="1" applyNumberFormat="1" applyFont="1" applyAlignment="1">
      <alignment horizontal="center" vertical="center" shrinkToFit="1"/>
    </xf>
    <xf numFmtId="49" fontId="21" fillId="0" borderId="14" xfId="1" applyNumberFormat="1" applyFont="1" applyBorder="1" applyAlignment="1">
      <alignment horizontal="center" vertical="center" shrinkToFit="1"/>
    </xf>
    <xf numFmtId="49" fontId="21" fillId="0" borderId="9" xfId="1" applyNumberFormat="1" applyFont="1" applyBorder="1" applyAlignment="1">
      <alignment horizontal="center" vertical="center" shrinkToFit="1"/>
    </xf>
    <xf numFmtId="49" fontId="21" fillId="0" borderId="10" xfId="1" applyNumberFormat="1" applyFont="1" applyBorder="1" applyAlignment="1">
      <alignment horizontal="center" vertical="center" shrinkToFit="1"/>
    </xf>
    <xf numFmtId="49" fontId="21" fillId="0" borderId="11" xfId="1" applyNumberFormat="1" applyFont="1" applyBorder="1" applyAlignment="1">
      <alignment horizontal="center" vertical="center" shrinkToFit="1"/>
    </xf>
    <xf numFmtId="0" fontId="0" fillId="6" borderId="24" xfId="0" applyFill="1" applyBorder="1" applyAlignment="1">
      <alignment horizontal="center" vertical="center"/>
    </xf>
    <xf numFmtId="0" fontId="0" fillId="6" borderId="25" xfId="0" applyFill="1" applyBorder="1" applyAlignment="1">
      <alignment horizontal="center" vertical="center"/>
    </xf>
    <xf numFmtId="0" fontId="0" fillId="6" borderId="26" xfId="0" applyFill="1" applyBorder="1" applyAlignment="1">
      <alignment horizontal="center" vertical="center"/>
    </xf>
    <xf numFmtId="0" fontId="0" fillId="0" borderId="4" xfId="0" applyBorder="1" applyAlignment="1">
      <alignment horizontal="left" vertical="center"/>
    </xf>
    <xf numFmtId="0" fontId="0" fillId="0" borderId="37" xfId="0" applyBorder="1" applyAlignment="1">
      <alignment horizontal="left" vertical="center"/>
    </xf>
    <xf numFmtId="0" fontId="0" fillId="0" borderId="45" xfId="0" applyBorder="1" applyAlignment="1">
      <alignment horizontal="left" vertical="center"/>
    </xf>
    <xf numFmtId="0" fontId="0" fillId="0" borderId="62" xfId="0" applyBorder="1" applyAlignment="1">
      <alignment horizontal="left" vertical="center"/>
    </xf>
    <xf numFmtId="0" fontId="0" fillId="9" borderId="39" xfId="0" applyFill="1" applyBorder="1" applyAlignment="1">
      <alignment horizontal="center" vertical="center"/>
    </xf>
    <xf numFmtId="0" fontId="0" fillId="9" borderId="40" xfId="0" applyFill="1" applyBorder="1" applyAlignment="1">
      <alignment horizontal="center" vertical="center"/>
    </xf>
    <xf numFmtId="0" fontId="0" fillId="0" borderId="3" xfId="0" applyBorder="1" applyAlignment="1">
      <alignment horizontal="left" vertical="center"/>
    </xf>
    <xf numFmtId="0" fontId="0" fillId="11" borderId="56" xfId="0" applyFill="1" applyBorder="1" applyAlignment="1">
      <alignment horizontal="left" vertical="top"/>
    </xf>
    <xf numFmtId="0" fontId="0" fillId="11" borderId="7" xfId="0" applyFill="1" applyBorder="1" applyAlignment="1">
      <alignment horizontal="left" vertical="top"/>
    </xf>
    <xf numFmtId="0" fontId="0" fillId="11" borderId="8" xfId="0" applyFill="1" applyBorder="1" applyAlignment="1">
      <alignment horizontal="left" vertical="top"/>
    </xf>
    <xf numFmtId="0" fontId="0" fillId="11" borderId="52" xfId="0" applyFill="1" applyBorder="1" applyAlignment="1">
      <alignment horizontal="left" vertical="top"/>
    </xf>
    <xf numFmtId="0" fontId="0" fillId="11" borderId="0" xfId="0" applyFill="1" applyAlignment="1">
      <alignment horizontal="left" vertical="top"/>
    </xf>
    <xf numFmtId="0" fontId="0" fillId="11" borderId="14" xfId="0" applyFill="1" applyBorder="1" applyAlignment="1">
      <alignment horizontal="left" vertical="top"/>
    </xf>
    <xf numFmtId="0" fontId="0" fillId="11" borderId="53" xfId="0" applyFill="1" applyBorder="1" applyAlignment="1">
      <alignment horizontal="left" vertical="top"/>
    </xf>
    <xf numFmtId="0" fontId="0" fillId="11" borderId="10" xfId="0" applyFill="1" applyBorder="1" applyAlignment="1">
      <alignment horizontal="left" vertical="top"/>
    </xf>
    <xf numFmtId="0" fontId="0" fillId="11" borderId="11" xfId="0" applyFill="1" applyBorder="1" applyAlignment="1">
      <alignment horizontal="left" vertical="top"/>
    </xf>
    <xf numFmtId="0" fontId="0" fillId="11" borderId="12" xfId="0" applyFill="1" applyBorder="1" applyAlignment="1">
      <alignment horizontal="left" vertical="center"/>
    </xf>
    <xf numFmtId="0" fontId="0" fillId="11" borderId="15" xfId="0" applyFill="1" applyBorder="1" applyAlignment="1">
      <alignment horizontal="left" vertical="center"/>
    </xf>
    <xf numFmtId="0" fontId="0" fillId="11" borderId="13" xfId="0" applyFill="1" applyBorder="1" applyAlignment="1">
      <alignment horizontal="left" vertical="center"/>
    </xf>
    <xf numFmtId="0" fontId="0" fillId="5" borderId="6" xfId="0" applyFill="1" applyBorder="1" applyAlignment="1">
      <alignment horizontal="left" vertical="center"/>
    </xf>
    <xf numFmtId="0" fontId="0" fillId="5" borderId="5" xfId="0" applyFill="1" applyBorder="1" applyAlignment="1">
      <alignment horizontal="left" vertical="center"/>
    </xf>
    <xf numFmtId="0" fontId="0" fillId="7" borderId="3" xfId="0" applyFill="1" applyBorder="1" applyAlignment="1">
      <alignment horizontal="left" vertical="center"/>
    </xf>
    <xf numFmtId="0" fontId="0" fillId="7" borderId="1" xfId="0" applyFill="1" applyBorder="1" applyAlignment="1">
      <alignment horizontal="left" vertical="center"/>
    </xf>
    <xf numFmtId="0" fontId="0" fillId="5" borderId="3" xfId="0" applyFill="1" applyBorder="1" applyAlignment="1">
      <alignment horizontal="left" vertical="center"/>
    </xf>
    <xf numFmtId="0" fontId="0" fillId="5" borderId="1" xfId="0" applyFill="1" applyBorder="1" applyAlignment="1">
      <alignment horizontal="left" vertical="center"/>
    </xf>
    <xf numFmtId="0" fontId="0" fillId="5" borderId="12" xfId="0" applyFill="1" applyBorder="1" applyAlignment="1">
      <alignment horizontal="left" vertical="center"/>
    </xf>
    <xf numFmtId="0" fontId="0" fillId="5" borderId="15" xfId="0" applyFill="1" applyBorder="1" applyAlignment="1">
      <alignment horizontal="left" vertical="center"/>
    </xf>
    <xf numFmtId="0" fontId="0" fillId="5" borderId="13" xfId="0" applyFill="1" applyBorder="1" applyAlignment="1">
      <alignment horizontal="left" vertical="center"/>
    </xf>
    <xf numFmtId="0" fontId="0" fillId="0" borderId="36" xfId="0" applyBorder="1" applyAlignment="1">
      <alignment horizontal="left" vertical="center"/>
    </xf>
    <xf numFmtId="0" fontId="0" fillId="13" borderId="56" xfId="0" applyFill="1" applyBorder="1" applyAlignment="1">
      <alignment vertical="top"/>
    </xf>
    <xf numFmtId="0" fontId="0" fillId="13" borderId="7" xfId="0" applyFill="1" applyBorder="1" applyAlignment="1">
      <alignment vertical="top"/>
    </xf>
    <xf numFmtId="0" fontId="0" fillId="13" borderId="8" xfId="0" applyFill="1" applyBorder="1" applyAlignment="1">
      <alignment vertical="top"/>
    </xf>
    <xf numFmtId="0" fontId="0" fillId="13" borderId="52" xfId="0" applyFill="1" applyBorder="1" applyAlignment="1">
      <alignment vertical="top"/>
    </xf>
    <xf numFmtId="0" fontId="0" fillId="13" borderId="0" xfId="0" applyFill="1" applyAlignment="1">
      <alignment vertical="top"/>
    </xf>
    <xf numFmtId="0" fontId="0" fillId="13" borderId="14" xfId="0" applyFill="1" applyBorder="1" applyAlignment="1">
      <alignment vertical="top"/>
    </xf>
    <xf numFmtId="0" fontId="0" fillId="13" borderId="53" xfId="0" applyFill="1" applyBorder="1" applyAlignment="1">
      <alignment vertical="top"/>
    </xf>
    <xf numFmtId="0" fontId="0" fillId="13" borderId="10" xfId="0" applyFill="1" applyBorder="1" applyAlignment="1">
      <alignment vertical="top"/>
    </xf>
    <xf numFmtId="0" fontId="0" fillId="13" borderId="11" xfId="0" applyFill="1" applyBorder="1" applyAlignment="1">
      <alignment vertical="top"/>
    </xf>
    <xf numFmtId="0" fontId="0" fillId="5" borderId="54" xfId="0" applyFill="1" applyBorder="1" applyAlignment="1">
      <alignment horizontal="left" vertical="top"/>
    </xf>
    <xf numFmtId="0" fontId="0" fillId="5" borderId="55" xfId="0" applyFill="1" applyBorder="1" applyAlignment="1">
      <alignment horizontal="left" vertical="top"/>
    </xf>
    <xf numFmtId="0" fontId="0" fillId="5" borderId="29" xfId="0" applyFill="1" applyBorder="1" applyAlignment="1">
      <alignment horizontal="left" vertical="top"/>
    </xf>
    <xf numFmtId="0" fontId="0" fillId="13" borderId="56" xfId="0" applyFill="1" applyBorder="1" applyAlignment="1">
      <alignment horizontal="left" vertical="top"/>
    </xf>
    <xf numFmtId="0" fontId="0" fillId="13" borderId="7" xfId="0" applyFill="1" applyBorder="1" applyAlignment="1">
      <alignment horizontal="left" vertical="top"/>
    </xf>
    <xf numFmtId="0" fontId="0" fillId="13" borderId="8" xfId="0" applyFill="1" applyBorder="1" applyAlignment="1">
      <alignment horizontal="left" vertical="top"/>
    </xf>
    <xf numFmtId="0" fontId="0" fillId="13" borderId="52" xfId="0" applyFill="1" applyBorder="1" applyAlignment="1">
      <alignment horizontal="left" vertical="top"/>
    </xf>
    <xf numFmtId="0" fontId="0" fillId="13" borderId="0" xfId="0" applyFill="1" applyAlignment="1">
      <alignment horizontal="left" vertical="top"/>
    </xf>
    <xf numFmtId="0" fontId="0" fillId="13" borderId="14" xfId="0" applyFill="1" applyBorder="1" applyAlignment="1">
      <alignment horizontal="left" vertical="top"/>
    </xf>
    <xf numFmtId="0" fontId="0" fillId="13" borderId="53" xfId="0" applyFill="1" applyBorder="1" applyAlignment="1">
      <alignment horizontal="left" vertical="top"/>
    </xf>
    <xf numFmtId="0" fontId="0" fillId="13" borderId="10" xfId="0" applyFill="1" applyBorder="1" applyAlignment="1">
      <alignment horizontal="left" vertical="top"/>
    </xf>
    <xf numFmtId="0" fontId="0" fillId="13" borderId="11" xfId="0" applyFill="1" applyBorder="1" applyAlignment="1">
      <alignment horizontal="left" vertical="top"/>
    </xf>
    <xf numFmtId="0" fontId="0" fillId="12" borderId="56" xfId="0" applyFill="1" applyBorder="1" applyAlignment="1">
      <alignment horizontal="left" vertical="top"/>
    </xf>
    <xf numFmtId="0" fontId="0" fillId="12" borderId="7" xfId="0" applyFill="1" applyBorder="1" applyAlignment="1">
      <alignment horizontal="left" vertical="top"/>
    </xf>
    <xf numFmtId="0" fontId="0" fillId="12" borderId="8" xfId="0" applyFill="1" applyBorder="1" applyAlignment="1">
      <alignment horizontal="left" vertical="top"/>
    </xf>
    <xf numFmtId="0" fontId="0" fillId="10" borderId="24" xfId="0" applyFill="1" applyBorder="1" applyAlignment="1">
      <alignment horizontal="center" vertical="center"/>
    </xf>
    <xf numFmtId="0" fontId="0" fillId="10" borderId="25" xfId="0" applyFill="1" applyBorder="1" applyAlignment="1">
      <alignment horizontal="center" vertical="center"/>
    </xf>
    <xf numFmtId="0" fontId="25" fillId="0" borderId="0" xfId="0" applyFont="1" applyAlignment="1">
      <alignment horizontal="left" vertical="center"/>
    </xf>
    <xf numFmtId="0" fontId="0" fillId="5" borderId="24"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8" borderId="50" xfId="0" applyFill="1" applyBorder="1" applyAlignment="1">
      <alignment horizontal="left" vertical="center"/>
    </xf>
    <xf numFmtId="0" fontId="0" fillId="8" borderId="48" xfId="0" applyFill="1" applyBorder="1" applyAlignment="1">
      <alignment horizontal="left" vertical="center"/>
    </xf>
    <xf numFmtId="0" fontId="0" fillId="8" borderId="17" xfId="0" applyFill="1" applyBorder="1" applyAlignment="1">
      <alignment horizontal="left" vertical="center"/>
    </xf>
    <xf numFmtId="0" fontId="0" fillId="8" borderId="22" xfId="0" applyFill="1" applyBorder="1" applyAlignment="1">
      <alignment horizontal="left" vertical="center"/>
    </xf>
    <xf numFmtId="0" fontId="0" fillId="8" borderId="47" xfId="0" applyFill="1" applyBorder="1" applyAlignment="1">
      <alignment horizontal="center" vertical="center"/>
    </xf>
    <xf numFmtId="0" fontId="0" fillId="8" borderId="48" xfId="0" applyFill="1" applyBorder="1" applyAlignment="1">
      <alignment horizontal="center" vertical="center"/>
    </xf>
    <xf numFmtId="0" fontId="0" fillId="8" borderId="49" xfId="0" applyFill="1" applyBorder="1" applyAlignment="1">
      <alignment horizontal="center" vertical="center"/>
    </xf>
    <xf numFmtId="0" fontId="0" fillId="8" borderId="51" xfId="0" applyFill="1" applyBorder="1" applyAlignment="1">
      <alignment horizontal="center" vertical="center"/>
    </xf>
    <xf numFmtId="0" fontId="0" fillId="8" borderId="22" xfId="0" applyFill="1" applyBorder="1" applyAlignment="1">
      <alignment horizontal="center" vertical="center"/>
    </xf>
    <xf numFmtId="0" fontId="0" fillId="8" borderId="18" xfId="0" applyFill="1" applyBorder="1" applyAlignment="1">
      <alignment horizontal="center" vertical="center"/>
    </xf>
    <xf numFmtId="0" fontId="0" fillId="13" borderId="15" xfId="0" applyFill="1" applyBorder="1" applyAlignment="1">
      <alignment horizontal="left" vertical="center"/>
    </xf>
    <xf numFmtId="0" fontId="0" fillId="13" borderId="60" xfId="0" applyFill="1" applyBorder="1" applyAlignment="1">
      <alignment horizontal="left" vertical="center"/>
    </xf>
    <xf numFmtId="0" fontId="0" fillId="13" borderId="12" xfId="0" applyFill="1" applyBorder="1" applyAlignment="1">
      <alignment horizontal="left" vertical="center"/>
    </xf>
    <xf numFmtId="0" fontId="0" fillId="13" borderId="13" xfId="0" applyFill="1" applyBorder="1" applyAlignment="1">
      <alignment horizontal="left" vertical="center"/>
    </xf>
    <xf numFmtId="0" fontId="0" fillId="0" borderId="6" xfId="0" applyBorder="1" applyAlignment="1">
      <alignment vertical="top"/>
    </xf>
    <xf numFmtId="0" fontId="0" fillId="0" borderId="7" xfId="0" applyBorder="1" applyAlignment="1">
      <alignment vertical="top"/>
    </xf>
    <xf numFmtId="0" fontId="0" fillId="0" borderId="8" xfId="0" applyBorder="1" applyAlignment="1">
      <alignment vertical="top"/>
    </xf>
    <xf numFmtId="0" fontId="0" fillId="0" borderId="5" xfId="0" applyBorder="1" applyAlignment="1">
      <alignment vertical="top"/>
    </xf>
    <xf numFmtId="0" fontId="0" fillId="0" borderId="0" xfId="0" applyAlignment="1">
      <alignment vertical="top"/>
    </xf>
    <xf numFmtId="0" fontId="0" fillId="0" borderId="14" xfId="0" applyBorder="1" applyAlignment="1">
      <alignment vertical="top"/>
    </xf>
    <xf numFmtId="0" fontId="0" fillId="0" borderId="9" xfId="0" applyBorder="1"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horizontal="left" vertical="center"/>
    </xf>
    <xf numFmtId="0" fontId="0" fillId="0" borderId="15" xfId="0" applyBorder="1" applyAlignment="1">
      <alignment horizontal="left" vertical="center"/>
    </xf>
    <xf numFmtId="0" fontId="0" fillId="0" borderId="13" xfId="0" applyBorder="1" applyAlignment="1">
      <alignment horizontal="left" vertical="center"/>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5" xfId="0" applyBorder="1" applyAlignment="1">
      <alignment horizontal="left" vertical="top"/>
    </xf>
    <xf numFmtId="0" fontId="0" fillId="0" borderId="0" xfId="0" applyAlignment="1">
      <alignment horizontal="left" vertical="top"/>
    </xf>
    <xf numFmtId="0" fontId="0" fillId="0" borderId="14"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11" xfId="0" applyBorder="1" applyAlignment="1">
      <alignment horizontal="left" vertical="top"/>
    </xf>
    <xf numFmtId="0" fontId="0" fillId="0" borderId="6"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 xfId="0" applyBorder="1" applyAlignment="1">
      <alignment horizontal="left" vertical="center"/>
    </xf>
    <xf numFmtId="0" fontId="0" fillId="4" borderId="12" xfId="0" applyFill="1" applyBorder="1" applyAlignment="1">
      <alignment horizontal="left" vertical="center"/>
    </xf>
    <xf numFmtId="0" fontId="0" fillId="4" borderId="15" xfId="0" applyFill="1" applyBorder="1" applyAlignment="1">
      <alignment horizontal="left" vertical="center"/>
    </xf>
    <xf numFmtId="0" fontId="0" fillId="4" borderId="13" xfId="0" applyFill="1" applyBorder="1" applyAlignment="1">
      <alignment horizontal="left" vertical="center"/>
    </xf>
    <xf numFmtId="0" fontId="0" fillId="0" borderId="12" xfId="0" applyBorder="1" applyAlignment="1">
      <alignment horizontal="left" vertical="top"/>
    </xf>
    <xf numFmtId="0" fontId="0" fillId="0" borderId="15" xfId="0" applyBorder="1" applyAlignment="1">
      <alignment horizontal="left" vertical="top"/>
    </xf>
    <xf numFmtId="0" fontId="0" fillId="0" borderId="13" xfId="0" applyBorder="1" applyAlignment="1">
      <alignment horizontal="left" vertical="top"/>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8" borderId="8" xfId="0" applyFill="1" applyBorder="1" applyAlignment="1">
      <alignment horizontal="center" vertical="center"/>
    </xf>
    <xf numFmtId="0" fontId="0" fillId="8" borderId="17" xfId="0" applyFill="1" applyBorder="1" applyAlignment="1">
      <alignment horizontal="center" vertical="center"/>
    </xf>
    <xf numFmtId="0" fontId="0" fillId="8" borderId="6" xfId="0" applyFill="1" applyBorder="1" applyAlignment="1">
      <alignment horizontal="left" vertical="center"/>
    </xf>
    <xf numFmtId="0" fontId="0" fillId="8" borderId="7" xfId="0" applyFill="1" applyBorder="1" applyAlignment="1">
      <alignment horizontal="left" vertical="center"/>
    </xf>
    <xf numFmtId="0" fontId="0" fillId="0" borderId="20" xfId="0" applyBorder="1" applyAlignment="1">
      <alignment horizontal="left" vertical="top"/>
    </xf>
    <xf numFmtId="0" fontId="0" fillId="0" borderId="23" xfId="0" applyBorder="1" applyAlignment="1">
      <alignment horizontal="left" vertical="top"/>
    </xf>
    <xf numFmtId="0" fontId="0" fillId="0" borderId="21" xfId="0" applyBorder="1" applyAlignment="1">
      <alignment horizontal="left" vertical="top"/>
    </xf>
    <xf numFmtId="0" fontId="0" fillId="0" borderId="19" xfId="0" applyBorder="1" applyAlignment="1">
      <alignment horizontal="left" vertical="center"/>
    </xf>
    <xf numFmtId="0" fontId="0" fillId="8" borderId="52" xfId="0" applyFill="1" applyBorder="1" applyAlignment="1">
      <alignment horizontal="center" vertical="center"/>
    </xf>
    <xf numFmtId="0" fontId="0" fillId="8" borderId="0" xfId="0" applyFill="1" applyAlignment="1">
      <alignment horizontal="left" vertical="center"/>
    </xf>
    <xf numFmtId="0" fontId="0" fillId="5" borderId="42" xfId="0" applyFill="1" applyBorder="1" applyAlignment="1">
      <alignment horizontal="center" vertical="center"/>
    </xf>
    <xf numFmtId="0" fontId="0" fillId="5" borderId="43" xfId="0" applyFill="1" applyBorder="1" applyAlignment="1">
      <alignment horizontal="center" vertical="center"/>
    </xf>
    <xf numFmtId="0" fontId="0" fillId="5" borderId="63" xfId="0" applyFill="1" applyBorder="1" applyAlignment="1">
      <alignment horizontal="center" vertical="center"/>
    </xf>
    <xf numFmtId="0" fontId="0" fillId="6" borderId="42" xfId="0" applyFill="1" applyBorder="1" applyAlignment="1">
      <alignment horizontal="center" vertical="center"/>
    </xf>
    <xf numFmtId="0" fontId="0" fillId="6" borderId="43" xfId="0" applyFill="1" applyBorder="1" applyAlignment="1">
      <alignment horizontal="center" vertical="center"/>
    </xf>
    <xf numFmtId="0" fontId="0" fillId="6" borderId="44" xfId="0" applyFill="1" applyBorder="1" applyAlignment="1">
      <alignment horizontal="center" vertical="center"/>
    </xf>
    <xf numFmtId="49" fontId="20" fillId="0" borderId="3" xfId="3" applyNumberFormat="1" applyFont="1" applyBorder="1" applyAlignment="1">
      <alignment vertical="top"/>
    </xf>
    <xf numFmtId="49" fontId="20" fillId="0" borderId="4" xfId="3" applyNumberFormat="1" applyFont="1" applyBorder="1" applyAlignment="1">
      <alignment vertical="top"/>
    </xf>
    <xf numFmtId="49" fontId="20" fillId="0" borderId="3" xfId="5" applyNumberFormat="1" applyFont="1" applyBorder="1" applyAlignment="1">
      <alignment vertical="top"/>
    </xf>
    <xf numFmtId="49" fontId="20" fillId="0" borderId="4" xfId="5" applyNumberFormat="1" applyFont="1" applyBorder="1" applyAlignment="1">
      <alignment vertical="top"/>
    </xf>
    <xf numFmtId="49" fontId="20" fillId="0" borderId="1" xfId="5" applyNumberFormat="1" applyFont="1" applyBorder="1" applyAlignment="1">
      <alignment vertical="top"/>
    </xf>
    <xf numFmtId="0" fontId="22" fillId="3" borderId="3" xfId="1" applyFont="1" applyFill="1" applyBorder="1" applyAlignment="1">
      <alignment horizontal="center" vertical="top"/>
    </xf>
    <xf numFmtId="0" fontId="22" fillId="3" borderId="4" xfId="1" applyFont="1" applyFill="1" applyBorder="1" applyAlignment="1">
      <alignment horizontal="center" vertical="top"/>
    </xf>
    <xf numFmtId="0" fontId="22" fillId="3" borderId="1" xfId="1" applyFont="1" applyFill="1" applyBorder="1" applyAlignment="1">
      <alignment horizontal="center" vertical="top"/>
    </xf>
    <xf numFmtId="0" fontId="20" fillId="0" borderId="3" xfId="1" quotePrefix="1" applyFont="1" applyBorder="1" applyAlignment="1">
      <alignment vertical="top"/>
    </xf>
    <xf numFmtId="0" fontId="20" fillId="0" borderId="4" xfId="1" quotePrefix="1" applyFont="1" applyBorder="1" applyAlignment="1">
      <alignment vertical="top"/>
    </xf>
    <xf numFmtId="0" fontId="20" fillId="0" borderId="1" xfId="1" quotePrefix="1" applyFont="1" applyBorder="1" applyAlignment="1">
      <alignment vertical="top"/>
    </xf>
    <xf numFmtId="0" fontId="21" fillId="0" borderId="3" xfId="1" applyFont="1" applyBorder="1" applyAlignment="1">
      <alignment horizontal="center" vertical="center" wrapText="1"/>
    </xf>
    <xf numFmtId="0" fontId="21" fillId="0" borderId="4" xfId="1" applyFont="1" applyBorder="1" applyAlignment="1">
      <alignment horizontal="center" vertical="center" wrapText="1"/>
    </xf>
    <xf numFmtId="0" fontId="21" fillId="0" borderId="1" xfId="1" applyFont="1" applyBorder="1" applyAlignment="1">
      <alignment horizontal="center" vertical="center" wrapText="1"/>
    </xf>
    <xf numFmtId="14" fontId="20" fillId="0" borderId="3" xfId="1" applyNumberFormat="1" applyFont="1" applyBorder="1" applyAlignment="1">
      <alignment vertical="top"/>
    </xf>
    <xf numFmtId="14" fontId="20" fillId="0" borderId="4" xfId="1" applyNumberFormat="1" applyFont="1" applyBorder="1" applyAlignment="1">
      <alignment vertical="top"/>
    </xf>
    <xf numFmtId="14" fontId="20" fillId="0" borderId="1" xfId="1" applyNumberFormat="1" applyFont="1" applyBorder="1" applyAlignment="1">
      <alignment vertical="top"/>
    </xf>
    <xf numFmtId="0" fontId="24" fillId="3" borderId="6" xfId="1" applyFont="1" applyFill="1" applyBorder="1" applyAlignment="1">
      <alignment horizontal="center" vertical="center"/>
    </xf>
    <xf numFmtId="0" fontId="24" fillId="3" borderId="7" xfId="1" applyFont="1" applyFill="1" applyBorder="1" applyAlignment="1">
      <alignment horizontal="center" vertical="center"/>
    </xf>
    <xf numFmtId="0" fontId="24" fillId="3" borderId="8" xfId="1" applyFont="1" applyFill="1" applyBorder="1" applyAlignment="1">
      <alignment horizontal="center" vertical="center"/>
    </xf>
    <xf numFmtId="0" fontId="24" fillId="3" borderId="5" xfId="1" applyFont="1" applyFill="1" applyBorder="1" applyAlignment="1">
      <alignment horizontal="center" vertical="center"/>
    </xf>
    <xf numFmtId="0" fontId="24" fillId="3" borderId="0" xfId="1" applyFont="1" applyFill="1" applyAlignment="1">
      <alignment horizontal="center" vertical="center"/>
    </xf>
    <xf numFmtId="0" fontId="24" fillId="3" borderId="14" xfId="1" applyFont="1" applyFill="1" applyBorder="1" applyAlignment="1">
      <alignment horizontal="center" vertical="center"/>
    </xf>
    <xf numFmtId="0" fontId="24" fillId="3" borderId="9" xfId="1" applyFont="1" applyFill="1" applyBorder="1" applyAlignment="1">
      <alignment horizontal="center" vertical="center"/>
    </xf>
    <xf numFmtId="0" fontId="24" fillId="3" borderId="10" xfId="1" applyFont="1" applyFill="1" applyBorder="1" applyAlignment="1">
      <alignment horizontal="center" vertical="center"/>
    </xf>
    <xf numFmtId="0" fontId="24" fillId="3" borderId="11" xfId="1" applyFont="1" applyFill="1" applyBorder="1" applyAlignment="1">
      <alignment horizontal="center" vertical="center"/>
    </xf>
    <xf numFmtId="0" fontId="22" fillId="3" borderId="12" xfId="2" applyFont="1" applyFill="1" applyBorder="1" applyAlignment="1">
      <alignment horizontal="center" vertical="center"/>
    </xf>
    <xf numFmtId="0" fontId="22" fillId="3" borderId="13" xfId="2" applyFont="1" applyFill="1" applyBorder="1" applyAlignment="1">
      <alignment horizontal="center" vertical="center"/>
    </xf>
    <xf numFmtId="0" fontId="22" fillId="3" borderId="6" xfId="2" applyFont="1" applyFill="1" applyBorder="1" applyAlignment="1">
      <alignment horizontal="center" vertical="center"/>
    </xf>
    <xf numFmtId="0" fontId="22" fillId="3" borderId="7" xfId="2" applyFont="1" applyFill="1" applyBorder="1" applyAlignment="1">
      <alignment horizontal="center" vertical="center"/>
    </xf>
    <xf numFmtId="0" fontId="22" fillId="3" borderId="8" xfId="2" applyFont="1" applyFill="1" applyBorder="1" applyAlignment="1">
      <alignment horizontal="center" vertical="center"/>
    </xf>
    <xf numFmtId="0" fontId="22" fillId="3" borderId="9" xfId="2" applyFont="1" applyFill="1" applyBorder="1" applyAlignment="1">
      <alignment horizontal="center" vertical="center"/>
    </xf>
    <xf numFmtId="0" fontId="22" fillId="3" borderId="10" xfId="2" applyFont="1" applyFill="1" applyBorder="1" applyAlignment="1">
      <alignment horizontal="center" vertical="center"/>
    </xf>
    <xf numFmtId="0" fontId="22" fillId="3" borderId="11" xfId="2" applyFont="1" applyFill="1" applyBorder="1" applyAlignment="1">
      <alignment horizontal="center" vertical="center"/>
    </xf>
    <xf numFmtId="0" fontId="22" fillId="3" borderId="12" xfId="2" applyFont="1" applyFill="1" applyBorder="1" applyAlignment="1">
      <alignment horizontal="center" vertical="center" shrinkToFit="1"/>
    </xf>
    <xf numFmtId="0" fontId="22" fillId="3" borderId="13" xfId="2" applyFont="1" applyFill="1" applyBorder="1" applyAlignment="1">
      <alignment horizontal="center" vertical="center" shrinkToFit="1"/>
    </xf>
    <xf numFmtId="0" fontId="22" fillId="3" borderId="3" xfId="2" applyFont="1" applyFill="1" applyBorder="1" applyAlignment="1">
      <alignment horizontal="center" vertical="center" shrinkToFit="1"/>
    </xf>
    <xf numFmtId="0" fontId="22" fillId="3" borderId="4" xfId="2" applyFont="1" applyFill="1" applyBorder="1" applyAlignment="1">
      <alignment horizontal="center" vertical="center" shrinkToFit="1"/>
    </xf>
    <xf numFmtId="0" fontId="22" fillId="3" borderId="1" xfId="2" applyFont="1" applyFill="1" applyBorder="1" applyAlignment="1">
      <alignment horizontal="center" vertical="center" shrinkToFit="1"/>
    </xf>
    <xf numFmtId="0" fontId="22" fillId="3" borderId="6" xfId="2" applyFont="1" applyFill="1" applyBorder="1" applyAlignment="1">
      <alignment vertical="top"/>
    </xf>
    <xf numFmtId="0" fontId="22" fillId="3" borderId="7" xfId="2" applyFont="1" applyFill="1" applyBorder="1" applyAlignment="1">
      <alignment vertical="top"/>
    </xf>
    <xf numFmtId="0" fontId="22" fillId="3" borderId="8" xfId="2" applyFont="1" applyFill="1" applyBorder="1" applyAlignment="1">
      <alignment vertical="top"/>
    </xf>
    <xf numFmtId="0" fontId="22" fillId="3" borderId="9" xfId="2" applyFont="1" applyFill="1" applyBorder="1" applyAlignment="1">
      <alignment vertical="top"/>
    </xf>
    <xf numFmtId="0" fontId="22" fillId="3" borderId="10" xfId="2" applyFont="1" applyFill="1" applyBorder="1" applyAlignment="1">
      <alignment vertical="top"/>
    </xf>
    <xf numFmtId="0" fontId="22" fillId="3" borderId="11" xfId="2" applyFont="1" applyFill="1" applyBorder="1" applyAlignment="1">
      <alignment vertical="top"/>
    </xf>
    <xf numFmtId="0" fontId="22" fillId="3" borderId="12" xfId="2" applyFont="1" applyFill="1" applyBorder="1" applyAlignment="1">
      <alignment horizontal="center" vertical="center" textRotation="255" shrinkToFit="1"/>
    </xf>
    <xf numFmtId="0" fontId="22" fillId="3" borderId="13" xfId="2" applyFont="1" applyFill="1" applyBorder="1" applyAlignment="1">
      <alignment horizontal="center" vertical="center" textRotation="255" shrinkToFit="1"/>
    </xf>
    <xf numFmtId="49" fontId="20" fillId="0" borderId="1" xfId="3" applyNumberFormat="1" applyFont="1" applyBorder="1" applyAlignment="1">
      <alignment vertical="top"/>
    </xf>
    <xf numFmtId="49" fontId="20" fillId="15" borderId="3" xfId="3" applyNumberFormat="1" applyFont="1" applyFill="1" applyBorder="1" applyAlignment="1">
      <alignment vertical="top"/>
    </xf>
    <xf numFmtId="49" fontId="20" fillId="15" borderId="4" xfId="3" applyNumberFormat="1" applyFont="1" applyFill="1" applyBorder="1" applyAlignment="1">
      <alignment vertical="top"/>
    </xf>
    <xf numFmtId="49" fontId="20" fillId="15" borderId="3" xfId="5" applyNumberFormat="1" applyFont="1" applyFill="1" applyBorder="1" applyAlignment="1">
      <alignment vertical="top"/>
    </xf>
    <xf numFmtId="49" fontId="20" fillId="15" borderId="4" xfId="5" applyNumberFormat="1" applyFont="1" applyFill="1" applyBorder="1" applyAlignment="1">
      <alignment vertical="top"/>
    </xf>
    <xf numFmtId="49" fontId="20" fillId="15" borderId="1" xfId="5" applyNumberFormat="1" applyFont="1" applyFill="1" applyBorder="1" applyAlignment="1">
      <alignment vertical="top"/>
    </xf>
    <xf numFmtId="49" fontId="20" fillId="0" borderId="9" xfId="3" applyNumberFormat="1" applyFont="1" applyBorder="1" applyAlignment="1">
      <alignment vertical="top"/>
    </xf>
    <xf numFmtId="49" fontId="20" fillId="0" borderId="10" xfId="3" applyNumberFormat="1" applyFont="1" applyBorder="1" applyAlignment="1">
      <alignment vertical="top"/>
    </xf>
    <xf numFmtId="49" fontId="20" fillId="0" borderId="9" xfId="5" applyNumberFormat="1" applyFont="1" applyBorder="1" applyAlignment="1">
      <alignment vertical="top"/>
    </xf>
    <xf numFmtId="49" fontId="20" fillId="0" borderId="10" xfId="5" applyNumberFormat="1" applyFont="1" applyBorder="1" applyAlignment="1">
      <alignment vertical="top"/>
    </xf>
    <xf numFmtId="49" fontId="20" fillId="0" borderId="11" xfId="5" applyNumberFormat="1" applyFont="1" applyBorder="1" applyAlignment="1">
      <alignment vertical="top"/>
    </xf>
    <xf numFmtId="49" fontId="20" fillId="0" borderId="6" xfId="3" applyNumberFormat="1" applyFont="1" applyBorder="1" applyAlignment="1">
      <alignment vertical="top"/>
    </xf>
    <xf numFmtId="49" fontId="20" fillId="0" borderId="7" xfId="3" applyNumberFormat="1" applyFont="1" applyBorder="1" applyAlignment="1">
      <alignment vertical="top"/>
    </xf>
    <xf numFmtId="49" fontId="20" fillId="0" borderId="6" xfId="5" applyNumberFormat="1" applyFont="1" applyBorder="1" applyAlignment="1">
      <alignment vertical="top"/>
    </xf>
    <xf numFmtId="49" fontId="20" fillId="0" borderId="7" xfId="5" applyNumberFormat="1" applyFont="1" applyBorder="1" applyAlignment="1">
      <alignment vertical="top"/>
    </xf>
    <xf numFmtId="49" fontId="20" fillId="0" borderId="8" xfId="5" applyNumberFormat="1" applyFont="1" applyBorder="1" applyAlignment="1">
      <alignment vertical="top"/>
    </xf>
    <xf numFmtId="49" fontId="20" fillId="4" borderId="3" xfId="5" applyNumberFormat="1" applyFont="1" applyFill="1" applyBorder="1" applyAlignment="1">
      <alignment vertical="top"/>
    </xf>
    <xf numFmtId="49" fontId="20" fillId="4" borderId="4" xfId="5" applyNumberFormat="1" applyFont="1" applyFill="1" applyBorder="1" applyAlignment="1">
      <alignment vertical="top"/>
    </xf>
    <xf numFmtId="49" fontId="20" fillId="4" borderId="1" xfId="5" applyNumberFormat="1" applyFont="1" applyFill="1" applyBorder="1" applyAlignment="1">
      <alignment vertical="top"/>
    </xf>
    <xf numFmtId="49" fontId="20" fillId="13" borderId="3" xfId="3" applyNumberFormat="1" applyFont="1" applyFill="1" applyBorder="1" applyAlignment="1">
      <alignment vertical="top"/>
    </xf>
    <xf numFmtId="49" fontId="20" fillId="13" borderId="1" xfId="3" applyNumberFormat="1" applyFont="1" applyFill="1" applyBorder="1" applyAlignment="1">
      <alignment vertical="top"/>
    </xf>
    <xf numFmtId="49" fontId="20" fillId="13" borderId="3" xfId="5" applyNumberFormat="1" applyFont="1" applyFill="1" applyBorder="1" applyAlignment="1">
      <alignment vertical="top"/>
    </xf>
    <xf numFmtId="49" fontId="20" fillId="13" borderId="4" xfId="5" applyNumberFormat="1" applyFont="1" applyFill="1" applyBorder="1" applyAlignment="1">
      <alignment vertical="top"/>
    </xf>
    <xf numFmtId="49" fontId="20" fillId="13" borderId="1" xfId="5" applyNumberFormat="1" applyFont="1" applyFill="1" applyBorder="1" applyAlignment="1">
      <alignment vertical="top"/>
    </xf>
    <xf numFmtId="49" fontId="14" fillId="13" borderId="3" xfId="5" applyNumberFormat="1" applyFont="1" applyFill="1" applyBorder="1" applyAlignment="1">
      <alignment vertical="top"/>
    </xf>
    <xf numFmtId="49" fontId="14" fillId="13" borderId="4" xfId="5" applyNumberFormat="1" applyFont="1" applyFill="1" applyBorder="1" applyAlignment="1">
      <alignment vertical="top"/>
    </xf>
    <xf numFmtId="49" fontId="14" fillId="13" borderId="1" xfId="5" applyNumberFormat="1" applyFont="1" applyFill="1" applyBorder="1" applyAlignment="1">
      <alignment vertical="top"/>
    </xf>
    <xf numFmtId="49" fontId="14" fillId="13" borderId="3" xfId="3" applyNumberFormat="1" applyFont="1" applyFill="1" applyBorder="1" applyAlignment="1">
      <alignment vertical="top"/>
    </xf>
    <xf numFmtId="49" fontId="14" fillId="13" borderId="1" xfId="3" applyNumberFormat="1" applyFont="1" applyFill="1" applyBorder="1" applyAlignment="1">
      <alignment vertical="top"/>
    </xf>
    <xf numFmtId="49" fontId="14" fillId="0" borderId="3" xfId="3" applyNumberFormat="1" applyFont="1" applyBorder="1" applyAlignment="1">
      <alignment vertical="top"/>
    </xf>
    <xf numFmtId="49" fontId="14" fillId="0" borderId="1" xfId="3" applyNumberFormat="1" applyFont="1" applyBorder="1" applyAlignment="1">
      <alignment vertical="top"/>
    </xf>
    <xf numFmtId="49" fontId="14" fillId="0" borderId="3" xfId="5" applyNumberFormat="1" applyFont="1" applyBorder="1" applyAlignment="1">
      <alignment vertical="top"/>
    </xf>
    <xf numFmtId="49" fontId="14" fillId="0" borderId="4" xfId="5" applyNumberFormat="1" applyFont="1" applyBorder="1" applyAlignment="1">
      <alignment vertical="top"/>
    </xf>
    <xf numFmtId="49" fontId="14" fillId="0" borderId="1" xfId="5" applyNumberFormat="1" applyFont="1" applyBorder="1" applyAlignment="1">
      <alignment vertical="top"/>
    </xf>
    <xf numFmtId="49" fontId="20" fillId="0" borderId="5" xfId="3" applyNumberFormat="1" applyFont="1" applyBorder="1" applyAlignment="1">
      <alignment vertical="top"/>
    </xf>
    <xf numFmtId="49" fontId="20" fillId="0" borderId="0" xfId="3" applyNumberFormat="1" applyFont="1" applyAlignment="1">
      <alignment vertical="top"/>
    </xf>
    <xf numFmtId="49" fontId="20" fillId="0" borderId="5" xfId="5" applyNumberFormat="1" applyFont="1" applyBorder="1" applyAlignment="1">
      <alignment vertical="top"/>
    </xf>
    <xf numFmtId="49" fontId="20" fillId="0" borderId="0" xfId="5" applyNumberFormat="1" applyFont="1" applyAlignment="1">
      <alignment vertical="top"/>
    </xf>
    <xf numFmtId="49" fontId="20" fillId="0" borderId="14" xfId="5" applyNumberFormat="1" applyFont="1" applyBorder="1" applyAlignment="1">
      <alignment vertical="top"/>
    </xf>
    <xf numFmtId="49" fontId="20" fillId="0" borderId="8" xfId="3" applyNumberFormat="1" applyFont="1" applyBorder="1" applyAlignment="1">
      <alignment vertical="top"/>
    </xf>
    <xf numFmtId="49" fontId="20" fillId="0" borderId="11" xfId="3" applyNumberFormat="1" applyFont="1" applyBorder="1" applyAlignment="1">
      <alignment vertical="top"/>
    </xf>
    <xf numFmtId="49" fontId="20" fillId="4" borderId="3" xfId="3" applyNumberFormat="1" applyFont="1" applyFill="1" applyBorder="1" applyAlignment="1">
      <alignment vertical="top"/>
    </xf>
    <xf numFmtId="49" fontId="20" fillId="4" borderId="4" xfId="3" applyNumberFormat="1" applyFont="1" applyFill="1" applyBorder="1" applyAlignment="1">
      <alignment vertical="top"/>
    </xf>
    <xf numFmtId="49" fontId="20" fillId="15" borderId="1" xfId="3" applyNumberFormat="1" applyFont="1" applyFill="1" applyBorder="1" applyAlignment="1">
      <alignment vertical="top"/>
    </xf>
    <xf numFmtId="49" fontId="20" fillId="13" borderId="4" xfId="3" applyNumberFormat="1" applyFont="1" applyFill="1" applyBorder="1" applyAlignment="1">
      <alignment vertical="top"/>
    </xf>
    <xf numFmtId="49" fontId="20" fillId="16" borderId="3" xfId="5" applyNumberFormat="1" applyFont="1" applyFill="1" applyBorder="1" applyAlignment="1">
      <alignment vertical="top"/>
    </xf>
    <xf numFmtId="49" fontId="20" fillId="16" borderId="4" xfId="5" applyNumberFormat="1" applyFont="1" applyFill="1" applyBorder="1" applyAlignment="1">
      <alignment vertical="top"/>
    </xf>
    <xf numFmtId="49" fontId="20" fillId="16" borderId="1" xfId="5" applyNumberFormat="1" applyFont="1" applyFill="1" applyBorder="1" applyAlignment="1">
      <alignment vertical="top"/>
    </xf>
    <xf numFmtId="49" fontId="20" fillId="4" borderId="6" xfId="3" applyNumberFormat="1" applyFont="1" applyFill="1" applyBorder="1" applyAlignment="1">
      <alignment vertical="top"/>
    </xf>
    <xf numFmtId="49" fontId="20" fillId="4" borderId="7" xfId="3" applyNumberFormat="1" applyFont="1" applyFill="1" applyBorder="1" applyAlignment="1">
      <alignment vertical="top"/>
    </xf>
    <xf numFmtId="49" fontId="20" fillId="4" borderId="6" xfId="5" applyNumberFormat="1" applyFont="1" applyFill="1" applyBorder="1" applyAlignment="1">
      <alignment vertical="top"/>
    </xf>
    <xf numFmtId="49" fontId="20" fillId="4" borderId="7" xfId="5" applyNumberFormat="1" applyFont="1" applyFill="1" applyBorder="1" applyAlignment="1">
      <alignment vertical="top"/>
    </xf>
    <xf numFmtId="49" fontId="20" fillId="4" borderId="8" xfId="5" applyNumberFormat="1" applyFont="1" applyFill="1" applyBorder="1" applyAlignment="1">
      <alignment vertical="top"/>
    </xf>
    <xf numFmtId="49" fontId="20" fillId="4" borderId="1" xfId="3" applyNumberFormat="1" applyFont="1" applyFill="1" applyBorder="1" applyAlignment="1">
      <alignment vertical="top"/>
    </xf>
    <xf numFmtId="49" fontId="20" fillId="16" borderId="3" xfId="3" applyNumberFormat="1" applyFont="1" applyFill="1" applyBorder="1" applyAlignment="1">
      <alignment vertical="top"/>
    </xf>
    <xf numFmtId="49" fontId="20" fillId="16" borderId="1" xfId="3" applyNumberFormat="1" applyFont="1" applyFill="1" applyBorder="1" applyAlignment="1">
      <alignment vertical="top"/>
    </xf>
    <xf numFmtId="49" fontId="20" fillId="16" borderId="4" xfId="3" applyNumberFormat="1" applyFont="1" applyFill="1" applyBorder="1" applyAlignment="1">
      <alignment vertical="top"/>
    </xf>
    <xf numFmtId="49" fontId="20" fillId="4" borderId="8" xfId="3" applyNumberFormat="1" applyFont="1" applyFill="1" applyBorder="1" applyAlignment="1">
      <alignment vertical="top"/>
    </xf>
    <xf numFmtId="49" fontId="20" fillId="15" borderId="6" xfId="3" applyNumberFormat="1" applyFont="1" applyFill="1" applyBorder="1" applyAlignment="1">
      <alignment vertical="top"/>
    </xf>
    <xf numFmtId="49" fontId="20" fillId="15" borderId="8" xfId="3" applyNumberFormat="1" applyFont="1" applyFill="1" applyBorder="1" applyAlignment="1">
      <alignment vertical="top"/>
    </xf>
    <xf numFmtId="49" fontId="20" fillId="15" borderId="6" xfId="5" applyNumberFormat="1" applyFont="1" applyFill="1" applyBorder="1" applyAlignment="1">
      <alignment vertical="top"/>
    </xf>
    <xf numFmtId="49" fontId="20" fillId="15" borderId="7" xfId="5" applyNumberFormat="1" applyFont="1" applyFill="1" applyBorder="1" applyAlignment="1">
      <alignment vertical="top"/>
    </xf>
    <xf numFmtId="49" fontId="20" fillId="15" borderId="8" xfId="5" applyNumberFormat="1" applyFont="1" applyFill="1" applyBorder="1" applyAlignment="1">
      <alignment vertical="top"/>
    </xf>
  </cellXfs>
  <cellStyles count="9">
    <cellStyle name="ハイパーリンク 2" xfId="8"/>
    <cellStyle name="標準" xfId="0" builtinId="0"/>
    <cellStyle name="標準 2" xfId="1"/>
    <cellStyle name="標準 3" xfId="6"/>
    <cellStyle name="標準 4 2" xfId="7"/>
    <cellStyle name="標準_01_ｼｽﾃﾑﾏｽﾀ(MSSYS)" xfId="4"/>
    <cellStyle name="標準_Sheet1" xfId="2"/>
    <cellStyle name="標準_コピー ～ テーブル項目説明書" xfId="3"/>
    <cellStyle name="標準_テーブルレイアウトひな型" xfId="5"/>
  </cellStyles>
  <dxfs count="0"/>
  <tableStyles count="0" defaultTableStyle="TableStyleMedium2" defaultPivotStyle="PivotStyleLight16"/>
  <colors>
    <mruColors>
      <color rgb="FFFFCCFF"/>
      <color rgb="FF0066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0</xdr:rowOff>
    </xdr:from>
    <xdr:to>
      <xdr:col>10</xdr:col>
      <xdr:colOff>297180</xdr:colOff>
      <xdr:row>5</xdr:row>
      <xdr:rowOff>174240</xdr:rowOff>
    </xdr:to>
    <xdr:sp macro="[0]!AddFooterToAll" textlink="">
      <xdr:nvSpPr>
        <xdr:cNvPr id="2" name="額縁 1">
          <a:extLst>
            <a:ext uri="{FF2B5EF4-FFF2-40B4-BE49-F238E27FC236}">
              <a16:creationId xmlns:a16="http://schemas.microsoft.com/office/drawing/2014/main" id="{00000000-0008-0000-0100-000002000000}"/>
            </a:ext>
          </a:extLst>
        </xdr:cNvPr>
        <xdr:cNvSpPr/>
      </xdr:nvSpPr>
      <xdr:spPr>
        <a:xfrm>
          <a:off x="609600" y="601980"/>
          <a:ext cx="2735580" cy="540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400">
              <a:latin typeface="Meiryo UI" panose="020B0604030504040204" pitchFamily="50" charset="-128"/>
              <a:ea typeface="Meiryo UI" panose="020B0604030504040204" pitchFamily="50" charset="-128"/>
            </a:rPr>
            <a:t>フッター　シート名設定</a:t>
          </a:r>
        </a:p>
      </xdr:txBody>
    </xdr:sp>
    <xdr:clientData/>
  </xdr:twoCellAnchor>
  <xdr:twoCellAnchor>
    <xdr:from>
      <xdr:col>2</xdr:col>
      <xdr:colOff>0</xdr:colOff>
      <xdr:row>8</xdr:row>
      <xdr:rowOff>0</xdr:rowOff>
    </xdr:from>
    <xdr:to>
      <xdr:col>10</xdr:col>
      <xdr:colOff>297180</xdr:colOff>
      <xdr:row>10</xdr:row>
      <xdr:rowOff>174240</xdr:rowOff>
    </xdr:to>
    <xdr:sp macro="[0]!項目集計" textlink="">
      <xdr:nvSpPr>
        <xdr:cNvPr id="3" name="額縁 2">
          <a:extLst>
            <a:ext uri="{FF2B5EF4-FFF2-40B4-BE49-F238E27FC236}">
              <a16:creationId xmlns:a16="http://schemas.microsoft.com/office/drawing/2014/main" id="{00000000-0008-0000-0100-000003000000}"/>
            </a:ext>
          </a:extLst>
        </xdr:cNvPr>
        <xdr:cNvSpPr/>
      </xdr:nvSpPr>
      <xdr:spPr>
        <a:xfrm>
          <a:off x="609600" y="1516380"/>
          <a:ext cx="2735580" cy="540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400">
              <a:latin typeface="Meiryo UI" panose="020B0604030504040204" pitchFamily="50" charset="-128"/>
              <a:ea typeface="Meiryo UI" panose="020B0604030504040204" pitchFamily="50" charset="-128"/>
            </a:rPr>
            <a:t>項目一覧　集計</a:t>
          </a:r>
        </a:p>
      </xdr:txBody>
    </xdr:sp>
    <xdr:clientData/>
  </xdr:twoCellAnchor>
  <xdr:twoCellAnchor>
    <xdr:from>
      <xdr:col>2</xdr:col>
      <xdr:colOff>0</xdr:colOff>
      <xdr:row>13</xdr:row>
      <xdr:rowOff>0</xdr:rowOff>
    </xdr:from>
    <xdr:to>
      <xdr:col>10</xdr:col>
      <xdr:colOff>297180</xdr:colOff>
      <xdr:row>15</xdr:row>
      <xdr:rowOff>174240</xdr:rowOff>
    </xdr:to>
    <xdr:sp macro="[0]!項目別編集" textlink="">
      <xdr:nvSpPr>
        <xdr:cNvPr id="4" name="額縁 3">
          <a:extLst>
            <a:ext uri="{FF2B5EF4-FFF2-40B4-BE49-F238E27FC236}">
              <a16:creationId xmlns:a16="http://schemas.microsoft.com/office/drawing/2014/main" id="{00000000-0008-0000-0100-000004000000}"/>
            </a:ext>
          </a:extLst>
        </xdr:cNvPr>
        <xdr:cNvSpPr/>
      </xdr:nvSpPr>
      <xdr:spPr>
        <a:xfrm>
          <a:off x="609600" y="2430780"/>
          <a:ext cx="2735580" cy="540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400">
              <a:latin typeface="Meiryo UI" panose="020B0604030504040204" pitchFamily="50" charset="-128"/>
              <a:ea typeface="Meiryo UI" panose="020B0604030504040204" pitchFamily="50" charset="-128"/>
            </a:rPr>
            <a:t>項目一覧 </a:t>
          </a:r>
          <a:r>
            <a:rPr kumimoji="1" lang="en-US" altLang="ja-JP" sz="1400">
              <a:latin typeface="Meiryo UI" panose="020B0604030504040204" pitchFamily="50" charset="-128"/>
              <a:ea typeface="Meiryo UI" panose="020B0604030504040204" pitchFamily="50" charset="-128"/>
            </a:rPr>
            <a:t>(</a:t>
          </a:r>
          <a:r>
            <a:rPr kumimoji="1" lang="ja-JP" altLang="en-US" sz="1400">
              <a:latin typeface="Meiryo UI" panose="020B0604030504040204" pitchFamily="50" charset="-128"/>
              <a:ea typeface="Meiryo UI" panose="020B0604030504040204" pitchFamily="50" charset="-128"/>
            </a:rPr>
            <a:t>項目別</a:t>
          </a:r>
          <a:r>
            <a:rPr kumimoji="1" lang="en-US" altLang="ja-JP" sz="1400">
              <a:latin typeface="Meiryo UI" panose="020B0604030504040204" pitchFamily="50" charset="-128"/>
              <a:ea typeface="Meiryo UI" panose="020B0604030504040204" pitchFamily="50" charset="-128"/>
            </a:rPr>
            <a:t>)</a:t>
          </a:r>
          <a:r>
            <a:rPr kumimoji="1" lang="ja-JP" altLang="en-US" sz="1400">
              <a:latin typeface="Meiryo UI" panose="020B0604030504040204" pitchFamily="50" charset="-128"/>
              <a:ea typeface="Meiryo UI" panose="020B0604030504040204" pitchFamily="50" charset="-128"/>
            </a:rPr>
            <a:t>　ソート</a:t>
          </a:r>
        </a:p>
      </xdr:txBody>
    </xdr:sp>
    <xdr:clientData/>
  </xdr:twoCellAnchor>
  <xdr:twoCellAnchor>
    <xdr:from>
      <xdr:col>2</xdr:col>
      <xdr:colOff>0</xdr:colOff>
      <xdr:row>18</xdr:row>
      <xdr:rowOff>0</xdr:rowOff>
    </xdr:from>
    <xdr:to>
      <xdr:col>10</xdr:col>
      <xdr:colOff>297180</xdr:colOff>
      <xdr:row>20</xdr:row>
      <xdr:rowOff>174240</xdr:rowOff>
    </xdr:to>
    <xdr:sp macro="[0]!項目展開" textlink="">
      <xdr:nvSpPr>
        <xdr:cNvPr id="5" name="額縁 4">
          <a:extLst>
            <a:ext uri="{FF2B5EF4-FFF2-40B4-BE49-F238E27FC236}">
              <a16:creationId xmlns:a16="http://schemas.microsoft.com/office/drawing/2014/main" id="{00000000-0008-0000-0100-000005000000}"/>
            </a:ext>
          </a:extLst>
        </xdr:cNvPr>
        <xdr:cNvSpPr/>
      </xdr:nvSpPr>
      <xdr:spPr>
        <a:xfrm>
          <a:off x="609600" y="3345180"/>
          <a:ext cx="2735580" cy="540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400">
              <a:latin typeface="Meiryo UI" panose="020B0604030504040204" pitchFamily="50" charset="-128"/>
              <a:ea typeface="Meiryo UI" panose="020B0604030504040204" pitchFamily="50" charset="-128"/>
            </a:rPr>
            <a:t>項目値修正　反映</a:t>
          </a:r>
        </a:p>
      </xdr:txBody>
    </xdr:sp>
    <xdr:clientData/>
  </xdr:twoCellAnchor>
  <xdr:twoCellAnchor>
    <xdr:from>
      <xdr:col>2</xdr:col>
      <xdr:colOff>0</xdr:colOff>
      <xdr:row>23</xdr:row>
      <xdr:rowOff>0</xdr:rowOff>
    </xdr:from>
    <xdr:to>
      <xdr:col>10</xdr:col>
      <xdr:colOff>297180</xdr:colOff>
      <xdr:row>25</xdr:row>
      <xdr:rowOff>174240</xdr:rowOff>
    </xdr:to>
    <xdr:sp macro="[0]!テーブル作成SQL出力" textlink="">
      <xdr:nvSpPr>
        <xdr:cNvPr id="6" name="額縁 5">
          <a:extLst>
            <a:ext uri="{FF2B5EF4-FFF2-40B4-BE49-F238E27FC236}">
              <a16:creationId xmlns:a16="http://schemas.microsoft.com/office/drawing/2014/main" id="{00000000-0008-0000-0100-000006000000}"/>
            </a:ext>
          </a:extLst>
        </xdr:cNvPr>
        <xdr:cNvSpPr/>
      </xdr:nvSpPr>
      <xdr:spPr>
        <a:xfrm>
          <a:off x="609600" y="4259580"/>
          <a:ext cx="2735580" cy="540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400">
              <a:latin typeface="Meiryo UI" panose="020B0604030504040204" pitchFamily="50" charset="-128"/>
              <a:ea typeface="Meiryo UI" panose="020B0604030504040204" pitchFamily="50" charset="-128"/>
            </a:rPr>
            <a:t>テーブル</a:t>
          </a:r>
          <a:r>
            <a:rPr kumimoji="1" lang="en-US" altLang="ja-JP" sz="1400">
              <a:latin typeface="Meiryo UI" panose="020B0604030504040204" pitchFamily="50" charset="-128"/>
              <a:ea typeface="Meiryo UI" panose="020B0604030504040204" pitchFamily="50" charset="-128"/>
            </a:rPr>
            <a:t>SQL</a:t>
          </a:r>
          <a:r>
            <a:rPr kumimoji="1" lang="ja-JP" altLang="en-US" sz="1400">
              <a:latin typeface="Meiryo UI" panose="020B0604030504040204" pitchFamily="50" charset="-128"/>
              <a:ea typeface="Meiryo UI" panose="020B0604030504040204" pitchFamily="50" charset="-128"/>
            </a:rPr>
            <a:t>作成</a:t>
          </a:r>
        </a:p>
      </xdr:txBody>
    </xdr:sp>
    <xdr:clientData/>
  </xdr:twoCellAnchor>
  <mc:AlternateContent xmlns:mc="http://schemas.openxmlformats.org/markup-compatibility/2006">
    <mc:Choice xmlns:a14="http://schemas.microsoft.com/office/drawing/2010/main" Requires="a14">
      <xdr:twoCellAnchor editAs="oneCell">
        <xdr:from>
          <xdr:col>13</xdr:col>
          <xdr:colOff>68580</xdr:colOff>
          <xdr:row>24</xdr:row>
          <xdr:rowOff>0</xdr:rowOff>
        </xdr:from>
        <xdr:to>
          <xdr:col>16</xdr:col>
          <xdr:colOff>114300</xdr:colOff>
          <xdr:row>25</xdr:row>
          <xdr:rowOff>15240</xdr:rowOff>
        </xdr:to>
        <xdr:sp macro="" textlink="">
          <xdr:nvSpPr>
            <xdr:cNvPr id="497665" name="CheckBox1" hidden="1">
              <a:extLst>
                <a:ext uri="{63B3BB69-23CF-44E3-9099-C40C66FF867C}">
                  <a14:compatExt spid="_x0000_s497665"/>
                </a:ext>
                <a:ext uri="{FF2B5EF4-FFF2-40B4-BE49-F238E27FC236}">
                  <a16:creationId xmlns:a16="http://schemas.microsoft.com/office/drawing/2014/main" id="{00000000-0008-0000-0100-0000019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26</xdr:row>
      <xdr:rowOff>30480</xdr:rowOff>
    </xdr:from>
    <xdr:to>
      <xdr:col>1</xdr:col>
      <xdr:colOff>1120140</xdr:colOff>
      <xdr:row>32</xdr:row>
      <xdr:rowOff>0</xdr:rowOff>
    </xdr:to>
    <xdr:sp macro="" textlink="">
      <xdr:nvSpPr>
        <xdr:cNvPr id="2" name="角丸四角形 1">
          <a:extLst>
            <a:ext uri="{FF2B5EF4-FFF2-40B4-BE49-F238E27FC236}">
              <a16:creationId xmlns:a16="http://schemas.microsoft.com/office/drawing/2014/main" id="{00000000-0008-0000-0300-000002000000}"/>
            </a:ext>
          </a:extLst>
        </xdr:cNvPr>
        <xdr:cNvSpPr/>
      </xdr:nvSpPr>
      <xdr:spPr>
        <a:xfrm>
          <a:off x="220980" y="6263640"/>
          <a:ext cx="1120140" cy="130302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精査が必要</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34</xdr:row>
      <xdr:rowOff>30480</xdr:rowOff>
    </xdr:from>
    <xdr:to>
      <xdr:col>1</xdr:col>
      <xdr:colOff>1120140</xdr:colOff>
      <xdr:row>41</xdr:row>
      <xdr:rowOff>53340</xdr:rowOff>
    </xdr:to>
    <xdr:sp macro="" textlink="">
      <xdr:nvSpPr>
        <xdr:cNvPr id="2" name="角丸四角形 1">
          <a:extLst>
            <a:ext uri="{FF2B5EF4-FFF2-40B4-BE49-F238E27FC236}">
              <a16:creationId xmlns:a16="http://schemas.microsoft.com/office/drawing/2014/main" id="{00000000-0008-0000-0400-000002000000}"/>
            </a:ext>
          </a:extLst>
        </xdr:cNvPr>
        <xdr:cNvSpPr/>
      </xdr:nvSpPr>
      <xdr:spPr>
        <a:xfrm>
          <a:off x="220980" y="6271260"/>
          <a:ext cx="1120140" cy="130302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精査が必要</a:t>
          </a:r>
        </a:p>
      </xdr:txBody>
    </xdr:sp>
    <xdr:clientData/>
  </xdr:twoCellAnchor>
  <xdr:twoCellAnchor>
    <xdr:from>
      <xdr:col>1</xdr:col>
      <xdr:colOff>206086</xdr:colOff>
      <xdr:row>5</xdr:row>
      <xdr:rowOff>46760</xdr:rowOff>
    </xdr:from>
    <xdr:to>
      <xdr:col>18</xdr:col>
      <xdr:colOff>784760</xdr:colOff>
      <xdr:row>61</xdr:row>
      <xdr:rowOff>29936</xdr:rowOff>
    </xdr:to>
    <xdr:sp macro="" textlink="">
      <xdr:nvSpPr>
        <xdr:cNvPr id="3" name="角丸四角形 2">
          <a:extLst>
            <a:ext uri="{FF2B5EF4-FFF2-40B4-BE49-F238E27FC236}">
              <a16:creationId xmlns:a16="http://schemas.microsoft.com/office/drawing/2014/main" id="{00000000-0008-0000-0400-000003000000}"/>
            </a:ext>
          </a:extLst>
        </xdr:cNvPr>
        <xdr:cNvSpPr/>
      </xdr:nvSpPr>
      <xdr:spPr>
        <a:xfrm>
          <a:off x="427759" y="988869"/>
          <a:ext cx="16760783" cy="1006928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600">
              <a:solidFill>
                <a:sysClr val="windowText" lastClr="000000"/>
              </a:solidFill>
            </a:rPr>
            <a:t>検討中</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35</xdr:row>
      <xdr:rowOff>30480</xdr:rowOff>
    </xdr:from>
    <xdr:to>
      <xdr:col>1</xdr:col>
      <xdr:colOff>1120140</xdr:colOff>
      <xdr:row>42</xdr:row>
      <xdr:rowOff>53340</xdr:rowOff>
    </xdr:to>
    <xdr:sp macro="" textlink="">
      <xdr:nvSpPr>
        <xdr:cNvPr id="2" name="角丸四角形 1">
          <a:extLst>
            <a:ext uri="{FF2B5EF4-FFF2-40B4-BE49-F238E27FC236}">
              <a16:creationId xmlns:a16="http://schemas.microsoft.com/office/drawing/2014/main" id="{00000000-0008-0000-0500-000002000000}"/>
            </a:ext>
          </a:extLst>
        </xdr:cNvPr>
        <xdr:cNvSpPr/>
      </xdr:nvSpPr>
      <xdr:spPr>
        <a:xfrm>
          <a:off x="220980" y="7002780"/>
          <a:ext cx="1120140" cy="130302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精査が必要</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45</xdr:col>
      <xdr:colOff>30480</xdr:colOff>
      <xdr:row>10</xdr:row>
      <xdr:rowOff>0</xdr:rowOff>
    </xdr:from>
    <xdr:to>
      <xdr:col>54</xdr:col>
      <xdr:colOff>7620</xdr:colOff>
      <xdr:row>12</xdr:row>
      <xdr:rowOff>0</xdr:rowOff>
    </xdr:to>
    <xdr:sp macro="" textlink="">
      <xdr:nvSpPr>
        <xdr:cNvPr id="2" name="フローチャート: 処理 1">
          <a:extLst>
            <a:ext uri="{FF2B5EF4-FFF2-40B4-BE49-F238E27FC236}">
              <a16:creationId xmlns:a16="http://schemas.microsoft.com/office/drawing/2014/main" id="{00000000-0008-0000-0800-000002000000}"/>
            </a:ext>
          </a:extLst>
        </xdr:cNvPr>
        <xdr:cNvSpPr/>
      </xdr:nvSpPr>
      <xdr:spPr>
        <a:xfrm>
          <a:off x="9784080" y="1905000"/>
          <a:ext cx="1805940" cy="55626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ジョイント回数</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45</xdr:col>
      <xdr:colOff>30480</xdr:colOff>
      <xdr:row>11</xdr:row>
      <xdr:rowOff>0</xdr:rowOff>
    </xdr:from>
    <xdr:to>
      <xdr:col>54</xdr:col>
      <xdr:colOff>7620</xdr:colOff>
      <xdr:row>13</xdr:row>
      <xdr:rowOff>175260</xdr:rowOff>
    </xdr:to>
    <xdr:sp macro="" textlink="">
      <xdr:nvSpPr>
        <xdr:cNvPr id="2" name="フローチャート: 処理 1">
          <a:extLst>
            <a:ext uri="{FF2B5EF4-FFF2-40B4-BE49-F238E27FC236}">
              <a16:creationId xmlns:a16="http://schemas.microsoft.com/office/drawing/2014/main" id="{00000000-0008-0000-0900-000002000000}"/>
            </a:ext>
          </a:extLst>
        </xdr:cNvPr>
        <xdr:cNvSpPr/>
      </xdr:nvSpPr>
      <xdr:spPr>
        <a:xfrm>
          <a:off x="9784080" y="1905000"/>
          <a:ext cx="1805940" cy="55626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ジョイント回数</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7620</xdr:colOff>
      <xdr:row>2</xdr:row>
      <xdr:rowOff>76200</xdr:rowOff>
    </xdr:from>
    <xdr:to>
      <xdr:col>51</xdr:col>
      <xdr:colOff>137160</xdr:colOff>
      <xdr:row>24</xdr:row>
      <xdr:rowOff>99060</xdr:rowOff>
    </xdr:to>
    <xdr:sp macro="" textlink="">
      <xdr:nvSpPr>
        <xdr:cNvPr id="2" name="正方形/長方形 1">
          <a:extLst>
            <a:ext uri="{FF2B5EF4-FFF2-40B4-BE49-F238E27FC236}">
              <a16:creationId xmlns:a16="http://schemas.microsoft.com/office/drawing/2014/main" id="{00000000-0008-0000-0E00-000002000000}"/>
            </a:ext>
          </a:extLst>
        </xdr:cNvPr>
        <xdr:cNvSpPr/>
      </xdr:nvSpPr>
      <xdr:spPr>
        <a:xfrm>
          <a:off x="1059180" y="441960"/>
          <a:ext cx="11018520" cy="40462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8000">
              <a:solidFill>
                <a:srgbClr val="FF0000"/>
              </a:solidFill>
              <a:latin typeface="Meiryo UI" panose="020B0604030504040204" pitchFamily="50" charset="-128"/>
              <a:ea typeface="Meiryo UI" panose="020B0604030504040204" pitchFamily="50" charset="-128"/>
            </a:rPr>
            <a:t>削除</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161925</xdr:colOff>
      <xdr:row>6</xdr:row>
      <xdr:rowOff>28575</xdr:rowOff>
    </xdr:from>
    <xdr:to>
      <xdr:col>46</xdr:col>
      <xdr:colOff>38100</xdr:colOff>
      <xdr:row>41</xdr:row>
      <xdr:rowOff>95250</xdr:rowOff>
    </xdr:to>
    <xdr:sp macro="" textlink="">
      <xdr:nvSpPr>
        <xdr:cNvPr id="2" name="乗算記号 1">
          <a:extLst>
            <a:ext uri="{FF2B5EF4-FFF2-40B4-BE49-F238E27FC236}">
              <a16:creationId xmlns:a16="http://schemas.microsoft.com/office/drawing/2014/main" id="{00000000-0008-0000-1500-000002000000}"/>
            </a:ext>
          </a:extLst>
        </xdr:cNvPr>
        <xdr:cNvSpPr/>
      </xdr:nvSpPr>
      <xdr:spPr>
        <a:xfrm>
          <a:off x="1314450" y="1114425"/>
          <a:ext cx="8534400" cy="6400800"/>
        </a:xfrm>
        <a:prstGeom prst="mathMultiply">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8800"/>
            <a:t>削除</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15.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s://tomari.org/main/java/hebon.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B2:B109"/>
  <sheetViews>
    <sheetView topLeftCell="A97" zoomScaleNormal="100" workbookViewId="0"/>
  </sheetViews>
  <sheetFormatPr defaultColWidth="3.36328125" defaultRowHeight="14.4"/>
  <sheetData>
    <row r="2" spans="2:2">
      <c r="B2" t="s">
        <v>16</v>
      </c>
    </row>
    <row r="3" spans="2:2">
      <c r="B3" t="s">
        <v>17</v>
      </c>
    </row>
    <row r="4" spans="2:2">
      <c r="B4" t="s">
        <v>18</v>
      </c>
    </row>
    <row r="5" spans="2:2">
      <c r="B5" t="s">
        <v>19</v>
      </c>
    </row>
    <row r="6" spans="2:2">
      <c r="B6" t="s">
        <v>20</v>
      </c>
    </row>
    <row r="7" spans="2:2">
      <c r="B7" t="s">
        <v>21</v>
      </c>
    </row>
    <row r="8" spans="2:2">
      <c r="B8" t="s">
        <v>22</v>
      </c>
    </row>
    <row r="9" spans="2:2">
      <c r="B9" t="s">
        <v>23</v>
      </c>
    </row>
    <row r="10" spans="2:2">
      <c r="B10" t="s">
        <v>24</v>
      </c>
    </row>
    <row r="12" spans="2:2">
      <c r="B12" t="s">
        <v>25</v>
      </c>
    </row>
    <row r="14" spans="2:2">
      <c r="B14" t="s">
        <v>26</v>
      </c>
    </row>
    <row r="15" spans="2:2">
      <c r="B15" t="s">
        <v>56</v>
      </c>
    </row>
    <row r="16" spans="2:2">
      <c r="B16" t="s">
        <v>27</v>
      </c>
    </row>
    <row r="17" spans="2:2">
      <c r="B17" t="s">
        <v>57</v>
      </c>
    </row>
    <row r="18" spans="2:2">
      <c r="B18" t="s">
        <v>29</v>
      </c>
    </row>
    <row r="19" spans="2:2">
      <c r="B19" t="s">
        <v>30</v>
      </c>
    </row>
    <row r="20" spans="2:2">
      <c r="B20" t="s">
        <v>58</v>
      </c>
    </row>
    <row r="21" spans="2:2">
      <c r="B21" t="s">
        <v>29</v>
      </c>
    </row>
    <row r="22" spans="2:2">
      <c r="B22" t="s">
        <v>30</v>
      </c>
    </row>
    <row r="23" spans="2:2">
      <c r="B23" t="s">
        <v>59</v>
      </c>
    </row>
    <row r="24" spans="2:2">
      <c r="B24" t="s">
        <v>29</v>
      </c>
    </row>
    <row r="25" spans="2:2">
      <c r="B25" t="s">
        <v>30</v>
      </c>
    </row>
    <row r="26" spans="2:2">
      <c r="B26" t="s">
        <v>28</v>
      </c>
    </row>
    <row r="27" spans="2:2">
      <c r="B27" t="s">
        <v>29</v>
      </c>
    </row>
    <row r="28" spans="2:2">
      <c r="B28" t="s">
        <v>30</v>
      </c>
    </row>
    <row r="29" spans="2:2">
      <c r="B29" t="s">
        <v>54</v>
      </c>
    </row>
    <row r="30" spans="2:2">
      <c r="B30" t="s">
        <v>29</v>
      </c>
    </row>
    <row r="31" spans="2:2">
      <c r="B31" t="s">
        <v>30</v>
      </c>
    </row>
    <row r="32" spans="2:2">
      <c r="B32" t="s">
        <v>55</v>
      </c>
    </row>
    <row r="33" spans="2:2">
      <c r="B33" t="s">
        <v>29</v>
      </c>
    </row>
    <row r="34" spans="2:2">
      <c r="B34" t="s">
        <v>30</v>
      </c>
    </row>
    <row r="35" spans="2:2">
      <c r="B35" t="s">
        <v>31</v>
      </c>
    </row>
    <row r="36" spans="2:2">
      <c r="B36" t="s">
        <v>29</v>
      </c>
    </row>
    <row r="37" spans="2:2">
      <c r="B37" t="s">
        <v>30</v>
      </c>
    </row>
    <row r="38" spans="2:2">
      <c r="B38" t="s">
        <v>32</v>
      </c>
    </row>
    <row r="39" spans="2:2">
      <c r="B39" t="s">
        <v>33</v>
      </c>
    </row>
    <row r="40" spans="2:2">
      <c r="B40" t="s">
        <v>34</v>
      </c>
    </row>
    <row r="41" spans="2:2">
      <c r="B41" t="s">
        <v>35</v>
      </c>
    </row>
    <row r="42" spans="2:2">
      <c r="B42" t="s">
        <v>36</v>
      </c>
    </row>
    <row r="43" spans="2:2">
      <c r="B43" t="s">
        <v>37</v>
      </c>
    </row>
    <row r="44" spans="2:2">
      <c r="B44" t="s">
        <v>38</v>
      </c>
    </row>
    <row r="45" spans="2:2">
      <c r="B45" t="s">
        <v>39</v>
      </c>
    </row>
    <row r="46" spans="2:2">
      <c r="B46" t="s">
        <v>40</v>
      </c>
    </row>
    <row r="47" spans="2:2">
      <c r="B47" t="s">
        <v>41</v>
      </c>
    </row>
    <row r="48" spans="2:2">
      <c r="B48" t="s">
        <v>42</v>
      </c>
    </row>
    <row r="49" spans="2:2">
      <c r="B49" t="s">
        <v>60</v>
      </c>
    </row>
    <row r="50" spans="2:2">
      <c r="B50" t="s">
        <v>61</v>
      </c>
    </row>
    <row r="51" spans="2:2">
      <c r="B51" t="s">
        <v>43</v>
      </c>
    </row>
    <row r="52" spans="2:2">
      <c r="B52" t="s">
        <v>44</v>
      </c>
    </row>
    <row r="53" spans="2:2">
      <c r="B53" t="s">
        <v>45</v>
      </c>
    </row>
    <row r="54" spans="2:2">
      <c r="B54" t="s">
        <v>46</v>
      </c>
    </row>
    <row r="55" spans="2:2">
      <c r="B55" t="s">
        <v>47</v>
      </c>
    </row>
    <row r="56" spans="2:2">
      <c r="B56" t="s">
        <v>45</v>
      </c>
    </row>
    <row r="57" spans="2:2">
      <c r="B57" t="s">
        <v>48</v>
      </c>
    </row>
    <row r="58" spans="2:2">
      <c r="B58" t="s">
        <v>49</v>
      </c>
    </row>
    <row r="59" spans="2:2">
      <c r="B59" t="s">
        <v>45</v>
      </c>
    </row>
    <row r="60" spans="2:2">
      <c r="B60" t="s">
        <v>50</v>
      </c>
    </row>
    <row r="61" spans="2:2">
      <c r="B61" t="s">
        <v>51</v>
      </c>
    </row>
    <row r="62" spans="2:2">
      <c r="B62" t="s">
        <v>30</v>
      </c>
    </row>
    <row r="63" spans="2:2">
      <c r="B63" t="s">
        <v>52</v>
      </c>
    </row>
    <row r="65" spans="2:2">
      <c r="B65" t="s">
        <v>85</v>
      </c>
    </row>
    <row r="67" spans="2:2">
      <c r="B67" t="s">
        <v>53</v>
      </c>
    </row>
    <row r="69" spans="2:2">
      <c r="B69" t="s">
        <v>62</v>
      </c>
    </row>
    <row r="70" spans="2:2">
      <c r="B70" t="s">
        <v>17</v>
      </c>
    </row>
    <row r="71" spans="2:2">
      <c r="B71" t="s">
        <v>18</v>
      </c>
    </row>
    <row r="72" spans="2:2">
      <c r="B72" t="s">
        <v>19</v>
      </c>
    </row>
    <row r="73" spans="2:2">
      <c r="B73" t="s">
        <v>20</v>
      </c>
    </row>
    <row r="74" spans="2:2">
      <c r="B74" t="s">
        <v>21</v>
      </c>
    </row>
    <row r="75" spans="2:2">
      <c r="B75" t="s">
        <v>22</v>
      </c>
    </row>
    <row r="76" spans="2:2">
      <c r="B76" t="s">
        <v>23</v>
      </c>
    </row>
    <row r="77" spans="2:2">
      <c r="B77" t="s">
        <v>24</v>
      </c>
    </row>
    <row r="78" spans="2:2">
      <c r="B78" t="s">
        <v>63</v>
      </c>
    </row>
    <row r="79" spans="2:2">
      <c r="B79" t="s">
        <v>64</v>
      </c>
    </row>
    <row r="81" spans="2:2">
      <c r="B81" t="s">
        <v>65</v>
      </c>
    </row>
    <row r="82" spans="2:2">
      <c r="B82" t="s">
        <v>66</v>
      </c>
    </row>
    <row r="84" spans="2:2">
      <c r="B84" t="s">
        <v>67</v>
      </c>
    </row>
    <row r="85" spans="2:2">
      <c r="B85" t="s">
        <v>68</v>
      </c>
    </row>
    <row r="86" spans="2:2">
      <c r="B86" t="s">
        <v>69</v>
      </c>
    </row>
    <row r="87" spans="2:2">
      <c r="B87" t="s">
        <v>70</v>
      </c>
    </row>
    <row r="88" spans="2:2">
      <c r="B88" t="s">
        <v>32</v>
      </c>
    </row>
    <row r="89" spans="2:2">
      <c r="B89" t="s">
        <v>71</v>
      </c>
    </row>
    <row r="90" spans="2:2">
      <c r="B90" t="s">
        <v>72</v>
      </c>
    </row>
    <row r="91" spans="2:2">
      <c r="B91" t="s">
        <v>73</v>
      </c>
    </row>
    <row r="92" spans="2:2">
      <c r="B92" t="s">
        <v>74</v>
      </c>
    </row>
    <row r="93" spans="2:2">
      <c r="B93" t="s">
        <v>75</v>
      </c>
    </row>
    <row r="94" spans="2:2">
      <c r="B94" t="s">
        <v>76</v>
      </c>
    </row>
    <row r="95" spans="2:2">
      <c r="B95" t="s">
        <v>77</v>
      </c>
    </row>
    <row r="96" spans="2:2">
      <c r="B96" t="s">
        <v>78</v>
      </c>
    </row>
    <row r="97" spans="2:2">
      <c r="B97" t="s">
        <v>79</v>
      </c>
    </row>
    <row r="98" spans="2:2">
      <c r="B98" t="s">
        <v>80</v>
      </c>
    </row>
    <row r="99" spans="2:2">
      <c r="B99" t="s">
        <v>45</v>
      </c>
    </row>
    <row r="100" spans="2:2">
      <c r="B100" t="s">
        <v>81</v>
      </c>
    </row>
    <row r="101" spans="2:2">
      <c r="B101" t="s">
        <v>82</v>
      </c>
    </row>
    <row r="102" spans="2:2">
      <c r="B102" t="s">
        <v>83</v>
      </c>
    </row>
    <row r="103" spans="2:2">
      <c r="B103" t="s">
        <v>32</v>
      </c>
    </row>
    <row r="104" spans="2:2">
      <c r="B104" t="s">
        <v>52</v>
      </c>
    </row>
    <row r="106" spans="2:2">
      <c r="B106" t="s">
        <v>85</v>
      </c>
    </row>
    <row r="109" spans="2:2">
      <c r="B109" t="s">
        <v>53</v>
      </c>
    </row>
  </sheetData>
  <phoneticPr fontId="12"/>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W29"/>
  <sheetViews>
    <sheetView tabSelected="1" workbookViewId="0"/>
  </sheetViews>
  <sheetFormatPr defaultColWidth="3.6328125" defaultRowHeight="14.4"/>
  <sheetData>
    <row r="2" spans="2:14" s="285" customFormat="1" ht="18.600000000000001">
      <c r="B2" s="283" t="s">
        <v>1431</v>
      </c>
      <c r="C2" s="284" t="s">
        <v>1432</v>
      </c>
    </row>
    <row r="4" spans="2:14">
      <c r="N4" t="s">
        <v>1433</v>
      </c>
    </row>
    <row r="9" spans="2:14">
      <c r="N9" t="s">
        <v>1434</v>
      </c>
    </row>
    <row r="14" spans="2:14">
      <c r="N14" t="s">
        <v>1435</v>
      </c>
    </row>
    <row r="19" spans="1:23">
      <c r="N19" t="s">
        <v>1436</v>
      </c>
    </row>
    <row r="20" spans="1:23">
      <c r="N20" s="286"/>
    </row>
    <row r="24" spans="1:23">
      <c r="N24" t="s">
        <v>1437</v>
      </c>
    </row>
    <row r="25" spans="1:23">
      <c r="N25" s="286"/>
      <c r="O25" s="286"/>
      <c r="P25" s="286"/>
      <c r="Q25" s="286"/>
      <c r="R25" s="286"/>
      <c r="S25" s="286"/>
      <c r="T25" s="286"/>
    </row>
    <row r="27" spans="1:23">
      <c r="N27" s="404"/>
      <c r="O27" s="405"/>
      <c r="P27" s="405"/>
      <c r="Q27" s="405"/>
      <c r="R27" s="405"/>
      <c r="S27" s="405"/>
      <c r="T27" s="406"/>
      <c r="V27" s="286" t="s">
        <v>1431</v>
      </c>
      <c r="W27" s="287" t="s">
        <v>1438</v>
      </c>
    </row>
    <row r="29" spans="1:23">
      <c r="A29" s="288"/>
      <c r="K29" s="288"/>
      <c r="L29" s="288"/>
      <c r="M29" s="288"/>
      <c r="N29" s="288"/>
    </row>
  </sheetData>
  <mergeCells count="1">
    <mergeCell ref="N27:T27"/>
  </mergeCells>
  <phoneticPr fontId="12"/>
  <pageMargins left="0.7" right="0.7" top="0.75" bottom="0.75" header="0.3" footer="0.3"/>
  <pageSetup paperSize="9" orientation="portrait" r:id="rId1"/>
  <drawing r:id="rId2"/>
  <legacyDrawing r:id="rId3"/>
  <controls>
    <mc:AlternateContent xmlns:mc="http://schemas.openxmlformats.org/markup-compatibility/2006">
      <mc:Choice Requires="x14">
        <control shapeId="497665" r:id="rId4" name="CheckBox1">
          <controlPr defaultSize="0" autoLine="0" r:id="rId5">
            <anchor moveWithCells="1">
              <from>
                <xdr:col>13</xdr:col>
                <xdr:colOff>68580</xdr:colOff>
                <xdr:row>24</xdr:row>
                <xdr:rowOff>0</xdr:rowOff>
              </from>
              <to>
                <xdr:col>16</xdr:col>
                <xdr:colOff>114300</xdr:colOff>
                <xdr:row>25</xdr:row>
                <xdr:rowOff>15240</xdr:rowOff>
              </to>
            </anchor>
          </controlPr>
        </control>
      </mc:Choice>
      <mc:Fallback>
        <control shapeId="497665" r:id="rId4" name="Check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テーブル一覧!$B$7:$B$26</xm:f>
          </x14:formula1>
          <xm:sqref>N27:T27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F46"/>
  <sheetViews>
    <sheetView showGridLines="0" zoomScaleNormal="100" zoomScaleSheetLayoutView="100" workbookViewId="0">
      <pane ySplit="6" topLeftCell="A7" activePane="bottomLeft" state="frozen"/>
      <selection sqref="A1:H4"/>
      <selection pane="bottomLeft" sqref="A1:K4"/>
    </sheetView>
  </sheetViews>
  <sheetFormatPr defaultColWidth="2.36328125" defaultRowHeight="14.4"/>
  <cols>
    <col min="1" max="1" width="4.6328125" style="1" customWidth="1"/>
    <col min="2" max="58" width="2.6328125" style="1" customWidth="1"/>
    <col min="59" max="16384" width="2.36328125" style="1"/>
  </cols>
  <sheetData>
    <row r="1" spans="1:58" s="15" customFormat="1">
      <c r="A1" s="437" t="s">
        <v>99</v>
      </c>
      <c r="B1" s="438"/>
      <c r="C1" s="438"/>
      <c r="D1" s="438"/>
      <c r="E1" s="438"/>
      <c r="F1" s="438"/>
      <c r="G1" s="438"/>
      <c r="H1" s="438"/>
      <c r="I1" s="438"/>
      <c r="J1" s="438"/>
      <c r="K1" s="439"/>
      <c r="L1" s="434" t="s">
        <v>97</v>
      </c>
      <c r="M1" s="435"/>
      <c r="N1" s="435"/>
      <c r="O1" s="435"/>
      <c r="P1" s="435"/>
      <c r="Q1" s="435"/>
      <c r="R1" s="435"/>
      <c r="S1" s="435"/>
      <c r="T1" s="435"/>
      <c r="U1" s="435"/>
      <c r="V1" s="436"/>
      <c r="W1" s="434" t="s">
        <v>98</v>
      </c>
      <c r="X1" s="435"/>
      <c r="Y1" s="435"/>
      <c r="Z1" s="435"/>
      <c r="AA1" s="435"/>
      <c r="AB1" s="435"/>
      <c r="AC1" s="436"/>
      <c r="AD1" s="434" t="s">
        <v>102</v>
      </c>
      <c r="AE1" s="435"/>
      <c r="AF1" s="435"/>
      <c r="AG1" s="435"/>
      <c r="AH1" s="435"/>
      <c r="AI1" s="435"/>
      <c r="AJ1" s="435"/>
      <c r="AK1" s="435"/>
      <c r="AL1" s="435"/>
      <c r="AM1" s="435"/>
      <c r="AN1" s="435"/>
      <c r="AO1" s="435"/>
      <c r="AP1" s="435"/>
      <c r="AQ1" s="436"/>
      <c r="AR1" s="43" t="s">
        <v>1</v>
      </c>
      <c r="AS1" s="44"/>
      <c r="AT1" s="44"/>
      <c r="AU1" s="44"/>
      <c r="AV1" s="45"/>
      <c r="AW1" s="43" t="s">
        <v>2</v>
      </c>
      <c r="AX1" s="44"/>
      <c r="AY1" s="44"/>
      <c r="AZ1" s="44"/>
      <c r="BA1" s="44"/>
      <c r="BB1" s="45"/>
      <c r="BC1" s="43" t="s">
        <v>3</v>
      </c>
      <c r="BD1" s="44"/>
      <c r="BE1" s="44"/>
      <c r="BF1" s="45"/>
    </row>
    <row r="2" spans="1:58" s="15" customFormat="1">
      <c r="A2" s="440"/>
      <c r="B2" s="441"/>
      <c r="C2" s="441"/>
      <c r="D2" s="441"/>
      <c r="E2" s="441"/>
      <c r="F2" s="441"/>
      <c r="G2" s="441"/>
      <c r="H2" s="441"/>
      <c r="I2" s="441"/>
      <c r="J2" s="441"/>
      <c r="K2" s="442"/>
      <c r="L2" s="446" t="s">
        <v>96</v>
      </c>
      <c r="M2" s="447"/>
      <c r="N2" s="447"/>
      <c r="O2" s="447"/>
      <c r="P2" s="447"/>
      <c r="Q2" s="447"/>
      <c r="R2" s="447"/>
      <c r="S2" s="447"/>
      <c r="T2" s="447"/>
      <c r="U2" s="447"/>
      <c r="V2" s="448"/>
      <c r="W2" s="446" t="s">
        <v>131</v>
      </c>
      <c r="X2" s="447"/>
      <c r="Y2" s="447"/>
      <c r="Z2" s="447"/>
      <c r="AA2" s="447"/>
      <c r="AB2" s="447"/>
      <c r="AC2" s="448"/>
      <c r="AD2" s="455" t="s">
        <v>103</v>
      </c>
      <c r="AE2" s="456"/>
      <c r="AF2" s="456"/>
      <c r="AG2" s="456"/>
      <c r="AH2" s="456"/>
      <c r="AI2" s="456"/>
      <c r="AJ2" s="456"/>
      <c r="AK2" s="456"/>
      <c r="AL2" s="456"/>
      <c r="AM2" s="456"/>
      <c r="AN2" s="456"/>
      <c r="AO2" s="456"/>
      <c r="AP2" s="456"/>
      <c r="AQ2" s="457"/>
      <c r="AR2" s="425"/>
      <c r="AS2" s="426"/>
      <c r="AT2" s="426"/>
      <c r="AU2" s="426"/>
      <c r="AV2" s="427"/>
      <c r="AW2" s="46" t="s">
        <v>128</v>
      </c>
      <c r="AX2" s="47"/>
      <c r="AY2" s="47"/>
      <c r="AZ2" s="47"/>
      <c r="BA2" s="47"/>
      <c r="BB2" s="48"/>
      <c r="BC2" s="189" t="s">
        <v>15</v>
      </c>
      <c r="BD2" s="190"/>
      <c r="BE2" s="190"/>
      <c r="BF2" s="191"/>
    </row>
    <row r="3" spans="1:58" s="15" customFormat="1">
      <c r="A3" s="440"/>
      <c r="B3" s="441"/>
      <c r="C3" s="441"/>
      <c r="D3" s="441"/>
      <c r="E3" s="441"/>
      <c r="F3" s="441"/>
      <c r="G3" s="441"/>
      <c r="H3" s="441"/>
      <c r="I3" s="441"/>
      <c r="J3" s="441"/>
      <c r="K3" s="442"/>
      <c r="L3" s="449"/>
      <c r="M3" s="450"/>
      <c r="N3" s="450"/>
      <c r="O3" s="450"/>
      <c r="P3" s="450"/>
      <c r="Q3" s="450"/>
      <c r="R3" s="450"/>
      <c r="S3" s="450"/>
      <c r="T3" s="450"/>
      <c r="U3" s="450"/>
      <c r="V3" s="451"/>
      <c r="W3" s="449"/>
      <c r="X3" s="450"/>
      <c r="Y3" s="450"/>
      <c r="Z3" s="450"/>
      <c r="AA3" s="450"/>
      <c r="AB3" s="450"/>
      <c r="AC3" s="451"/>
      <c r="AD3" s="458"/>
      <c r="AE3" s="459"/>
      <c r="AF3" s="459"/>
      <c r="AG3" s="459"/>
      <c r="AH3" s="459"/>
      <c r="AI3" s="459"/>
      <c r="AJ3" s="459"/>
      <c r="AK3" s="459"/>
      <c r="AL3" s="459"/>
      <c r="AM3" s="459"/>
      <c r="AN3" s="459"/>
      <c r="AO3" s="459"/>
      <c r="AP3" s="459"/>
      <c r="AQ3" s="460"/>
      <c r="AR3" s="428"/>
      <c r="AS3" s="429"/>
      <c r="AT3" s="429"/>
      <c r="AU3" s="429"/>
      <c r="AV3" s="430"/>
      <c r="AW3" s="46"/>
      <c r="AX3" s="47"/>
      <c r="AY3" s="47"/>
      <c r="AZ3" s="47"/>
      <c r="BA3" s="47"/>
      <c r="BB3" s="48"/>
      <c r="BC3" s="189"/>
      <c r="BD3" s="190"/>
      <c r="BE3" s="190"/>
      <c r="BF3" s="191"/>
    </row>
    <row r="4" spans="1:58" s="15" customFormat="1">
      <c r="A4" s="443"/>
      <c r="B4" s="444"/>
      <c r="C4" s="444"/>
      <c r="D4" s="444"/>
      <c r="E4" s="444"/>
      <c r="F4" s="444"/>
      <c r="G4" s="444"/>
      <c r="H4" s="444"/>
      <c r="I4" s="444"/>
      <c r="J4" s="444"/>
      <c r="K4" s="445"/>
      <c r="L4" s="452"/>
      <c r="M4" s="453"/>
      <c r="N4" s="453"/>
      <c r="O4" s="453"/>
      <c r="P4" s="453"/>
      <c r="Q4" s="453"/>
      <c r="R4" s="453"/>
      <c r="S4" s="453"/>
      <c r="T4" s="453"/>
      <c r="U4" s="453"/>
      <c r="V4" s="454"/>
      <c r="W4" s="452"/>
      <c r="X4" s="453"/>
      <c r="Y4" s="453"/>
      <c r="Z4" s="453"/>
      <c r="AA4" s="453"/>
      <c r="AB4" s="453"/>
      <c r="AC4" s="454"/>
      <c r="AD4" s="461"/>
      <c r="AE4" s="462"/>
      <c r="AF4" s="462"/>
      <c r="AG4" s="462"/>
      <c r="AH4" s="462"/>
      <c r="AI4" s="462"/>
      <c r="AJ4" s="462"/>
      <c r="AK4" s="462"/>
      <c r="AL4" s="462"/>
      <c r="AM4" s="462"/>
      <c r="AN4" s="462"/>
      <c r="AO4" s="462"/>
      <c r="AP4" s="462"/>
      <c r="AQ4" s="463"/>
      <c r="AR4" s="428"/>
      <c r="AS4" s="429"/>
      <c r="AT4" s="429"/>
      <c r="AU4" s="429"/>
      <c r="AV4" s="430"/>
      <c r="AW4" s="46"/>
      <c r="AX4" s="47"/>
      <c r="AY4" s="47"/>
      <c r="AZ4" s="47"/>
      <c r="BA4" s="47"/>
      <c r="BB4" s="48"/>
      <c r="BC4" s="189"/>
      <c r="BD4" s="190"/>
      <c r="BE4" s="190"/>
      <c r="BF4" s="191"/>
    </row>
    <row r="5" spans="1:58">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row>
    <row r="6" spans="1:58">
      <c r="A6" s="188" t="s">
        <v>100</v>
      </c>
      <c r="B6" s="431" t="s">
        <v>104</v>
      </c>
      <c r="C6" s="432"/>
      <c r="D6" s="432"/>
      <c r="E6" s="432"/>
      <c r="F6" s="432"/>
      <c r="G6" s="432"/>
      <c r="H6" s="432"/>
      <c r="I6" s="432"/>
      <c r="J6" s="432"/>
      <c r="K6" s="433"/>
      <c r="L6" s="431" t="s">
        <v>105</v>
      </c>
      <c r="M6" s="432"/>
      <c r="N6" s="432"/>
      <c r="O6" s="432"/>
      <c r="P6" s="432"/>
      <c r="Q6" s="432"/>
      <c r="R6" s="432"/>
      <c r="S6" s="432"/>
      <c r="T6" s="432"/>
      <c r="U6" s="432"/>
      <c r="V6" s="433"/>
      <c r="W6" s="41" t="s">
        <v>120</v>
      </c>
      <c r="X6" s="42"/>
      <c r="Y6" s="42"/>
      <c r="Z6" s="42"/>
      <c r="AA6" s="42"/>
      <c r="AB6" s="42"/>
      <c r="AC6" s="40"/>
      <c r="AD6" s="434" t="s">
        <v>101</v>
      </c>
      <c r="AE6" s="435"/>
      <c r="AF6" s="435"/>
      <c r="AG6" s="435"/>
      <c r="AH6" s="435"/>
      <c r="AI6" s="435"/>
      <c r="AJ6" s="435"/>
      <c r="AK6" s="435"/>
      <c r="AL6" s="435"/>
      <c r="AM6" s="435"/>
      <c r="AN6" s="435"/>
      <c r="AO6" s="435"/>
      <c r="AP6" s="435"/>
      <c r="AQ6" s="435"/>
      <c r="AR6" s="435"/>
      <c r="AS6" s="435"/>
      <c r="AT6" s="435"/>
      <c r="AU6" s="435"/>
      <c r="AV6" s="435"/>
      <c r="AW6" s="435"/>
      <c r="AX6" s="435"/>
      <c r="AY6" s="435"/>
      <c r="AZ6" s="435"/>
      <c r="BA6" s="435"/>
      <c r="BB6" s="435"/>
      <c r="BC6" s="435"/>
      <c r="BD6" s="435"/>
      <c r="BE6" s="435"/>
      <c r="BF6" s="436"/>
    </row>
    <row r="7" spans="1:58">
      <c r="A7" s="2">
        <f>IF(B7="","",COUNTA($B$7:B7))</f>
        <v>1</v>
      </c>
      <c r="B7" s="2" t="s">
        <v>142</v>
      </c>
      <c r="C7" s="3"/>
      <c r="D7" s="3"/>
      <c r="E7" s="3"/>
      <c r="F7" s="3"/>
      <c r="G7" s="3"/>
      <c r="H7" s="3"/>
      <c r="I7" s="3"/>
      <c r="J7" s="3"/>
      <c r="K7" s="4"/>
      <c r="L7" s="2" t="s">
        <v>1348</v>
      </c>
      <c r="M7" s="3"/>
      <c r="N7" s="3"/>
      <c r="O7" s="3"/>
      <c r="P7" s="3"/>
      <c r="Q7" s="3"/>
      <c r="R7" s="3"/>
      <c r="S7" s="3"/>
      <c r="T7" s="3"/>
      <c r="U7" s="3"/>
      <c r="V7" s="3"/>
      <c r="W7" s="413" t="s">
        <v>129</v>
      </c>
      <c r="X7" s="414"/>
      <c r="Y7" s="414"/>
      <c r="Z7" s="414"/>
      <c r="AA7" s="414"/>
      <c r="AB7" s="414"/>
      <c r="AC7" s="415"/>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4"/>
    </row>
    <row r="8" spans="1:58">
      <c r="A8" s="2">
        <f>IF(B8="","",COUNTA($B$7:B8))</f>
        <v>2</v>
      </c>
      <c r="B8" s="2" t="s">
        <v>1170</v>
      </c>
      <c r="C8" s="3"/>
      <c r="D8" s="3"/>
      <c r="E8" s="3"/>
      <c r="F8" s="3"/>
      <c r="G8" s="3"/>
      <c r="H8" s="3"/>
      <c r="I8" s="3"/>
      <c r="J8" s="3"/>
      <c r="K8" s="4"/>
      <c r="L8" s="2" t="s">
        <v>1250</v>
      </c>
      <c r="M8" s="3"/>
      <c r="N8" s="3"/>
      <c r="O8" s="3"/>
      <c r="P8" s="3"/>
      <c r="Q8" s="3"/>
      <c r="R8" s="3"/>
      <c r="S8" s="3"/>
      <c r="T8" s="3"/>
      <c r="U8" s="3"/>
      <c r="V8" s="3"/>
      <c r="W8" s="413" t="s">
        <v>129</v>
      </c>
      <c r="X8" s="414"/>
      <c r="Y8" s="414"/>
      <c r="Z8" s="414"/>
      <c r="AA8" s="414"/>
      <c r="AB8" s="414"/>
      <c r="AC8" s="415"/>
      <c r="AD8" s="3" t="s">
        <v>1253</v>
      </c>
      <c r="AE8" s="3"/>
      <c r="AF8" s="3"/>
      <c r="AG8" s="3"/>
      <c r="AH8" s="3"/>
      <c r="AI8" s="3"/>
      <c r="AJ8" s="3"/>
      <c r="AK8" s="3"/>
      <c r="AL8" s="3"/>
      <c r="AM8" s="3"/>
      <c r="AN8" s="3"/>
      <c r="AO8" s="3"/>
      <c r="AP8" s="3"/>
      <c r="AQ8" s="3"/>
      <c r="AR8" s="3"/>
      <c r="AS8" s="3"/>
      <c r="AT8" s="3"/>
      <c r="AU8" s="3"/>
      <c r="AV8" s="3"/>
      <c r="AW8" s="3"/>
      <c r="AX8" s="3"/>
      <c r="AY8" s="3"/>
      <c r="AZ8" s="3"/>
      <c r="BA8" s="3"/>
      <c r="BB8" s="3"/>
      <c r="BC8" s="3"/>
      <c r="BD8" s="3"/>
      <c r="BE8" s="3"/>
      <c r="BF8" s="4"/>
    </row>
    <row r="9" spans="1:58">
      <c r="A9" s="2">
        <f>IF(B9="","",COUNTA($B$7:B9))</f>
        <v>3</v>
      </c>
      <c r="B9" s="49" t="s">
        <v>1263</v>
      </c>
      <c r="C9" s="3"/>
      <c r="D9" s="3"/>
      <c r="E9" s="3"/>
      <c r="F9" s="3"/>
      <c r="G9" s="3"/>
      <c r="H9" s="3"/>
      <c r="I9" s="3"/>
      <c r="J9" s="3"/>
      <c r="K9" s="4"/>
      <c r="L9" s="2"/>
      <c r="M9" s="3"/>
      <c r="N9" s="3"/>
      <c r="O9" s="3"/>
      <c r="P9" s="3"/>
      <c r="Q9" s="3"/>
      <c r="R9" s="3"/>
      <c r="S9" s="3"/>
      <c r="T9" s="3"/>
      <c r="U9" s="3"/>
      <c r="V9" s="3"/>
      <c r="W9" s="413" t="s">
        <v>129</v>
      </c>
      <c r="X9" s="414"/>
      <c r="Y9" s="414"/>
      <c r="Z9" s="414"/>
      <c r="AA9" s="414"/>
      <c r="AB9" s="414"/>
      <c r="AC9" s="415"/>
      <c r="AD9" s="3" t="s">
        <v>1262</v>
      </c>
      <c r="AE9" s="3"/>
      <c r="AF9" s="3"/>
      <c r="AG9" s="3"/>
      <c r="AH9" s="3"/>
      <c r="AI9" s="3"/>
      <c r="AJ9" s="3"/>
      <c r="AK9" s="3"/>
      <c r="AL9" s="3"/>
      <c r="AM9" s="3"/>
      <c r="AN9" s="3"/>
      <c r="AO9" s="3"/>
      <c r="AP9" s="3"/>
      <c r="AQ9" s="3"/>
      <c r="AR9" s="3"/>
      <c r="AS9" s="3"/>
      <c r="AT9" s="3"/>
      <c r="AU9" s="3"/>
      <c r="AV9" s="3"/>
      <c r="AW9" s="3"/>
      <c r="AX9" s="3"/>
      <c r="AY9" s="3"/>
      <c r="AZ9" s="3"/>
      <c r="BA9" s="3"/>
      <c r="BB9" s="3"/>
      <c r="BC9" s="3"/>
      <c r="BD9" s="3"/>
      <c r="BE9" s="3"/>
      <c r="BF9" s="4"/>
    </row>
    <row r="10" spans="1:58">
      <c r="A10" s="2">
        <f>IF(B10="","",COUNTA($B$7:B10))</f>
        <v>4</v>
      </c>
      <c r="B10" s="2" t="s">
        <v>1171</v>
      </c>
      <c r="C10" s="3"/>
      <c r="D10" s="3"/>
      <c r="E10" s="3"/>
      <c r="F10" s="3"/>
      <c r="G10" s="3"/>
      <c r="H10" s="3"/>
      <c r="I10" s="3"/>
      <c r="J10" s="3"/>
      <c r="K10" s="4"/>
      <c r="L10" s="2" t="s">
        <v>1251</v>
      </c>
      <c r="M10" s="3"/>
      <c r="N10" s="3"/>
      <c r="O10" s="3"/>
      <c r="P10" s="3"/>
      <c r="Q10" s="3"/>
      <c r="R10" s="3"/>
      <c r="S10" s="3"/>
      <c r="T10" s="3"/>
      <c r="U10" s="3"/>
      <c r="V10" s="3"/>
      <c r="W10" s="413" t="s">
        <v>129</v>
      </c>
      <c r="X10" s="414"/>
      <c r="Y10" s="414"/>
      <c r="Z10" s="414"/>
      <c r="AA10" s="414"/>
      <c r="AB10" s="414"/>
      <c r="AC10" s="415"/>
      <c r="AD10" s="3" t="s">
        <v>1254</v>
      </c>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4"/>
    </row>
    <row r="11" spans="1:58">
      <c r="A11" s="2">
        <f>IF(B11="","",COUNTA($B$7:B11))</f>
        <v>5</v>
      </c>
      <c r="B11" s="2" t="s">
        <v>1249</v>
      </c>
      <c r="C11" s="3"/>
      <c r="D11" s="3"/>
      <c r="E11" s="3"/>
      <c r="F11" s="3"/>
      <c r="G11" s="3"/>
      <c r="H11" s="3"/>
      <c r="I11" s="3"/>
      <c r="J11" s="3"/>
      <c r="K11" s="4"/>
      <c r="L11" s="2" t="s">
        <v>1252</v>
      </c>
      <c r="M11" s="3"/>
      <c r="N11" s="3"/>
      <c r="O11" s="3"/>
      <c r="P11" s="3"/>
      <c r="Q11" s="3"/>
      <c r="R11" s="3"/>
      <c r="S11" s="3"/>
      <c r="T11" s="3"/>
      <c r="U11" s="3"/>
      <c r="V11" s="3"/>
      <c r="W11" s="413" t="s">
        <v>129</v>
      </c>
      <c r="X11" s="414"/>
      <c r="Y11" s="414"/>
      <c r="Z11" s="414"/>
      <c r="AA11" s="414"/>
      <c r="AB11" s="414"/>
      <c r="AC11" s="415"/>
      <c r="AD11" s="3" t="s">
        <v>1255</v>
      </c>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4"/>
    </row>
    <row r="12" spans="1:58">
      <c r="A12" s="386">
        <f>IF(B12="","",COUNTA($B$7:B12))</f>
        <v>6</v>
      </c>
      <c r="B12" s="386" t="s">
        <v>1259</v>
      </c>
      <c r="C12" s="387"/>
      <c r="D12" s="387"/>
      <c r="E12" s="387"/>
      <c r="F12" s="387"/>
      <c r="G12" s="387"/>
      <c r="H12" s="387"/>
      <c r="I12" s="387"/>
      <c r="J12" s="387"/>
      <c r="K12" s="388"/>
      <c r="L12" s="386" t="s">
        <v>1260</v>
      </c>
      <c r="M12" s="387"/>
      <c r="N12" s="387"/>
      <c r="O12" s="387"/>
      <c r="P12" s="387"/>
      <c r="Q12" s="387"/>
      <c r="R12" s="387"/>
      <c r="S12" s="387"/>
      <c r="T12" s="387"/>
      <c r="U12" s="387"/>
      <c r="V12" s="387"/>
      <c r="W12" s="416" t="s">
        <v>129</v>
      </c>
      <c r="X12" s="417"/>
      <c r="Y12" s="417"/>
      <c r="Z12" s="417"/>
      <c r="AA12" s="417"/>
      <c r="AB12" s="417"/>
      <c r="AC12" s="418"/>
      <c r="AD12" s="387" t="s">
        <v>1853</v>
      </c>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8"/>
    </row>
    <row r="13" spans="1:58">
      <c r="A13" s="389" t="str">
        <f>IF(B13="","",COUNTA($B$7:B13))</f>
        <v/>
      </c>
      <c r="B13" s="389"/>
      <c r="C13" s="390"/>
      <c r="D13" s="390"/>
      <c r="E13" s="390"/>
      <c r="F13" s="390"/>
      <c r="G13" s="390"/>
      <c r="H13" s="390"/>
      <c r="I13" s="390"/>
      <c r="J13" s="390"/>
      <c r="K13" s="391"/>
      <c r="L13" s="389"/>
      <c r="M13" s="390"/>
      <c r="N13" s="390"/>
      <c r="O13" s="390"/>
      <c r="P13" s="390"/>
      <c r="Q13" s="390"/>
      <c r="R13" s="390"/>
      <c r="S13" s="390"/>
      <c r="T13" s="390"/>
      <c r="U13" s="390"/>
      <c r="V13" s="390"/>
      <c r="W13" s="407"/>
      <c r="X13" s="408"/>
      <c r="Y13" s="408"/>
      <c r="Z13" s="408"/>
      <c r="AA13" s="408"/>
      <c r="AB13" s="408"/>
      <c r="AC13" s="409"/>
      <c r="AD13" s="390" t="s">
        <v>1852</v>
      </c>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1"/>
    </row>
    <row r="14" spans="1:58">
      <c r="A14" s="2">
        <f>IF(B14="","",COUNTA($B$7:B14))</f>
        <v>7</v>
      </c>
      <c r="B14" s="383" t="s">
        <v>1281</v>
      </c>
      <c r="C14" s="384"/>
      <c r="D14" s="384"/>
      <c r="E14" s="384"/>
      <c r="F14" s="384"/>
      <c r="G14" s="384"/>
      <c r="H14" s="384"/>
      <c r="I14" s="384"/>
      <c r="J14" s="384"/>
      <c r="K14" s="385"/>
      <c r="L14" s="383" t="s">
        <v>1282</v>
      </c>
      <c r="M14" s="384"/>
      <c r="N14" s="384"/>
      <c r="O14" s="384"/>
      <c r="P14" s="384"/>
      <c r="Q14" s="384"/>
      <c r="R14" s="384"/>
      <c r="S14" s="384"/>
      <c r="T14" s="384"/>
      <c r="U14" s="384"/>
      <c r="V14" s="384"/>
      <c r="W14" s="419" t="s">
        <v>129</v>
      </c>
      <c r="X14" s="420"/>
      <c r="Y14" s="420"/>
      <c r="Z14" s="420"/>
      <c r="AA14" s="420"/>
      <c r="AB14" s="420"/>
      <c r="AC14" s="421"/>
      <c r="AD14" s="384" t="s">
        <v>1283</v>
      </c>
      <c r="AE14" s="384"/>
      <c r="AF14" s="384"/>
      <c r="AG14" s="384"/>
      <c r="AH14" s="384"/>
      <c r="AI14" s="384"/>
      <c r="AJ14" s="384"/>
      <c r="AK14" s="384"/>
      <c r="AL14" s="384"/>
      <c r="AM14" s="384"/>
      <c r="AN14" s="384"/>
      <c r="AO14" s="384"/>
      <c r="AP14" s="384"/>
      <c r="AQ14" s="384"/>
      <c r="AR14" s="394" t="s">
        <v>1856</v>
      </c>
      <c r="AS14" s="384"/>
      <c r="AT14" s="384"/>
      <c r="AU14" s="384"/>
      <c r="AV14" s="384"/>
      <c r="AW14" s="384"/>
      <c r="AX14" s="384"/>
      <c r="AY14" s="384"/>
      <c r="AZ14" s="384"/>
      <c r="BA14" s="384"/>
      <c r="BB14" s="384"/>
      <c r="BC14" s="384"/>
      <c r="BD14" s="384"/>
      <c r="BE14" s="384"/>
      <c r="BF14" s="385"/>
    </row>
    <row r="15" spans="1:58">
      <c r="A15" s="2">
        <f>IF(B15="","",COUNTA($B$7:B15))</f>
        <v>8</v>
      </c>
      <c r="B15" s="49" t="s">
        <v>1261</v>
      </c>
      <c r="C15" s="3"/>
      <c r="D15" s="3"/>
      <c r="E15" s="3"/>
      <c r="F15" s="3"/>
      <c r="G15" s="3"/>
      <c r="H15" s="3"/>
      <c r="I15" s="3"/>
      <c r="J15" s="3"/>
      <c r="K15" s="4"/>
      <c r="L15" s="2"/>
      <c r="M15" s="3"/>
      <c r="N15" s="3"/>
      <c r="O15" s="3"/>
      <c r="P15" s="3"/>
      <c r="Q15" s="3"/>
      <c r="R15" s="3"/>
      <c r="S15" s="3"/>
      <c r="T15" s="3"/>
      <c r="U15" s="3"/>
      <c r="V15" s="3"/>
      <c r="W15" s="413" t="s">
        <v>129</v>
      </c>
      <c r="X15" s="414"/>
      <c r="Y15" s="414"/>
      <c r="Z15" s="414"/>
      <c r="AA15" s="414"/>
      <c r="AB15" s="414"/>
      <c r="AC15" s="415"/>
      <c r="AD15" s="3" t="s">
        <v>1196</v>
      </c>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4"/>
    </row>
    <row r="16" spans="1:58">
      <c r="A16" s="2">
        <f>IF(B16="","",COUNTA($B$7:B16))</f>
        <v>9</v>
      </c>
      <c r="B16" s="2" t="s">
        <v>130</v>
      </c>
      <c r="C16" s="3"/>
      <c r="D16" s="3"/>
      <c r="E16" s="3"/>
      <c r="F16" s="3"/>
      <c r="G16" s="3"/>
      <c r="H16" s="3"/>
      <c r="I16" s="3"/>
      <c r="J16" s="3"/>
      <c r="K16" s="4"/>
      <c r="L16" s="2"/>
      <c r="M16" s="3"/>
      <c r="N16" s="3"/>
      <c r="O16" s="3"/>
      <c r="P16" s="3"/>
      <c r="Q16" s="3"/>
      <c r="R16" s="3"/>
      <c r="S16" s="3"/>
      <c r="T16" s="3"/>
      <c r="U16" s="3"/>
      <c r="V16" s="3"/>
      <c r="W16" s="413" t="s">
        <v>129</v>
      </c>
      <c r="X16" s="414"/>
      <c r="Y16" s="414"/>
      <c r="Z16" s="414"/>
      <c r="AA16" s="414"/>
      <c r="AB16" s="414"/>
      <c r="AC16" s="415"/>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4"/>
    </row>
    <row r="17" spans="1:58">
      <c r="A17" s="2">
        <f>IF(B17="","",COUNTA($B$7:B17))</f>
        <v>10</v>
      </c>
      <c r="B17" s="2" t="s">
        <v>230</v>
      </c>
      <c r="C17" s="3"/>
      <c r="D17" s="3"/>
      <c r="E17" s="3"/>
      <c r="F17" s="3"/>
      <c r="G17" s="3"/>
      <c r="H17" s="3"/>
      <c r="I17" s="3"/>
      <c r="J17" s="3"/>
      <c r="K17" s="4"/>
      <c r="L17" s="2" t="s">
        <v>1244</v>
      </c>
      <c r="M17" s="3"/>
      <c r="N17" s="3"/>
      <c r="O17" s="3"/>
      <c r="P17" s="3"/>
      <c r="Q17" s="3"/>
      <c r="R17" s="3"/>
      <c r="S17" s="3"/>
      <c r="T17" s="3"/>
      <c r="U17" s="3"/>
      <c r="V17" s="3"/>
      <c r="W17" s="413" t="s">
        <v>129</v>
      </c>
      <c r="X17" s="414"/>
      <c r="Y17" s="414"/>
      <c r="Z17" s="414"/>
      <c r="AA17" s="414"/>
      <c r="AB17" s="414"/>
      <c r="AC17" s="415"/>
      <c r="AD17" s="3" t="s">
        <v>232</v>
      </c>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4"/>
    </row>
    <row r="18" spans="1:58">
      <c r="A18" s="386">
        <f>IF(B18="","",COUNTA($B$7:B18))</f>
        <v>11</v>
      </c>
      <c r="B18" s="392" t="s">
        <v>1193</v>
      </c>
      <c r="C18" s="387"/>
      <c r="D18" s="387"/>
      <c r="E18" s="387"/>
      <c r="F18" s="387"/>
      <c r="G18" s="387"/>
      <c r="H18" s="387"/>
      <c r="I18" s="387"/>
      <c r="J18" s="387"/>
      <c r="K18" s="388"/>
      <c r="L18" s="386"/>
      <c r="M18" s="387"/>
      <c r="N18" s="387"/>
      <c r="O18" s="387"/>
      <c r="P18" s="387"/>
      <c r="Q18" s="387"/>
      <c r="R18" s="387"/>
      <c r="S18" s="387"/>
      <c r="T18" s="387"/>
      <c r="U18" s="387"/>
      <c r="V18" s="387"/>
      <c r="W18" s="416" t="s">
        <v>129</v>
      </c>
      <c r="X18" s="417"/>
      <c r="Y18" s="417"/>
      <c r="Z18" s="417"/>
      <c r="AA18" s="417"/>
      <c r="AB18" s="417"/>
      <c r="AC18" s="418"/>
      <c r="AD18" s="387" t="s">
        <v>1855</v>
      </c>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387"/>
      <c r="BB18" s="387"/>
      <c r="BC18" s="387"/>
      <c r="BD18" s="387"/>
      <c r="BE18" s="387"/>
      <c r="BF18" s="388"/>
    </row>
    <row r="19" spans="1:58">
      <c r="A19" s="389" t="str">
        <f>IF(B19="","",COUNTA($B$7:B19))</f>
        <v/>
      </c>
      <c r="B19" s="393"/>
      <c r="C19" s="390"/>
      <c r="D19" s="390"/>
      <c r="E19" s="390"/>
      <c r="F19" s="390"/>
      <c r="G19" s="390"/>
      <c r="H19" s="390"/>
      <c r="I19" s="390"/>
      <c r="J19" s="390"/>
      <c r="K19" s="391"/>
      <c r="L19" s="389"/>
      <c r="M19" s="390"/>
      <c r="N19" s="390"/>
      <c r="O19" s="390"/>
      <c r="P19" s="390"/>
      <c r="Q19" s="390"/>
      <c r="R19" s="390"/>
      <c r="S19" s="390"/>
      <c r="T19" s="390"/>
      <c r="U19" s="390"/>
      <c r="V19" s="390"/>
      <c r="W19" s="407"/>
      <c r="X19" s="408"/>
      <c r="Y19" s="408"/>
      <c r="Z19" s="408"/>
      <c r="AA19" s="408"/>
      <c r="AB19" s="408"/>
      <c r="AC19" s="409"/>
      <c r="AD19" s="390" t="s">
        <v>1854</v>
      </c>
      <c r="AE19" s="390"/>
      <c r="AF19" s="390"/>
      <c r="AG19" s="390"/>
      <c r="AH19" s="390"/>
      <c r="AI19" s="390"/>
      <c r="AJ19" s="390"/>
      <c r="AK19" s="390"/>
      <c r="AL19" s="390"/>
      <c r="AM19" s="390"/>
      <c r="AN19" s="390"/>
      <c r="AO19" s="390"/>
      <c r="AP19" s="390"/>
      <c r="AQ19" s="390"/>
      <c r="AR19" s="390"/>
      <c r="AS19" s="390"/>
      <c r="AT19" s="390"/>
      <c r="AU19" s="390"/>
      <c r="AV19" s="390"/>
      <c r="AW19" s="390"/>
      <c r="AX19" s="390"/>
      <c r="AY19" s="390"/>
      <c r="AZ19" s="390"/>
      <c r="BA19" s="390"/>
      <c r="BB19" s="390"/>
      <c r="BC19" s="390"/>
      <c r="BD19" s="390"/>
      <c r="BE19" s="390"/>
      <c r="BF19" s="391"/>
    </row>
    <row r="20" spans="1:58">
      <c r="A20" s="2">
        <f>IF(B20="","",COUNTA($B$7:B20))</f>
        <v>12</v>
      </c>
      <c r="B20" s="2" t="s">
        <v>231</v>
      </c>
      <c r="C20" s="3"/>
      <c r="D20" s="3"/>
      <c r="E20" s="3"/>
      <c r="F20" s="3"/>
      <c r="G20" s="3"/>
      <c r="H20" s="3"/>
      <c r="I20" s="3"/>
      <c r="J20" s="3"/>
      <c r="K20" s="4"/>
      <c r="L20" s="2" t="s">
        <v>1245</v>
      </c>
      <c r="M20" s="3"/>
      <c r="N20" s="3"/>
      <c r="O20" s="3"/>
      <c r="P20" s="3"/>
      <c r="Q20" s="3"/>
      <c r="R20" s="3"/>
      <c r="S20" s="3"/>
      <c r="T20" s="3"/>
      <c r="U20" s="3"/>
      <c r="V20" s="3"/>
      <c r="W20" s="413" t="s">
        <v>129</v>
      </c>
      <c r="X20" s="414"/>
      <c r="Y20" s="414"/>
      <c r="Z20" s="414"/>
      <c r="AA20" s="414"/>
      <c r="AB20" s="414"/>
      <c r="AC20" s="415"/>
      <c r="AD20" s="3" t="s">
        <v>233</v>
      </c>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4"/>
    </row>
    <row r="21" spans="1:58">
      <c r="A21" s="2">
        <f>IF(B21="","",COUNTA($B$7:B21))</f>
        <v>13</v>
      </c>
      <c r="B21" s="2" t="s">
        <v>1246</v>
      </c>
      <c r="C21" s="3"/>
      <c r="D21" s="3"/>
      <c r="E21" s="3"/>
      <c r="F21" s="3"/>
      <c r="G21" s="3"/>
      <c r="H21" s="3"/>
      <c r="I21" s="3"/>
      <c r="J21" s="3"/>
      <c r="K21" s="4"/>
      <c r="L21" s="2" t="s">
        <v>1247</v>
      </c>
      <c r="M21" s="3"/>
      <c r="N21" s="3"/>
      <c r="O21" s="3"/>
      <c r="P21" s="3"/>
      <c r="Q21" s="3"/>
      <c r="R21" s="3"/>
      <c r="S21" s="3"/>
      <c r="T21" s="3"/>
      <c r="U21" s="3"/>
      <c r="V21" s="3"/>
      <c r="W21" s="413" t="s">
        <v>129</v>
      </c>
      <c r="X21" s="414"/>
      <c r="Y21" s="414"/>
      <c r="Z21" s="414"/>
      <c r="AA21" s="414"/>
      <c r="AB21" s="414"/>
      <c r="AC21" s="415"/>
      <c r="AD21" s="3" t="s">
        <v>1194</v>
      </c>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4"/>
    </row>
    <row r="22" spans="1:58">
      <c r="A22" s="402">
        <f>IF(B22="","",COUNTA($B$7:B22))</f>
        <v>14</v>
      </c>
      <c r="B22" s="395" t="s">
        <v>1258</v>
      </c>
      <c r="C22" s="396"/>
      <c r="D22" s="396"/>
      <c r="E22" s="396"/>
      <c r="F22" s="396"/>
      <c r="G22" s="396"/>
      <c r="H22" s="396"/>
      <c r="I22" s="396"/>
      <c r="J22" s="396"/>
      <c r="K22" s="397"/>
      <c r="L22" s="395" t="s">
        <v>1257</v>
      </c>
      <c r="M22" s="396"/>
      <c r="N22" s="396"/>
      <c r="O22" s="396"/>
      <c r="P22" s="396"/>
      <c r="Q22" s="396"/>
      <c r="R22" s="396"/>
      <c r="S22" s="396"/>
      <c r="T22" s="396"/>
      <c r="U22" s="396"/>
      <c r="V22" s="396"/>
      <c r="W22" s="422" t="s">
        <v>129</v>
      </c>
      <c r="X22" s="423"/>
      <c r="Y22" s="423"/>
      <c r="Z22" s="423"/>
      <c r="AA22" s="423"/>
      <c r="AB22" s="423"/>
      <c r="AC22" s="424"/>
      <c r="AD22" s="396" t="s">
        <v>1853</v>
      </c>
      <c r="AE22" s="396"/>
      <c r="AF22" s="396"/>
      <c r="AG22" s="396"/>
      <c r="AH22" s="396"/>
      <c r="AI22" s="396"/>
      <c r="AJ22" s="396"/>
      <c r="AK22" s="396"/>
      <c r="AL22" s="396"/>
      <c r="AM22" s="396"/>
      <c r="AN22" s="396"/>
      <c r="AO22" s="396"/>
      <c r="AP22" s="396"/>
      <c r="AQ22" s="396"/>
      <c r="AR22" s="396"/>
      <c r="AS22" s="396"/>
      <c r="AT22" s="396"/>
      <c r="AU22" s="401" t="s">
        <v>1857</v>
      </c>
      <c r="AV22" s="396"/>
      <c r="AW22" s="396"/>
      <c r="AX22" s="396"/>
      <c r="AY22" s="396"/>
      <c r="AZ22" s="396"/>
      <c r="BA22" s="396"/>
      <c r="BB22" s="396"/>
      <c r="BC22" s="396"/>
      <c r="BD22" s="396"/>
      <c r="BE22" s="396"/>
      <c r="BF22" s="397"/>
    </row>
    <row r="23" spans="1:58">
      <c r="A23" s="403" t="str">
        <f>IF(B23="","",COUNTA($B$7:B23))</f>
        <v/>
      </c>
      <c r="B23" s="398"/>
      <c r="C23" s="399"/>
      <c r="D23" s="399"/>
      <c r="E23" s="399"/>
      <c r="F23" s="399"/>
      <c r="G23" s="399"/>
      <c r="H23" s="399"/>
      <c r="I23" s="399"/>
      <c r="J23" s="399"/>
      <c r="K23" s="400"/>
      <c r="L23" s="398"/>
      <c r="M23" s="399"/>
      <c r="N23" s="399"/>
      <c r="O23" s="399"/>
      <c r="P23" s="399"/>
      <c r="Q23" s="399"/>
      <c r="R23" s="399"/>
      <c r="S23" s="399"/>
      <c r="T23" s="399"/>
      <c r="U23" s="399"/>
      <c r="V23" s="399"/>
      <c r="W23" s="410"/>
      <c r="X23" s="411"/>
      <c r="Y23" s="411"/>
      <c r="Z23" s="411"/>
      <c r="AA23" s="411"/>
      <c r="AB23" s="411"/>
      <c r="AC23" s="412"/>
      <c r="AD23" s="399" t="s">
        <v>1852</v>
      </c>
      <c r="AE23" s="399"/>
      <c r="AF23" s="399"/>
      <c r="AG23" s="399"/>
      <c r="AH23" s="399"/>
      <c r="AI23" s="399"/>
      <c r="AJ23" s="399"/>
      <c r="AK23" s="399"/>
      <c r="AL23" s="399"/>
      <c r="AM23" s="399"/>
      <c r="AN23" s="399"/>
      <c r="AO23" s="399"/>
      <c r="AP23" s="399"/>
      <c r="AQ23" s="399"/>
      <c r="AR23" s="399"/>
      <c r="AS23" s="399"/>
      <c r="AT23" s="399"/>
      <c r="AU23" s="399"/>
      <c r="AV23" s="399"/>
      <c r="AW23" s="399"/>
      <c r="AX23" s="399"/>
      <c r="AY23" s="399"/>
      <c r="AZ23" s="399"/>
      <c r="BA23" s="399"/>
      <c r="BB23" s="399"/>
      <c r="BC23" s="399"/>
      <c r="BD23" s="399"/>
      <c r="BE23" s="399"/>
      <c r="BF23" s="400"/>
    </row>
    <row r="24" spans="1:58">
      <c r="A24" s="2">
        <f>IF(B24="","",COUNTA($B$7:B24))</f>
        <v>15</v>
      </c>
      <c r="B24" s="49" t="s">
        <v>1195</v>
      </c>
      <c r="C24" s="3"/>
      <c r="D24" s="3"/>
      <c r="E24" s="3"/>
      <c r="F24" s="3"/>
      <c r="G24" s="3"/>
      <c r="H24" s="3"/>
      <c r="I24" s="3"/>
      <c r="J24" s="3"/>
      <c r="K24" s="4"/>
      <c r="L24" s="2"/>
      <c r="M24" s="3"/>
      <c r="N24" s="3"/>
      <c r="O24" s="3"/>
      <c r="P24" s="3"/>
      <c r="Q24" s="3"/>
      <c r="R24" s="3"/>
      <c r="S24" s="3"/>
      <c r="T24" s="3"/>
      <c r="U24" s="3"/>
      <c r="V24" s="3"/>
      <c r="W24" s="413" t="s">
        <v>129</v>
      </c>
      <c r="X24" s="414"/>
      <c r="Y24" s="414"/>
      <c r="Z24" s="414"/>
      <c r="AA24" s="414"/>
      <c r="AB24" s="414"/>
      <c r="AC24" s="415"/>
      <c r="AD24" s="3" t="s">
        <v>1196</v>
      </c>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4"/>
    </row>
    <row r="25" spans="1:58">
      <c r="A25" s="2">
        <f>IF(B25="","",COUNTA($B$7:B25))</f>
        <v>16</v>
      </c>
      <c r="B25" s="2" t="s">
        <v>1373</v>
      </c>
      <c r="C25" s="3"/>
      <c r="D25" s="3"/>
      <c r="E25" s="3"/>
      <c r="F25" s="3"/>
      <c r="G25" s="3"/>
      <c r="H25" s="3"/>
      <c r="I25" s="3"/>
      <c r="J25" s="3"/>
      <c r="K25" s="4"/>
      <c r="L25" s="2" t="s">
        <v>1374</v>
      </c>
      <c r="M25" s="3"/>
      <c r="N25" s="3"/>
      <c r="O25" s="3"/>
      <c r="P25" s="3"/>
      <c r="Q25" s="3"/>
      <c r="R25" s="3"/>
      <c r="S25" s="3"/>
      <c r="T25" s="3"/>
      <c r="U25" s="3"/>
      <c r="V25" s="3"/>
      <c r="W25" s="413" t="s">
        <v>1349</v>
      </c>
      <c r="X25" s="414"/>
      <c r="Y25" s="414"/>
      <c r="Z25" s="414"/>
      <c r="AA25" s="414"/>
      <c r="AB25" s="414"/>
      <c r="AC25" s="415"/>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4"/>
    </row>
    <row r="26" spans="1:58">
      <c r="A26" s="2">
        <f>IF(B26="","",COUNTA($B$7:B26))</f>
        <v>17</v>
      </c>
      <c r="B26" s="2" t="s">
        <v>1350</v>
      </c>
      <c r="C26" s="3"/>
      <c r="D26" s="3"/>
      <c r="E26" s="3"/>
      <c r="F26" s="3"/>
      <c r="G26" s="3"/>
      <c r="H26" s="3"/>
      <c r="I26" s="3"/>
      <c r="J26" s="3"/>
      <c r="K26" s="4"/>
      <c r="L26" s="2" t="s">
        <v>1351</v>
      </c>
      <c r="M26" s="3"/>
      <c r="N26" s="3"/>
      <c r="O26" s="3"/>
      <c r="P26" s="3"/>
      <c r="Q26" s="3"/>
      <c r="R26" s="3"/>
      <c r="S26" s="3"/>
      <c r="T26" s="3"/>
      <c r="U26" s="3"/>
      <c r="V26" s="3"/>
      <c r="W26" s="413" t="s">
        <v>1349</v>
      </c>
      <c r="X26" s="414"/>
      <c r="Y26" s="414"/>
      <c r="Z26" s="414"/>
      <c r="AA26" s="414"/>
      <c r="AB26" s="414"/>
      <c r="AC26" s="415"/>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4"/>
    </row>
    <row r="27" spans="1:58">
      <c r="A27" s="2" t="str">
        <f>IF(B27="","",COUNTA($B$7:B27))</f>
        <v/>
      </c>
      <c r="B27" s="2"/>
      <c r="C27" s="3"/>
      <c r="D27" s="3"/>
      <c r="E27" s="3"/>
      <c r="F27" s="3"/>
      <c r="G27" s="3"/>
      <c r="H27" s="3"/>
      <c r="I27" s="3"/>
      <c r="J27" s="3"/>
      <c r="K27" s="4"/>
      <c r="L27" s="2"/>
      <c r="M27" s="3"/>
      <c r="N27" s="3"/>
      <c r="O27" s="3"/>
      <c r="P27" s="3"/>
      <c r="Q27" s="3"/>
      <c r="R27" s="3"/>
      <c r="S27" s="3"/>
      <c r="T27" s="3"/>
      <c r="U27" s="3"/>
      <c r="V27" s="3"/>
      <c r="W27" s="413"/>
      <c r="X27" s="414"/>
      <c r="Y27" s="414"/>
      <c r="Z27" s="414"/>
      <c r="AA27" s="414"/>
      <c r="AB27" s="414"/>
      <c r="AC27" s="415"/>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4"/>
    </row>
    <row r="28" spans="1:58">
      <c r="A28" s="2" t="str">
        <f>IF(B28="","",COUNTA($B$7:B28))</f>
        <v/>
      </c>
      <c r="B28" s="49"/>
      <c r="C28" s="3"/>
      <c r="D28" s="3"/>
      <c r="E28" s="3"/>
      <c r="F28" s="3"/>
      <c r="G28" s="3"/>
      <c r="H28" s="3"/>
      <c r="I28" s="3"/>
      <c r="J28" s="3"/>
      <c r="K28" s="4"/>
      <c r="L28" s="2"/>
      <c r="M28" s="3"/>
      <c r="N28" s="3"/>
      <c r="O28" s="3"/>
      <c r="P28" s="3"/>
      <c r="Q28" s="3"/>
      <c r="R28" s="3"/>
      <c r="S28" s="3"/>
      <c r="T28" s="3"/>
      <c r="U28" s="3"/>
      <c r="V28" s="3"/>
      <c r="W28" s="413"/>
      <c r="X28" s="414"/>
      <c r="Y28" s="414"/>
      <c r="Z28" s="414"/>
      <c r="AA28" s="414"/>
      <c r="AB28" s="414"/>
      <c r="AC28" s="415"/>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4"/>
    </row>
    <row r="29" spans="1:58">
      <c r="A29" s="2" t="str">
        <f>IF(B29="","",COUNTA($B$7:B29))</f>
        <v/>
      </c>
      <c r="B29" s="2"/>
      <c r="C29" s="3"/>
      <c r="D29" s="3"/>
      <c r="E29" s="3"/>
      <c r="F29" s="3"/>
      <c r="G29" s="3"/>
      <c r="H29" s="3"/>
      <c r="I29" s="3"/>
      <c r="J29" s="3"/>
      <c r="K29" s="4"/>
      <c r="L29" s="2"/>
      <c r="M29" s="3"/>
      <c r="N29" s="3"/>
      <c r="O29" s="3"/>
      <c r="P29" s="3"/>
      <c r="Q29" s="3"/>
      <c r="R29" s="3"/>
      <c r="S29" s="3"/>
      <c r="T29" s="3"/>
      <c r="U29" s="3"/>
      <c r="V29" s="3"/>
      <c r="W29" s="413"/>
      <c r="X29" s="414"/>
      <c r="Y29" s="414"/>
      <c r="Z29" s="414"/>
      <c r="AA29" s="414"/>
      <c r="AB29" s="414"/>
      <c r="AC29" s="415"/>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4"/>
    </row>
    <row r="30" spans="1:58">
      <c r="A30" s="2" t="str">
        <f>IF(B30="","",COUNTA($B$7:B30))</f>
        <v/>
      </c>
      <c r="B30" s="2"/>
      <c r="C30" s="3"/>
      <c r="D30" s="3"/>
      <c r="E30" s="3"/>
      <c r="F30" s="3"/>
      <c r="G30" s="3"/>
      <c r="H30" s="3"/>
      <c r="I30" s="3"/>
      <c r="J30" s="3"/>
      <c r="K30" s="4"/>
      <c r="L30" s="2"/>
      <c r="M30" s="3"/>
      <c r="N30" s="3"/>
      <c r="O30" s="3"/>
      <c r="P30" s="3"/>
      <c r="Q30" s="3"/>
      <c r="R30" s="3"/>
      <c r="S30" s="3"/>
      <c r="T30" s="3"/>
      <c r="U30" s="3"/>
      <c r="V30" s="3"/>
      <c r="W30" s="413"/>
      <c r="X30" s="414"/>
      <c r="Y30" s="414"/>
      <c r="Z30" s="414"/>
      <c r="AA30" s="414"/>
      <c r="AB30" s="414"/>
      <c r="AC30" s="415"/>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4"/>
    </row>
    <row r="31" spans="1:58">
      <c r="A31" s="2" t="str">
        <f>IF(B31="","",COUNTA($B$7:B31))</f>
        <v/>
      </c>
      <c r="B31" s="2"/>
      <c r="C31" s="3"/>
      <c r="D31" s="3"/>
      <c r="E31" s="3"/>
      <c r="F31" s="3"/>
      <c r="G31" s="3"/>
      <c r="H31" s="3"/>
      <c r="I31" s="3"/>
      <c r="J31" s="3"/>
      <c r="K31" s="4"/>
      <c r="L31" s="2"/>
      <c r="M31" s="3"/>
      <c r="N31" s="3"/>
      <c r="O31" s="3"/>
      <c r="P31" s="3"/>
      <c r="Q31" s="3"/>
      <c r="R31" s="3"/>
      <c r="S31" s="3"/>
      <c r="T31" s="3"/>
      <c r="U31" s="3"/>
      <c r="V31" s="3"/>
      <c r="W31" s="413"/>
      <c r="X31" s="414"/>
      <c r="Y31" s="414"/>
      <c r="Z31" s="414"/>
      <c r="AA31" s="414"/>
      <c r="AB31" s="414"/>
      <c r="AC31" s="415"/>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4"/>
    </row>
    <row r="32" spans="1:58">
      <c r="A32" s="2" t="str">
        <f>IF(B32="","",COUNTA($B$7:B32))</f>
        <v/>
      </c>
      <c r="B32" s="2"/>
      <c r="C32" s="3"/>
      <c r="D32" s="3"/>
      <c r="E32" s="3"/>
      <c r="F32" s="3"/>
      <c r="G32" s="3"/>
      <c r="H32" s="3"/>
      <c r="I32" s="3"/>
      <c r="J32" s="3"/>
      <c r="K32" s="4"/>
      <c r="L32" s="2"/>
      <c r="M32" s="3"/>
      <c r="N32" s="3"/>
      <c r="O32" s="3"/>
      <c r="P32" s="3"/>
      <c r="Q32" s="3"/>
      <c r="R32" s="3"/>
      <c r="S32" s="3"/>
      <c r="T32" s="3"/>
      <c r="U32" s="3"/>
      <c r="V32" s="3"/>
      <c r="W32" s="413"/>
      <c r="X32" s="414"/>
      <c r="Y32" s="414"/>
      <c r="Z32" s="414"/>
      <c r="AA32" s="414"/>
      <c r="AB32" s="414"/>
      <c r="AC32" s="415"/>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4"/>
    </row>
    <row r="33" spans="1:58">
      <c r="A33" s="2" t="str">
        <f>IF(B33="","",COUNTA($B$7:B33))</f>
        <v/>
      </c>
      <c r="B33" s="2"/>
      <c r="C33" s="3"/>
      <c r="D33" s="3"/>
      <c r="E33" s="3"/>
      <c r="F33" s="3"/>
      <c r="G33" s="3"/>
      <c r="H33" s="3"/>
      <c r="I33" s="3"/>
      <c r="J33" s="3"/>
      <c r="K33" s="4"/>
      <c r="L33" s="2"/>
      <c r="M33" s="3"/>
      <c r="N33" s="3"/>
      <c r="O33" s="3"/>
      <c r="P33" s="3"/>
      <c r="Q33" s="3"/>
      <c r="R33" s="3"/>
      <c r="S33" s="3"/>
      <c r="T33" s="3"/>
      <c r="U33" s="3"/>
      <c r="V33" s="3"/>
      <c r="W33" s="413"/>
      <c r="X33" s="414"/>
      <c r="Y33" s="414"/>
      <c r="Z33" s="414"/>
      <c r="AA33" s="414"/>
      <c r="AB33" s="414"/>
      <c r="AC33" s="415"/>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4"/>
    </row>
    <row r="34" spans="1:58">
      <c r="A34" s="2" t="str">
        <f>IF(B34="","",COUNTA($B$7:B34))</f>
        <v/>
      </c>
      <c r="B34" s="2"/>
      <c r="C34" s="3"/>
      <c r="D34" s="3"/>
      <c r="E34" s="3"/>
      <c r="F34" s="3"/>
      <c r="G34" s="3"/>
      <c r="H34" s="3"/>
      <c r="I34" s="3"/>
      <c r="J34" s="3"/>
      <c r="K34" s="4"/>
      <c r="L34" s="2"/>
      <c r="M34" s="3"/>
      <c r="N34" s="3"/>
      <c r="O34" s="3"/>
      <c r="P34" s="3"/>
      <c r="Q34" s="3"/>
      <c r="R34" s="3"/>
      <c r="S34" s="3"/>
      <c r="T34" s="3"/>
      <c r="U34" s="3"/>
      <c r="V34" s="3"/>
      <c r="W34" s="413"/>
      <c r="X34" s="414"/>
      <c r="Y34" s="414"/>
      <c r="Z34" s="414"/>
      <c r="AA34" s="414"/>
      <c r="AB34" s="414"/>
      <c r="AC34" s="415"/>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4"/>
    </row>
    <row r="35" spans="1:58">
      <c r="A35" s="2" t="str">
        <f>IF(B35="","",COUNTA($B$7:B35))</f>
        <v/>
      </c>
      <c r="B35" s="2"/>
      <c r="C35" s="3"/>
      <c r="D35" s="3"/>
      <c r="E35" s="3"/>
      <c r="F35" s="3"/>
      <c r="G35" s="3"/>
      <c r="H35" s="3"/>
      <c r="I35" s="3"/>
      <c r="J35" s="3"/>
      <c r="K35" s="4"/>
      <c r="L35" s="2"/>
      <c r="M35" s="3"/>
      <c r="N35" s="3"/>
      <c r="O35" s="3"/>
      <c r="P35" s="3"/>
      <c r="Q35" s="3"/>
      <c r="R35" s="3"/>
      <c r="S35" s="3"/>
      <c r="T35" s="3"/>
      <c r="U35" s="3"/>
      <c r="V35" s="3"/>
      <c r="W35" s="413"/>
      <c r="X35" s="414"/>
      <c r="Y35" s="414"/>
      <c r="Z35" s="414"/>
      <c r="AA35" s="414"/>
      <c r="AB35" s="414"/>
      <c r="AC35" s="415"/>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4"/>
    </row>
    <row r="36" spans="1:58">
      <c r="A36" s="2" t="str">
        <f>IF(B36="","",COUNTA($B$7:B36))</f>
        <v/>
      </c>
      <c r="B36" s="2"/>
      <c r="C36" s="3"/>
      <c r="D36" s="3"/>
      <c r="E36" s="3"/>
      <c r="F36" s="3"/>
      <c r="G36" s="3"/>
      <c r="H36" s="3"/>
      <c r="I36" s="3"/>
      <c r="J36" s="3"/>
      <c r="K36" s="4"/>
      <c r="L36" s="2"/>
      <c r="M36" s="3"/>
      <c r="N36" s="3"/>
      <c r="O36" s="3"/>
      <c r="P36" s="3"/>
      <c r="Q36" s="3"/>
      <c r="R36" s="3"/>
      <c r="S36" s="3"/>
      <c r="T36" s="3"/>
      <c r="U36" s="3"/>
      <c r="V36" s="3"/>
      <c r="W36" s="413"/>
      <c r="X36" s="414"/>
      <c r="Y36" s="414"/>
      <c r="Z36" s="414"/>
      <c r="AA36" s="414"/>
      <c r="AB36" s="414"/>
      <c r="AC36" s="415"/>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4"/>
    </row>
    <row r="37" spans="1:58">
      <c r="A37" s="2" t="str">
        <f>IF(B37="","",COUNTA($B$7:B37))</f>
        <v/>
      </c>
      <c r="B37" s="2"/>
      <c r="C37" s="3"/>
      <c r="D37" s="3"/>
      <c r="E37" s="3"/>
      <c r="F37" s="3"/>
      <c r="G37" s="3"/>
      <c r="H37" s="3"/>
      <c r="I37" s="3"/>
      <c r="J37" s="3"/>
      <c r="K37" s="4"/>
      <c r="L37" s="2"/>
      <c r="M37" s="3"/>
      <c r="N37" s="3"/>
      <c r="O37" s="3"/>
      <c r="P37" s="3"/>
      <c r="Q37" s="3"/>
      <c r="R37" s="3"/>
      <c r="S37" s="3"/>
      <c r="T37" s="3"/>
      <c r="U37" s="3"/>
      <c r="V37" s="3"/>
      <c r="W37" s="413"/>
      <c r="X37" s="414"/>
      <c r="Y37" s="414"/>
      <c r="Z37" s="414"/>
      <c r="AA37" s="414"/>
      <c r="AB37" s="414"/>
      <c r="AC37" s="415"/>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4"/>
    </row>
    <row r="38" spans="1:58">
      <c r="A38" s="2" t="str">
        <f>IF(B38="","",COUNTA($B$7:B38))</f>
        <v/>
      </c>
      <c r="B38" s="2"/>
      <c r="C38" s="3"/>
      <c r="D38" s="3"/>
      <c r="E38" s="3"/>
      <c r="F38" s="3"/>
      <c r="G38" s="3"/>
      <c r="H38" s="3"/>
      <c r="I38" s="3"/>
      <c r="J38" s="3"/>
      <c r="K38" s="4"/>
      <c r="L38" s="2"/>
      <c r="M38" s="3"/>
      <c r="N38" s="3"/>
      <c r="O38" s="3"/>
      <c r="P38" s="3"/>
      <c r="Q38" s="3"/>
      <c r="R38" s="3"/>
      <c r="S38" s="3"/>
      <c r="T38" s="3"/>
      <c r="U38" s="3"/>
      <c r="V38" s="3"/>
      <c r="W38" s="413"/>
      <c r="X38" s="414"/>
      <c r="Y38" s="414"/>
      <c r="Z38" s="414"/>
      <c r="AA38" s="414"/>
      <c r="AB38" s="414"/>
      <c r="AC38" s="415"/>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4"/>
    </row>
    <row r="39" spans="1:58">
      <c r="A39" s="2" t="str">
        <f>IF(B39="","",COUNTA($B$7:B39))</f>
        <v/>
      </c>
      <c r="B39" s="2"/>
      <c r="C39" s="3"/>
      <c r="D39" s="3"/>
      <c r="E39" s="3"/>
      <c r="F39" s="3"/>
      <c r="G39" s="3"/>
      <c r="H39" s="3"/>
      <c r="I39" s="3"/>
      <c r="J39" s="3"/>
      <c r="K39" s="4"/>
      <c r="L39" s="2"/>
      <c r="M39" s="3"/>
      <c r="N39" s="3"/>
      <c r="O39" s="3"/>
      <c r="P39" s="3"/>
      <c r="Q39" s="3"/>
      <c r="R39" s="3"/>
      <c r="S39" s="3"/>
      <c r="T39" s="3"/>
      <c r="U39" s="3"/>
      <c r="V39" s="3"/>
      <c r="W39" s="413"/>
      <c r="X39" s="414"/>
      <c r="Y39" s="414"/>
      <c r="Z39" s="414"/>
      <c r="AA39" s="414"/>
      <c r="AB39" s="414"/>
      <c r="AC39" s="415"/>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4"/>
    </row>
    <row r="40" spans="1:58">
      <c r="A40" s="2" t="str">
        <f>IF(B40="","",COUNTA($B$7:B40))</f>
        <v/>
      </c>
      <c r="B40" s="2"/>
      <c r="C40" s="3"/>
      <c r="D40" s="3"/>
      <c r="E40" s="3"/>
      <c r="F40" s="3"/>
      <c r="G40" s="3"/>
      <c r="H40" s="3"/>
      <c r="I40" s="3"/>
      <c r="J40" s="3"/>
      <c r="K40" s="4"/>
      <c r="L40" s="2"/>
      <c r="M40" s="3"/>
      <c r="N40" s="3"/>
      <c r="O40" s="3"/>
      <c r="P40" s="3"/>
      <c r="Q40" s="3"/>
      <c r="R40" s="3"/>
      <c r="S40" s="3"/>
      <c r="T40" s="3"/>
      <c r="U40" s="3"/>
      <c r="V40" s="3"/>
      <c r="W40" s="413"/>
      <c r="X40" s="414"/>
      <c r="Y40" s="414"/>
      <c r="Z40" s="414"/>
      <c r="AA40" s="414"/>
      <c r="AB40" s="414"/>
      <c r="AC40" s="415"/>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4"/>
    </row>
    <row r="41" spans="1:58">
      <c r="A41" s="2" t="str">
        <f>IF(B41="","",COUNTA($B$7:B41))</f>
        <v/>
      </c>
      <c r="B41" s="2"/>
      <c r="C41" s="3"/>
      <c r="D41" s="3"/>
      <c r="E41" s="3"/>
      <c r="F41" s="3"/>
      <c r="G41" s="3"/>
      <c r="H41" s="3"/>
      <c r="I41" s="3"/>
      <c r="J41" s="3"/>
      <c r="K41" s="4"/>
      <c r="L41" s="2"/>
      <c r="M41" s="3"/>
      <c r="N41" s="3"/>
      <c r="O41" s="3"/>
      <c r="P41" s="3"/>
      <c r="Q41" s="3"/>
      <c r="R41" s="3"/>
      <c r="S41" s="3"/>
      <c r="T41" s="3"/>
      <c r="U41" s="3"/>
      <c r="V41" s="3"/>
      <c r="W41" s="413"/>
      <c r="X41" s="414"/>
      <c r="Y41" s="414"/>
      <c r="Z41" s="414"/>
      <c r="AA41" s="414"/>
      <c r="AB41" s="414"/>
      <c r="AC41" s="415"/>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4"/>
    </row>
    <row r="42" spans="1:58">
      <c r="A42" s="2" t="str">
        <f>IF(B42="","",COUNTA($B$7:B42))</f>
        <v/>
      </c>
      <c r="B42" s="2"/>
      <c r="C42" s="3"/>
      <c r="D42" s="3"/>
      <c r="E42" s="3"/>
      <c r="F42" s="3"/>
      <c r="G42" s="3"/>
      <c r="H42" s="3"/>
      <c r="I42" s="3"/>
      <c r="J42" s="3"/>
      <c r="K42" s="4"/>
      <c r="L42" s="2"/>
      <c r="M42" s="3"/>
      <c r="N42" s="3"/>
      <c r="O42" s="3"/>
      <c r="P42" s="3"/>
      <c r="Q42" s="3"/>
      <c r="R42" s="3"/>
      <c r="S42" s="3"/>
      <c r="T42" s="3"/>
      <c r="U42" s="3"/>
      <c r="V42" s="3"/>
      <c r="W42" s="413"/>
      <c r="X42" s="414"/>
      <c r="Y42" s="414"/>
      <c r="Z42" s="414"/>
      <c r="AA42" s="414"/>
      <c r="AB42" s="414"/>
      <c r="AC42" s="415"/>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4"/>
    </row>
    <row r="43" spans="1:58">
      <c r="A43" s="2" t="str">
        <f>IF(B43="","",COUNTA($B$7:B43))</f>
        <v/>
      </c>
      <c r="B43" s="2"/>
      <c r="C43" s="3"/>
      <c r="D43" s="3"/>
      <c r="E43" s="3"/>
      <c r="F43" s="3"/>
      <c r="G43" s="3"/>
      <c r="H43" s="3"/>
      <c r="I43" s="3"/>
      <c r="J43" s="3"/>
      <c r="K43" s="4"/>
      <c r="L43" s="2"/>
      <c r="M43" s="3"/>
      <c r="N43" s="3"/>
      <c r="O43" s="3"/>
      <c r="P43" s="3"/>
      <c r="Q43" s="3"/>
      <c r="R43" s="3"/>
      <c r="S43" s="3"/>
      <c r="T43" s="3"/>
      <c r="U43" s="3"/>
      <c r="V43" s="3"/>
      <c r="W43" s="413"/>
      <c r="X43" s="414"/>
      <c r="Y43" s="414"/>
      <c r="Z43" s="414"/>
      <c r="AA43" s="414"/>
      <c r="AB43" s="414"/>
      <c r="AC43" s="415"/>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4"/>
    </row>
    <row r="44" spans="1:58">
      <c r="A44" s="2" t="str">
        <f>IF(B44="","",COUNTA($B$7:B44))</f>
        <v/>
      </c>
      <c r="B44" s="2"/>
      <c r="C44" s="3"/>
      <c r="D44" s="3"/>
      <c r="E44" s="3"/>
      <c r="F44" s="3"/>
      <c r="G44" s="3"/>
      <c r="H44" s="3"/>
      <c r="I44" s="3"/>
      <c r="J44" s="3"/>
      <c r="K44" s="4"/>
      <c r="L44" s="2"/>
      <c r="M44" s="3"/>
      <c r="N44" s="3"/>
      <c r="O44" s="3"/>
      <c r="P44" s="3"/>
      <c r="Q44" s="3"/>
      <c r="R44" s="3"/>
      <c r="S44" s="3"/>
      <c r="T44" s="3"/>
      <c r="U44" s="3"/>
      <c r="V44" s="3"/>
      <c r="W44" s="413"/>
      <c r="X44" s="414"/>
      <c r="Y44" s="414"/>
      <c r="Z44" s="414"/>
      <c r="AA44" s="414"/>
      <c r="AB44" s="414"/>
      <c r="AC44" s="415"/>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4"/>
    </row>
    <row r="45" spans="1:58">
      <c r="A45" s="2" t="str">
        <f>IF(B45="","",COUNTA($B$7:B45))</f>
        <v/>
      </c>
      <c r="B45" s="2"/>
      <c r="C45" s="3"/>
      <c r="D45" s="3"/>
      <c r="E45" s="3"/>
      <c r="F45" s="3"/>
      <c r="G45" s="3"/>
      <c r="H45" s="3"/>
      <c r="I45" s="3"/>
      <c r="J45" s="3"/>
      <c r="K45" s="4"/>
      <c r="L45" s="2"/>
      <c r="M45" s="3"/>
      <c r="N45" s="3"/>
      <c r="O45" s="3"/>
      <c r="P45" s="3"/>
      <c r="Q45" s="3"/>
      <c r="R45" s="3"/>
      <c r="S45" s="3"/>
      <c r="T45" s="3"/>
      <c r="U45" s="3"/>
      <c r="V45" s="3"/>
      <c r="W45" s="413"/>
      <c r="X45" s="414"/>
      <c r="Y45" s="414"/>
      <c r="Z45" s="414"/>
      <c r="AA45" s="414"/>
      <c r="AB45" s="414"/>
      <c r="AC45" s="415"/>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4"/>
    </row>
    <row r="46" spans="1:58">
      <c r="A46" s="2" t="str">
        <f>IF(B46="","",COUNTA($B$7:B46))</f>
        <v/>
      </c>
      <c r="B46" s="2"/>
      <c r="C46" s="3"/>
      <c r="D46" s="3"/>
      <c r="E46" s="3"/>
      <c r="F46" s="3"/>
      <c r="G46" s="3"/>
      <c r="H46" s="3"/>
      <c r="I46" s="3"/>
      <c r="J46" s="3"/>
      <c r="K46" s="4"/>
      <c r="L46" s="2"/>
      <c r="M46" s="3"/>
      <c r="N46" s="3"/>
      <c r="O46" s="3"/>
      <c r="P46" s="3"/>
      <c r="Q46" s="3"/>
      <c r="R46" s="3"/>
      <c r="S46" s="3"/>
      <c r="T46" s="3"/>
      <c r="U46" s="3"/>
      <c r="V46" s="3"/>
      <c r="W46" s="413"/>
      <c r="X46" s="414"/>
      <c r="Y46" s="414"/>
      <c r="Z46" s="414"/>
      <c r="AA46" s="414"/>
      <c r="AB46" s="414"/>
      <c r="AC46" s="415"/>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4"/>
    </row>
  </sheetData>
  <mergeCells count="53">
    <mergeCell ref="W24:AC24"/>
    <mergeCell ref="AR2:AV2"/>
    <mergeCell ref="AR3:AV3"/>
    <mergeCell ref="AR4:AV4"/>
    <mergeCell ref="B6:K6"/>
    <mergeCell ref="L6:V6"/>
    <mergeCell ref="AD6:BF6"/>
    <mergeCell ref="A1:K4"/>
    <mergeCell ref="L1:V1"/>
    <mergeCell ref="W1:AC1"/>
    <mergeCell ref="AD1:AQ1"/>
    <mergeCell ref="L2:V4"/>
    <mergeCell ref="W2:AC4"/>
    <mergeCell ref="AD2:AQ4"/>
    <mergeCell ref="W12:AC12"/>
    <mergeCell ref="W15:AC15"/>
    <mergeCell ref="W16:AC16"/>
    <mergeCell ref="W17:AC17"/>
    <mergeCell ref="W18:AC18"/>
    <mergeCell ref="W14:AC14"/>
    <mergeCell ref="W7:AC7"/>
    <mergeCell ref="W8:AC8"/>
    <mergeCell ref="W9:AC9"/>
    <mergeCell ref="W10:AC10"/>
    <mergeCell ref="W11:AC11"/>
    <mergeCell ref="W46:AC46"/>
    <mergeCell ref="W40:AC40"/>
    <mergeCell ref="W29:AC29"/>
    <mergeCell ref="W30:AC30"/>
    <mergeCell ref="W35:AC35"/>
    <mergeCell ref="W36:AC36"/>
    <mergeCell ref="W37:AC37"/>
    <mergeCell ref="W41:AC41"/>
    <mergeCell ref="W42:AC42"/>
    <mergeCell ref="W43:AC43"/>
    <mergeCell ref="W44:AC44"/>
    <mergeCell ref="W45:AC45"/>
    <mergeCell ref="W13:AC13"/>
    <mergeCell ref="W19:AC19"/>
    <mergeCell ref="W23:AC23"/>
    <mergeCell ref="W38:AC38"/>
    <mergeCell ref="W39:AC39"/>
    <mergeCell ref="W31:AC31"/>
    <mergeCell ref="W32:AC32"/>
    <mergeCell ref="W33:AC33"/>
    <mergeCell ref="W34:AC34"/>
    <mergeCell ref="W25:AC25"/>
    <mergeCell ref="W26:AC26"/>
    <mergeCell ref="W27:AC27"/>
    <mergeCell ref="W28:AC28"/>
    <mergeCell ref="W21:AC21"/>
    <mergeCell ref="W20:AC20"/>
    <mergeCell ref="W22:AC22"/>
  </mergeCells>
  <phoneticPr fontId="12"/>
  <dataValidations count="2">
    <dataValidation type="list" allowBlank="1" showInputMessage="1" showErrorMessage="1" sqref="W7:W46">
      <formula1>"A.受注,B.生産計画,C.生産実績,D.出荷,E.資材,F.請求・入金,G.売上,H.支払,I.原価,J.製品棚卸,K.在庫,L.共通"</formula1>
    </dataValidation>
    <dataValidation imeMode="hiragana" allowBlank="1" showInputMessage="1" showErrorMessage="1" sqref="FBY982680:FCJ982682 FLU982680:FMF982682 FVQ982680:FWB982682 GFM982680:GFX982682 GPI982680:GPT982682 GZE982680:GZP982682 HJA982680:HJL982682 HSW982680:HTH982682 ICS982680:IDD982682 IMO982680:IMZ982682 IWK982680:IWV982682 JGG982680:JGR982682 JQC982680:JQN982682 JZY982680:KAJ982682 KJU982680:KKF982682 KTQ982680:KUB982682 LDM982680:LDX982682 LNI982680:LNT982682 LXE982680:LXP982682 MHA982680:MHL982682 MQW982680:MRH982682 NAS982680:NBD982682 NKO982680:NKZ982682 NUK982680:NUV982682 OEG982680:OER982682 OOC982680:OON982682 OXY982680:OYJ982682 PHU982680:PIF982682 PRQ982680:PSB982682 QBM982680:QBX982682 QLI982680:QLT982682 QVE982680:QVP982682 RFA982680:RFL982682 ROW982680:RPH982682 RYS982680:RZD982682 SIO982680:SIZ982682 SSK982680:SSV982682 TCG982680:TCR982682 TMC982680:TMN982682 TVY982680:TWJ982682 UFU982680:UGF982682 UPQ982680:UQB982682 UZM982680:UZX982682 VJI982680:VJT982682 VTE982680:VTP982682 WDA982680:WDL982682 WMW982680:WNH982682 WWS982680:WXD982682 AK982680:AU982682 AK917144:AU917146 AK851608:AU851610 AK786072:AU786074 AK720536:AU720538 AK655000:AU655002 AK589464:AU589466 AK523928:AU523930 AK458392:AU458394 AK392856:AU392858 AK327320:AU327322 AK261784:AU261786 AK196248:AU196250 AK130712:AU130714 AK65176:AU65178 KG65176:KR65178 UC65176:UN65178 ADY65176:AEJ65178 ANU65176:AOF65178 AXQ65176:AYB65178 BHM65176:BHX65178 BRI65176:BRT65178 CBE65176:CBP65178 CLA65176:CLL65178 CUW65176:CVH65178 DES65176:DFD65178 DOO65176:DOZ65178 DYK65176:DYV65178 EIG65176:EIR65178 ESC65176:ESN65178 FBY65176:FCJ65178 FLU65176:FMF65178 FVQ65176:FWB65178 GFM65176:GFX65178 GPI65176:GPT65178 GZE65176:GZP65178 HJA65176:HJL65178 HSW65176:HTH65178 ICS65176:IDD65178 IMO65176:IMZ65178 IWK65176:IWV65178 JGG65176:JGR65178 JQC65176:JQN65178 JZY65176:KAJ65178 KJU65176:KKF65178 KTQ65176:KUB65178 LDM65176:LDX65178 LNI65176:LNT65178 LXE65176:LXP65178 MHA65176:MHL65178 MQW65176:MRH65178 NAS65176:NBD65178 NKO65176:NKZ65178 NUK65176:NUV65178 OEG65176:OER65178 OOC65176:OON65178 OXY65176:OYJ65178 PHU65176:PIF65178 PRQ65176:PSB65178 QBM65176:QBX65178 QLI65176:QLT65178 QVE65176:QVP65178 RFA65176:RFL65178 ROW65176:RPH65178 RYS65176:RZD65178 SIO65176:SIZ65178 SSK65176:SSV65178 TCG65176:TCR65178 TMC65176:TMN65178 TVY65176:TWJ65178 UFU65176:UGF65178 UPQ65176:UQB65178 UZM65176:UZX65178 VJI65176:VJT65178 VTE65176:VTP65178 WDA65176:WDL65178 WMW65176:WNH65178 WWS65176:WXD65178 KG130712:KR130714 UC130712:UN130714 ADY130712:AEJ130714 ANU130712:AOF130714 AXQ130712:AYB130714 BHM130712:BHX130714 BRI130712:BRT130714 CBE130712:CBP130714 CLA130712:CLL130714 CUW130712:CVH130714 DES130712:DFD130714 DOO130712:DOZ130714 DYK130712:DYV130714 EIG130712:EIR130714 ESC130712:ESN130714 FBY130712:FCJ130714 FLU130712:FMF130714 FVQ130712:FWB130714 GFM130712:GFX130714 GPI130712:GPT130714 GZE130712:GZP130714 HJA130712:HJL130714 HSW130712:HTH130714 ICS130712:IDD130714 IMO130712:IMZ130714 IWK130712:IWV130714 JGG130712:JGR130714 JQC130712:JQN130714 JZY130712:KAJ130714 KJU130712:KKF130714 KTQ130712:KUB130714 LDM130712:LDX130714 LNI130712:LNT130714 LXE130712:LXP130714 MHA130712:MHL130714 MQW130712:MRH130714 NAS130712:NBD130714 NKO130712:NKZ130714 NUK130712:NUV130714 OEG130712:OER130714 OOC130712:OON130714 OXY130712:OYJ130714 PHU130712:PIF130714 PRQ130712:PSB130714 QBM130712:QBX130714 QLI130712:QLT130714 QVE130712:QVP130714 RFA130712:RFL130714 ROW130712:RPH130714 RYS130712:RZD130714 SIO130712:SIZ130714 SSK130712:SSV130714 TCG130712:TCR130714 TMC130712:TMN130714 TVY130712:TWJ130714 UFU130712:UGF130714 UPQ130712:UQB130714 UZM130712:UZX130714 VJI130712:VJT130714 VTE130712:VTP130714 WDA130712:WDL130714 WMW130712:WNH130714 WWS130712:WXD130714 KG196248:KR196250 UC196248:UN196250 ADY196248:AEJ196250 ANU196248:AOF196250 AXQ196248:AYB196250 BHM196248:BHX196250 BRI196248:BRT196250 CBE196248:CBP196250 CLA196248:CLL196250 CUW196248:CVH196250 DES196248:DFD196250 DOO196248:DOZ196250 DYK196248:DYV196250 EIG196248:EIR196250 ESC196248:ESN196250 FBY196248:FCJ196250 FLU196248:FMF196250 FVQ196248:FWB196250 GFM196248:GFX196250 GPI196248:GPT196250 GZE196248:GZP196250 HJA196248:HJL196250 HSW196248:HTH196250 ICS196248:IDD196250 IMO196248:IMZ196250 IWK196248:IWV196250 JGG196248:JGR196250 JQC196248:JQN196250 JZY196248:KAJ196250 KJU196248:KKF196250 KTQ196248:KUB196250 LDM196248:LDX196250 LNI196248:LNT196250 LXE196248:LXP196250 MHA196248:MHL196250 MQW196248:MRH196250 NAS196248:NBD196250 NKO196248:NKZ196250 NUK196248:NUV196250 OEG196248:OER196250 OOC196248:OON196250 OXY196248:OYJ196250 PHU196248:PIF196250 PRQ196248:PSB196250 QBM196248:QBX196250 QLI196248:QLT196250 QVE196248:QVP196250 RFA196248:RFL196250 ROW196248:RPH196250 RYS196248:RZD196250 SIO196248:SIZ196250 SSK196248:SSV196250 TCG196248:TCR196250 TMC196248:TMN196250 TVY196248:TWJ196250 UFU196248:UGF196250 UPQ196248:UQB196250 UZM196248:UZX196250 VJI196248:VJT196250 VTE196248:VTP196250 WDA196248:WDL196250 WMW196248:WNH196250 WWS196248:WXD196250 KG261784:KR261786 UC261784:UN261786 ADY261784:AEJ261786 ANU261784:AOF261786 AXQ261784:AYB261786 BHM261784:BHX261786 BRI261784:BRT261786 CBE261784:CBP261786 CLA261784:CLL261786 CUW261784:CVH261786 DES261784:DFD261786 DOO261784:DOZ261786 DYK261784:DYV261786 EIG261784:EIR261786 ESC261784:ESN261786 FBY261784:FCJ261786 FLU261784:FMF261786 FVQ261784:FWB261786 GFM261784:GFX261786 GPI261784:GPT261786 GZE261784:GZP261786 HJA261784:HJL261786 HSW261784:HTH261786 ICS261784:IDD261786 IMO261784:IMZ261786 IWK261784:IWV261786 JGG261784:JGR261786 JQC261784:JQN261786 JZY261784:KAJ261786 KJU261784:KKF261786 KTQ261784:KUB261786 LDM261784:LDX261786 LNI261784:LNT261786 LXE261784:LXP261786 MHA261784:MHL261786 MQW261784:MRH261786 NAS261784:NBD261786 NKO261784:NKZ261786 NUK261784:NUV261786 OEG261784:OER261786 OOC261784:OON261786 OXY261784:OYJ261786 PHU261784:PIF261786 PRQ261784:PSB261786 QBM261784:QBX261786 QLI261784:QLT261786 QVE261784:QVP261786 RFA261784:RFL261786 ROW261784:RPH261786 RYS261784:RZD261786 SIO261784:SIZ261786 SSK261784:SSV261786 TCG261784:TCR261786 TMC261784:TMN261786 TVY261784:TWJ261786 UFU261784:UGF261786 UPQ261784:UQB261786 UZM261784:UZX261786 VJI261784:VJT261786 VTE261784:VTP261786 WDA261784:WDL261786 WMW261784:WNH261786 WWS261784:WXD261786 KG327320:KR327322 UC327320:UN327322 ADY327320:AEJ327322 ANU327320:AOF327322 AXQ327320:AYB327322 BHM327320:BHX327322 BRI327320:BRT327322 CBE327320:CBP327322 CLA327320:CLL327322 CUW327320:CVH327322 DES327320:DFD327322 DOO327320:DOZ327322 DYK327320:DYV327322 EIG327320:EIR327322 ESC327320:ESN327322 FBY327320:FCJ327322 FLU327320:FMF327322 FVQ327320:FWB327322 GFM327320:GFX327322 GPI327320:GPT327322 GZE327320:GZP327322 HJA327320:HJL327322 HSW327320:HTH327322 ICS327320:IDD327322 IMO327320:IMZ327322 IWK327320:IWV327322 JGG327320:JGR327322 JQC327320:JQN327322 JZY327320:KAJ327322 KJU327320:KKF327322 KTQ327320:KUB327322 LDM327320:LDX327322 LNI327320:LNT327322 LXE327320:LXP327322 MHA327320:MHL327322 MQW327320:MRH327322 NAS327320:NBD327322 NKO327320:NKZ327322 NUK327320:NUV327322 OEG327320:OER327322 OOC327320:OON327322 OXY327320:OYJ327322 PHU327320:PIF327322 PRQ327320:PSB327322 QBM327320:QBX327322 QLI327320:QLT327322 QVE327320:QVP327322 RFA327320:RFL327322 ROW327320:RPH327322 RYS327320:RZD327322 SIO327320:SIZ327322 SSK327320:SSV327322 TCG327320:TCR327322 TMC327320:TMN327322 TVY327320:TWJ327322 UFU327320:UGF327322 UPQ327320:UQB327322 UZM327320:UZX327322 VJI327320:VJT327322 VTE327320:VTP327322 WDA327320:WDL327322 WMW327320:WNH327322 WWS327320:WXD327322 KG392856:KR392858 UC392856:UN392858 ADY392856:AEJ392858 ANU392856:AOF392858 AXQ392856:AYB392858 BHM392856:BHX392858 BRI392856:BRT392858 CBE392856:CBP392858 CLA392856:CLL392858 CUW392856:CVH392858 DES392856:DFD392858 DOO392856:DOZ392858 DYK392856:DYV392858 EIG392856:EIR392858 ESC392856:ESN392858 FBY392856:FCJ392858 FLU392856:FMF392858 FVQ392856:FWB392858 GFM392856:GFX392858 GPI392856:GPT392858 GZE392856:GZP392858 HJA392856:HJL392858 HSW392856:HTH392858 ICS392856:IDD392858 IMO392856:IMZ392858 IWK392856:IWV392858 JGG392856:JGR392858 JQC392856:JQN392858 JZY392856:KAJ392858 KJU392856:KKF392858 KTQ392856:KUB392858 LDM392856:LDX392858 LNI392856:LNT392858 LXE392856:LXP392858 MHA392856:MHL392858 MQW392856:MRH392858 NAS392856:NBD392858 NKO392856:NKZ392858 NUK392856:NUV392858 OEG392856:OER392858 OOC392856:OON392858 OXY392856:OYJ392858 PHU392856:PIF392858 PRQ392856:PSB392858 QBM392856:QBX392858 QLI392856:QLT392858 QVE392856:QVP392858 RFA392856:RFL392858 ROW392856:RPH392858 RYS392856:RZD392858 SIO392856:SIZ392858 SSK392856:SSV392858 TCG392856:TCR392858 TMC392856:TMN392858 TVY392856:TWJ392858 UFU392856:UGF392858 UPQ392856:UQB392858 UZM392856:UZX392858 VJI392856:VJT392858 VTE392856:VTP392858 WDA392856:WDL392858 WMW392856:WNH392858 WWS392856:WXD392858 KG458392:KR458394 UC458392:UN458394 ADY458392:AEJ458394 ANU458392:AOF458394 AXQ458392:AYB458394 BHM458392:BHX458394 BRI458392:BRT458394 CBE458392:CBP458394 CLA458392:CLL458394 CUW458392:CVH458394 DES458392:DFD458394 DOO458392:DOZ458394 DYK458392:DYV458394 EIG458392:EIR458394 ESC458392:ESN458394 FBY458392:FCJ458394 FLU458392:FMF458394 FVQ458392:FWB458394 GFM458392:GFX458394 GPI458392:GPT458394 GZE458392:GZP458394 HJA458392:HJL458394 HSW458392:HTH458394 ICS458392:IDD458394 IMO458392:IMZ458394 IWK458392:IWV458394 JGG458392:JGR458394 JQC458392:JQN458394 JZY458392:KAJ458394 KJU458392:KKF458394 KTQ458392:KUB458394 LDM458392:LDX458394 LNI458392:LNT458394 LXE458392:LXP458394 MHA458392:MHL458394 MQW458392:MRH458394 NAS458392:NBD458394 NKO458392:NKZ458394 NUK458392:NUV458394 OEG458392:OER458394 OOC458392:OON458394 OXY458392:OYJ458394 PHU458392:PIF458394 PRQ458392:PSB458394 QBM458392:QBX458394 QLI458392:QLT458394 QVE458392:QVP458394 RFA458392:RFL458394 ROW458392:RPH458394 RYS458392:RZD458394 SIO458392:SIZ458394 SSK458392:SSV458394 TCG458392:TCR458394 TMC458392:TMN458394 TVY458392:TWJ458394 UFU458392:UGF458394 UPQ458392:UQB458394 UZM458392:UZX458394 VJI458392:VJT458394 VTE458392:VTP458394 WDA458392:WDL458394 WMW458392:WNH458394 WWS458392:WXD458394 KG523928:KR523930 UC523928:UN523930 ADY523928:AEJ523930 ANU523928:AOF523930 AXQ523928:AYB523930 BHM523928:BHX523930 BRI523928:BRT523930 CBE523928:CBP523930 CLA523928:CLL523930 CUW523928:CVH523930 DES523928:DFD523930 DOO523928:DOZ523930 DYK523928:DYV523930 EIG523928:EIR523930 ESC523928:ESN523930 FBY523928:FCJ523930 FLU523928:FMF523930 FVQ523928:FWB523930 GFM523928:GFX523930 GPI523928:GPT523930 GZE523928:GZP523930 HJA523928:HJL523930 HSW523928:HTH523930 ICS523928:IDD523930 IMO523928:IMZ523930 IWK523928:IWV523930 JGG523928:JGR523930 JQC523928:JQN523930 JZY523928:KAJ523930 KJU523928:KKF523930 KTQ523928:KUB523930 LDM523928:LDX523930 LNI523928:LNT523930 LXE523928:LXP523930 MHA523928:MHL523930 MQW523928:MRH523930 NAS523928:NBD523930 NKO523928:NKZ523930 NUK523928:NUV523930 OEG523928:OER523930 OOC523928:OON523930 OXY523928:OYJ523930 PHU523928:PIF523930 PRQ523928:PSB523930 QBM523928:QBX523930 QLI523928:QLT523930 QVE523928:QVP523930 RFA523928:RFL523930 ROW523928:RPH523930 RYS523928:RZD523930 SIO523928:SIZ523930 SSK523928:SSV523930 TCG523928:TCR523930 TMC523928:TMN523930 TVY523928:TWJ523930 UFU523928:UGF523930 UPQ523928:UQB523930 UZM523928:UZX523930 VJI523928:VJT523930 VTE523928:VTP523930 WDA523928:WDL523930 WMW523928:WNH523930 WWS523928:WXD523930 KG589464:KR589466 UC589464:UN589466 ADY589464:AEJ589466 ANU589464:AOF589466 AXQ589464:AYB589466 BHM589464:BHX589466 BRI589464:BRT589466 CBE589464:CBP589466 CLA589464:CLL589466 CUW589464:CVH589466 DES589464:DFD589466 DOO589464:DOZ589466 DYK589464:DYV589466 EIG589464:EIR589466 ESC589464:ESN589466 FBY589464:FCJ589466 FLU589464:FMF589466 FVQ589464:FWB589466 GFM589464:GFX589466 GPI589464:GPT589466 GZE589464:GZP589466 HJA589464:HJL589466 HSW589464:HTH589466 ICS589464:IDD589466 IMO589464:IMZ589466 IWK589464:IWV589466 JGG589464:JGR589466 JQC589464:JQN589466 JZY589464:KAJ589466 KJU589464:KKF589466 KTQ589464:KUB589466 LDM589464:LDX589466 LNI589464:LNT589466 LXE589464:LXP589466 MHA589464:MHL589466 MQW589464:MRH589466 NAS589464:NBD589466 NKO589464:NKZ589466 NUK589464:NUV589466 OEG589464:OER589466 OOC589464:OON589466 OXY589464:OYJ589466 PHU589464:PIF589466 PRQ589464:PSB589466 QBM589464:QBX589466 QLI589464:QLT589466 QVE589464:QVP589466 RFA589464:RFL589466 ROW589464:RPH589466 RYS589464:RZD589466 SIO589464:SIZ589466 SSK589464:SSV589466 TCG589464:TCR589466 TMC589464:TMN589466 TVY589464:TWJ589466 UFU589464:UGF589466 UPQ589464:UQB589466 UZM589464:UZX589466 VJI589464:VJT589466 VTE589464:VTP589466 WDA589464:WDL589466 WMW589464:WNH589466 WWS589464:WXD589466 KG655000:KR655002 UC655000:UN655002 ADY655000:AEJ655002 ANU655000:AOF655002 AXQ655000:AYB655002 BHM655000:BHX655002 BRI655000:BRT655002 CBE655000:CBP655002 CLA655000:CLL655002 CUW655000:CVH655002 DES655000:DFD655002 DOO655000:DOZ655002 DYK655000:DYV655002 EIG655000:EIR655002 ESC655000:ESN655002 FBY655000:FCJ655002 FLU655000:FMF655002 FVQ655000:FWB655002 GFM655000:GFX655002 GPI655000:GPT655002 GZE655000:GZP655002 HJA655000:HJL655002 HSW655000:HTH655002 ICS655000:IDD655002 IMO655000:IMZ655002 IWK655000:IWV655002 JGG655000:JGR655002 JQC655000:JQN655002 JZY655000:KAJ655002 KJU655000:KKF655002 KTQ655000:KUB655002 LDM655000:LDX655002 LNI655000:LNT655002 LXE655000:LXP655002 MHA655000:MHL655002 MQW655000:MRH655002 NAS655000:NBD655002 NKO655000:NKZ655002 NUK655000:NUV655002 OEG655000:OER655002 OOC655000:OON655002 OXY655000:OYJ655002 PHU655000:PIF655002 PRQ655000:PSB655002 QBM655000:QBX655002 QLI655000:QLT655002 QVE655000:QVP655002 RFA655000:RFL655002 ROW655000:RPH655002 RYS655000:RZD655002 SIO655000:SIZ655002 SSK655000:SSV655002 TCG655000:TCR655002 TMC655000:TMN655002 TVY655000:TWJ655002 UFU655000:UGF655002 UPQ655000:UQB655002 UZM655000:UZX655002 VJI655000:VJT655002 VTE655000:VTP655002 WDA655000:WDL655002 WMW655000:WNH655002 WWS655000:WXD655002 KG720536:KR720538 UC720536:UN720538 ADY720536:AEJ720538 ANU720536:AOF720538 AXQ720536:AYB720538 BHM720536:BHX720538 BRI720536:BRT720538 CBE720536:CBP720538 CLA720536:CLL720538 CUW720536:CVH720538 DES720536:DFD720538 DOO720536:DOZ720538 DYK720536:DYV720538 EIG720536:EIR720538 ESC720536:ESN720538 FBY720536:FCJ720538 FLU720536:FMF720538 FVQ720536:FWB720538 GFM720536:GFX720538 GPI720536:GPT720538 GZE720536:GZP720538 HJA720536:HJL720538 HSW720536:HTH720538 ICS720536:IDD720538 IMO720536:IMZ720538 IWK720536:IWV720538 JGG720536:JGR720538 JQC720536:JQN720538 JZY720536:KAJ720538 KJU720536:KKF720538 KTQ720536:KUB720538 LDM720536:LDX720538 LNI720536:LNT720538 LXE720536:LXP720538 MHA720536:MHL720538 MQW720536:MRH720538 NAS720536:NBD720538 NKO720536:NKZ720538 NUK720536:NUV720538 OEG720536:OER720538 OOC720536:OON720538 OXY720536:OYJ720538 PHU720536:PIF720538 PRQ720536:PSB720538 QBM720536:QBX720538 QLI720536:QLT720538 QVE720536:QVP720538 RFA720536:RFL720538 ROW720536:RPH720538 RYS720536:RZD720538 SIO720536:SIZ720538 SSK720536:SSV720538 TCG720536:TCR720538 TMC720536:TMN720538 TVY720536:TWJ720538 UFU720536:UGF720538 UPQ720536:UQB720538 UZM720536:UZX720538 VJI720536:VJT720538 VTE720536:VTP720538 WDA720536:WDL720538 WMW720536:WNH720538 WWS720536:WXD720538 KG786072:KR786074 UC786072:UN786074 ADY786072:AEJ786074 ANU786072:AOF786074 AXQ786072:AYB786074 BHM786072:BHX786074 BRI786072:BRT786074 CBE786072:CBP786074 CLA786072:CLL786074 CUW786072:CVH786074 DES786072:DFD786074 DOO786072:DOZ786074 DYK786072:DYV786074 EIG786072:EIR786074 ESC786072:ESN786074 FBY786072:FCJ786074 FLU786072:FMF786074 FVQ786072:FWB786074 GFM786072:GFX786074 GPI786072:GPT786074 GZE786072:GZP786074 HJA786072:HJL786074 HSW786072:HTH786074 ICS786072:IDD786074 IMO786072:IMZ786074 IWK786072:IWV786074 JGG786072:JGR786074 JQC786072:JQN786074 JZY786072:KAJ786074 KJU786072:KKF786074 KTQ786072:KUB786074 LDM786072:LDX786074 LNI786072:LNT786074 LXE786072:LXP786074 MHA786072:MHL786074 MQW786072:MRH786074 NAS786072:NBD786074 NKO786072:NKZ786074 NUK786072:NUV786074 OEG786072:OER786074 OOC786072:OON786074 OXY786072:OYJ786074 PHU786072:PIF786074 PRQ786072:PSB786074 QBM786072:QBX786074 QLI786072:QLT786074 QVE786072:QVP786074 RFA786072:RFL786074 ROW786072:RPH786074 RYS786072:RZD786074 SIO786072:SIZ786074 SSK786072:SSV786074 TCG786072:TCR786074 TMC786072:TMN786074 TVY786072:TWJ786074 UFU786072:UGF786074 UPQ786072:UQB786074 UZM786072:UZX786074 VJI786072:VJT786074 VTE786072:VTP786074 WDA786072:WDL786074 WMW786072:WNH786074 WWS786072:WXD786074 KG851608:KR851610 UC851608:UN851610 ADY851608:AEJ851610 ANU851608:AOF851610 AXQ851608:AYB851610 BHM851608:BHX851610 BRI851608:BRT851610 CBE851608:CBP851610 CLA851608:CLL851610 CUW851608:CVH851610 DES851608:DFD851610 DOO851608:DOZ851610 DYK851608:DYV851610 EIG851608:EIR851610 ESC851608:ESN851610 FBY851608:FCJ851610 FLU851608:FMF851610 FVQ851608:FWB851610 GFM851608:GFX851610 GPI851608:GPT851610 GZE851608:GZP851610 HJA851608:HJL851610 HSW851608:HTH851610 ICS851608:IDD851610 IMO851608:IMZ851610 IWK851608:IWV851610 JGG851608:JGR851610 JQC851608:JQN851610 JZY851608:KAJ851610 KJU851608:KKF851610 KTQ851608:KUB851610 LDM851608:LDX851610 LNI851608:LNT851610 LXE851608:LXP851610 MHA851608:MHL851610 MQW851608:MRH851610 NAS851608:NBD851610 NKO851608:NKZ851610 NUK851608:NUV851610 OEG851608:OER851610 OOC851608:OON851610 OXY851608:OYJ851610 PHU851608:PIF851610 PRQ851608:PSB851610 QBM851608:QBX851610 QLI851608:QLT851610 QVE851608:QVP851610 RFA851608:RFL851610 ROW851608:RPH851610 RYS851608:RZD851610 SIO851608:SIZ851610 SSK851608:SSV851610 TCG851608:TCR851610 TMC851608:TMN851610 TVY851608:TWJ851610 UFU851608:UGF851610 UPQ851608:UQB851610 UZM851608:UZX851610 VJI851608:VJT851610 VTE851608:VTP851610 WDA851608:WDL851610 WMW851608:WNH851610 WWS851608:WXD851610 KG917144:KR917146 UC917144:UN917146 ADY917144:AEJ917146 ANU917144:AOF917146 AXQ917144:AYB917146 BHM917144:BHX917146 BRI917144:BRT917146 CBE917144:CBP917146 CLA917144:CLL917146 CUW917144:CVH917146 DES917144:DFD917146 DOO917144:DOZ917146 DYK917144:DYV917146 EIG917144:EIR917146 ESC917144:ESN917146 FBY917144:FCJ917146 FLU917144:FMF917146 FVQ917144:FWB917146 GFM917144:GFX917146 GPI917144:GPT917146 GZE917144:GZP917146 HJA917144:HJL917146 HSW917144:HTH917146 ICS917144:IDD917146 IMO917144:IMZ917146 IWK917144:IWV917146 JGG917144:JGR917146 JQC917144:JQN917146 JZY917144:KAJ917146 KJU917144:KKF917146 KTQ917144:KUB917146 LDM917144:LDX917146 LNI917144:LNT917146 LXE917144:LXP917146 MHA917144:MHL917146 MQW917144:MRH917146 NAS917144:NBD917146 NKO917144:NKZ917146 NUK917144:NUV917146 OEG917144:OER917146 OOC917144:OON917146 OXY917144:OYJ917146 PHU917144:PIF917146 PRQ917144:PSB917146 QBM917144:QBX917146 QLI917144:QLT917146 QVE917144:QVP917146 RFA917144:RFL917146 ROW917144:RPH917146 RYS917144:RZD917146 SIO917144:SIZ917146 SSK917144:SSV917146 TCG917144:TCR917146 TMC917144:TMN917146 TVY917144:TWJ917146 UFU917144:UGF917146 UPQ917144:UQB917146 UZM917144:UZX917146 VJI917144:VJT917146 VTE917144:VTP917146 WDA917144:WDL917146 WMW917144:WNH917146 WWS917144:WXD917146 KG982680:KR982682 UC982680:UN982682 ADY982680:AEJ982682 ANU982680:AOF982682 AXQ982680:AYB982682 BHM982680:BHX982682 BRI982680:BRT982682 CBE982680:CBP982682 CLA982680:CLL982682 CUW982680:CVH982682 DES982680:DFD982682 DOO982680:DOZ982682 DYK982680:DYV982682 EIG982680:EIR982682 ESC982680:ESN982682 JP2:KA4 TL2:TW4 ADH2:ADS4 AND2:ANO4 AWZ2:AXK4 BGV2:BHG4 BQR2:BRC4 CAN2:CAY4 CKJ2:CKU4 CUF2:CUQ4 DEB2:DEM4 DNX2:DOI4 DXT2:DYE4 EHP2:EIA4 ERL2:ERW4 FBH2:FBS4 FLD2:FLO4 FUZ2:FVK4 GEV2:GFG4 GOR2:GPC4 GYN2:GYY4 HIJ2:HIU4 HSF2:HSQ4 ICB2:ICM4 ILX2:IMI4 IVT2:IWE4 JFP2:JGA4 JPL2:JPW4 JZH2:JZS4 KJD2:KJO4 KSZ2:KTK4 LCV2:LDG4 LMR2:LNC4 LWN2:LWY4 MGJ2:MGU4 MQF2:MQQ4 NAB2:NAM4 NJX2:NKI4 NTT2:NUE4 ODP2:OEA4 ONL2:ONW4 OXH2:OXS4 PHD2:PHO4 PQZ2:PRK4 QAV2:QBG4 QKR2:QLC4 QUN2:QUY4 REJ2:REU4 ROF2:ROQ4 RYB2:RYM4 SHX2:SII4 SRT2:SSE4 TBP2:TCA4 TLL2:TLW4 TVH2:TVS4 UFD2:UFO4 UOZ2:UPK4 UYV2:UZG4 VIR2:VJC4 VSN2:VSY4 WCJ2:WCU4 WMF2:WMQ4 WWB2:WWM4 W2"/>
  </dataValidations>
  <pageMargins left="0.39370078740157483" right="0.39370078740157483" top="0.59055118110236227" bottom="0.39370078740157483" header="0.39370078740157483" footer="0.19685039370078741"/>
  <pageSetup paperSize="9" scale="80" fitToHeight="0" orientation="landscape" verticalDpi="300" r:id="rId1"/>
  <headerFooter alignWithMargins="0">
    <oddFooter>&amp;RJ.製品棚卸／K.在庫 テーブル一覧 -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pageSetUpPr autoPageBreaks="0" fitToPage="1"/>
  </sheetPr>
  <dimension ref="B1:Y79"/>
  <sheetViews>
    <sheetView showGridLines="0" zoomScaleNormal="100" workbookViewId="0"/>
  </sheetViews>
  <sheetFormatPr defaultColWidth="2.36328125" defaultRowHeight="14.4"/>
  <cols>
    <col min="2" max="2" width="19.36328125" customWidth="1"/>
    <col min="3" max="3" width="4" bestFit="1" customWidth="1"/>
    <col min="4" max="4" width="21.7265625" customWidth="1"/>
    <col min="5" max="5" width="15.36328125" customWidth="1"/>
    <col min="6" max="6" width="17.36328125" customWidth="1"/>
    <col min="7" max="7" width="11.08984375" customWidth="1"/>
    <col min="8" max="8" width="8" customWidth="1"/>
    <col min="9" max="9" width="11.90625" customWidth="1"/>
    <col min="10" max="10" width="9.08984375" customWidth="1"/>
    <col min="11" max="11" width="8.36328125" customWidth="1"/>
    <col min="12" max="12" width="7.36328125" hidden="1" customWidth="1"/>
    <col min="13" max="13" width="14.90625" hidden="1" customWidth="1"/>
    <col min="14" max="14" width="6.90625" hidden="1" customWidth="1"/>
    <col min="15" max="15" width="7.36328125" customWidth="1"/>
    <col min="16" max="17" width="14.36328125" customWidth="1"/>
    <col min="18" max="18" width="23.36328125" customWidth="1"/>
    <col min="19" max="19" width="8.90625" customWidth="1"/>
    <col min="20" max="20" width="8" customWidth="1"/>
    <col min="21" max="21" width="13.7265625" customWidth="1"/>
    <col min="22" max="22" width="14.36328125" customWidth="1"/>
    <col min="23" max="23" width="10.36328125" customWidth="1"/>
    <col min="24" max="24" width="14.36328125" customWidth="1"/>
    <col min="25" max="25" width="83.36328125" bestFit="1" customWidth="1"/>
  </cols>
  <sheetData>
    <row r="1" spans="2:25" ht="15" thickBot="1"/>
    <row r="2" spans="2:25">
      <c r="B2" s="530" t="s">
        <v>158</v>
      </c>
      <c r="C2" s="531"/>
      <c r="D2" s="532"/>
      <c r="E2" s="526" t="s">
        <v>159</v>
      </c>
      <c r="F2" s="527"/>
      <c r="G2" s="523" t="s">
        <v>180</v>
      </c>
      <c r="H2" s="524"/>
      <c r="I2" s="524"/>
      <c r="J2" s="524"/>
      <c r="K2" s="525"/>
      <c r="L2" s="520" t="s">
        <v>1217</v>
      </c>
      <c r="M2" s="521"/>
      <c r="N2" s="521"/>
      <c r="O2" s="464" t="s">
        <v>181</v>
      </c>
      <c r="P2" s="465"/>
      <c r="Q2" s="465"/>
      <c r="R2" s="465"/>
      <c r="S2" s="465"/>
      <c r="T2" s="465"/>
      <c r="U2" s="465"/>
      <c r="V2" s="465"/>
      <c r="W2" s="465"/>
      <c r="X2" s="466"/>
      <c r="Y2" s="471" t="s">
        <v>222</v>
      </c>
    </row>
    <row r="3" spans="2:25" ht="15" thickBot="1">
      <c r="B3" s="533"/>
      <c r="C3" s="534"/>
      <c r="D3" s="535"/>
      <c r="E3" s="528"/>
      <c r="F3" s="529"/>
      <c r="G3" s="69" t="s">
        <v>143</v>
      </c>
      <c r="H3" s="64" t="s">
        <v>157</v>
      </c>
      <c r="I3" s="64" t="s">
        <v>169</v>
      </c>
      <c r="J3" s="64" t="s">
        <v>144</v>
      </c>
      <c r="K3" s="70" t="s">
        <v>145</v>
      </c>
      <c r="L3" s="125" t="s">
        <v>242</v>
      </c>
      <c r="M3" s="126" t="s">
        <v>1206</v>
      </c>
      <c r="N3" s="126" t="s">
        <v>269</v>
      </c>
      <c r="O3" s="123" t="s">
        <v>242</v>
      </c>
      <c r="P3" s="120" t="s">
        <v>1206</v>
      </c>
      <c r="Q3" s="65" t="s">
        <v>221</v>
      </c>
      <c r="R3" s="65" t="s">
        <v>143</v>
      </c>
      <c r="S3" s="65" t="s">
        <v>156</v>
      </c>
      <c r="T3" s="65" t="s">
        <v>157</v>
      </c>
      <c r="U3" s="65" t="s">
        <v>172</v>
      </c>
      <c r="V3" s="65" t="s">
        <v>171</v>
      </c>
      <c r="W3" s="65" t="s">
        <v>144</v>
      </c>
      <c r="X3" s="81" t="s">
        <v>145</v>
      </c>
      <c r="Y3" s="472"/>
    </row>
    <row r="4" spans="2:25" ht="15" thickTop="1">
      <c r="B4" s="505" t="s">
        <v>191</v>
      </c>
      <c r="C4" s="490" t="s">
        <v>188</v>
      </c>
      <c r="D4" s="491"/>
      <c r="E4" s="149" t="s">
        <v>179</v>
      </c>
      <c r="F4" s="150" t="s">
        <v>156</v>
      </c>
      <c r="G4" s="73"/>
      <c r="H4" s="12"/>
      <c r="I4" s="12"/>
      <c r="J4" s="12"/>
      <c r="K4" s="74"/>
      <c r="L4" s="71"/>
      <c r="M4" s="63"/>
      <c r="N4" s="129"/>
      <c r="O4" s="71" t="s">
        <v>247</v>
      </c>
      <c r="P4" s="122" t="s">
        <v>163</v>
      </c>
      <c r="Q4" s="12" t="s">
        <v>177</v>
      </c>
      <c r="R4" s="12"/>
      <c r="S4" s="12" t="s">
        <v>156</v>
      </c>
      <c r="T4" s="12"/>
      <c r="U4" s="12"/>
      <c r="V4" s="12"/>
      <c r="W4" s="12" t="s">
        <v>144</v>
      </c>
      <c r="X4" s="74" t="s">
        <v>182</v>
      </c>
      <c r="Y4" s="84"/>
    </row>
    <row r="5" spans="2:25">
      <c r="B5" s="506"/>
      <c r="C5" s="490" t="s">
        <v>189</v>
      </c>
      <c r="D5" s="491"/>
      <c r="E5" s="149" t="s">
        <v>179</v>
      </c>
      <c r="F5" s="150" t="s">
        <v>156</v>
      </c>
      <c r="G5" s="73"/>
      <c r="H5" s="12"/>
      <c r="I5" s="12"/>
      <c r="J5" s="12"/>
      <c r="K5" s="74"/>
      <c r="L5" s="71"/>
      <c r="M5" s="63"/>
      <c r="N5" s="129"/>
      <c r="O5" s="71" t="s">
        <v>247</v>
      </c>
      <c r="P5" s="122" t="s">
        <v>163</v>
      </c>
      <c r="Q5" s="12" t="s">
        <v>177</v>
      </c>
      <c r="R5" s="12"/>
      <c r="S5" s="12" t="s">
        <v>156</v>
      </c>
      <c r="T5" s="12"/>
      <c r="U5" s="12"/>
      <c r="V5" s="12"/>
      <c r="W5" s="12" t="s">
        <v>144</v>
      </c>
      <c r="X5" s="74" t="s">
        <v>182</v>
      </c>
      <c r="Y5" s="84"/>
    </row>
    <row r="6" spans="2:25">
      <c r="B6" s="506"/>
      <c r="C6" s="490" t="s">
        <v>183</v>
      </c>
      <c r="D6" s="491"/>
      <c r="E6" s="149" t="s">
        <v>179</v>
      </c>
      <c r="F6" s="150" t="s">
        <v>156</v>
      </c>
      <c r="G6" s="73"/>
      <c r="H6" s="12"/>
      <c r="I6" s="12"/>
      <c r="J6" s="12"/>
      <c r="K6" s="74"/>
      <c r="L6" s="71"/>
      <c r="M6" s="63"/>
      <c r="N6" s="129"/>
      <c r="O6" s="71" t="s">
        <v>247</v>
      </c>
      <c r="P6" s="122" t="s">
        <v>163</v>
      </c>
      <c r="Q6" s="12" t="s">
        <v>177</v>
      </c>
      <c r="R6" s="12"/>
      <c r="S6" s="12" t="s">
        <v>156</v>
      </c>
      <c r="T6" s="12"/>
      <c r="U6" s="12"/>
      <c r="V6" s="12"/>
      <c r="W6" s="12" t="s">
        <v>144</v>
      </c>
      <c r="X6" s="74" t="s">
        <v>182</v>
      </c>
      <c r="Y6" s="84"/>
    </row>
    <row r="7" spans="2:25">
      <c r="B7" s="506"/>
      <c r="C7" s="490" t="s">
        <v>184</v>
      </c>
      <c r="D7" s="491"/>
      <c r="E7" s="149" t="s">
        <v>179</v>
      </c>
      <c r="F7" s="150" t="s">
        <v>156</v>
      </c>
      <c r="G7" s="73"/>
      <c r="H7" s="12"/>
      <c r="I7" s="12"/>
      <c r="J7" s="12"/>
      <c r="K7" s="74"/>
      <c r="L7" s="71"/>
      <c r="M7" s="63"/>
      <c r="N7" s="129"/>
      <c r="O7" s="71" t="s">
        <v>247</v>
      </c>
      <c r="P7" s="122" t="s">
        <v>163</v>
      </c>
      <c r="Q7" s="12" t="s">
        <v>177</v>
      </c>
      <c r="R7" s="12"/>
      <c r="S7" s="12" t="s">
        <v>156</v>
      </c>
      <c r="T7" s="12"/>
      <c r="U7" s="12"/>
      <c r="V7" s="12"/>
      <c r="W7" s="12" t="s">
        <v>144</v>
      </c>
      <c r="X7" s="74" t="s">
        <v>182</v>
      </c>
      <c r="Y7" s="84"/>
    </row>
    <row r="8" spans="2:25">
      <c r="B8" s="506"/>
      <c r="C8" s="490" t="s">
        <v>185</v>
      </c>
      <c r="D8" s="491"/>
      <c r="E8" s="149" t="s">
        <v>179</v>
      </c>
      <c r="F8" s="150" t="s">
        <v>156</v>
      </c>
      <c r="G8" s="73"/>
      <c r="H8" s="12"/>
      <c r="I8" s="12"/>
      <c r="J8" s="12"/>
      <c r="K8" s="74"/>
      <c r="L8" s="71"/>
      <c r="M8" s="63"/>
      <c r="N8" s="129"/>
      <c r="O8" s="71" t="s">
        <v>247</v>
      </c>
      <c r="P8" s="122" t="s">
        <v>163</v>
      </c>
      <c r="Q8" s="12" t="s">
        <v>177</v>
      </c>
      <c r="R8" s="12"/>
      <c r="S8" s="12" t="s">
        <v>156</v>
      </c>
      <c r="T8" s="12"/>
      <c r="U8" s="12"/>
      <c r="V8" s="12"/>
      <c r="W8" s="12" t="s">
        <v>144</v>
      </c>
      <c r="X8" s="74" t="s">
        <v>182</v>
      </c>
      <c r="Y8" s="84"/>
    </row>
    <row r="9" spans="2:25">
      <c r="B9" s="506"/>
      <c r="C9" s="490" t="s">
        <v>186</v>
      </c>
      <c r="D9" s="491"/>
      <c r="E9" s="149" t="s">
        <v>179</v>
      </c>
      <c r="F9" s="150" t="s">
        <v>156</v>
      </c>
      <c r="G9" s="73"/>
      <c r="H9" s="12"/>
      <c r="I9" s="12"/>
      <c r="J9" s="12"/>
      <c r="K9" s="74"/>
      <c r="L9" s="71"/>
      <c r="M9" s="63"/>
      <c r="N9" s="129"/>
      <c r="O9" s="71" t="s">
        <v>247</v>
      </c>
      <c r="P9" s="122" t="s">
        <v>163</v>
      </c>
      <c r="Q9" s="12" t="s">
        <v>177</v>
      </c>
      <c r="R9" s="12"/>
      <c r="S9" s="12" t="s">
        <v>156</v>
      </c>
      <c r="T9" s="12"/>
      <c r="U9" s="12"/>
      <c r="V9" s="12"/>
      <c r="W9" s="12" t="s">
        <v>144</v>
      </c>
      <c r="X9" s="74" t="s">
        <v>182</v>
      </c>
      <c r="Y9" s="84"/>
    </row>
    <row r="10" spans="2:25">
      <c r="B10" s="506"/>
      <c r="C10" s="490" t="s">
        <v>197</v>
      </c>
      <c r="D10" s="491"/>
      <c r="E10" s="149" t="s">
        <v>179</v>
      </c>
      <c r="F10" s="150" t="s">
        <v>156</v>
      </c>
      <c r="G10" s="73"/>
      <c r="H10" s="12"/>
      <c r="I10" s="12"/>
      <c r="J10" s="12"/>
      <c r="K10" s="74"/>
      <c r="L10" s="71"/>
      <c r="M10" s="63"/>
      <c r="N10" s="129"/>
      <c r="O10" s="71" t="s">
        <v>247</v>
      </c>
      <c r="P10" s="122" t="s">
        <v>163</v>
      </c>
      <c r="Q10" s="12" t="s">
        <v>177</v>
      </c>
      <c r="R10" s="12"/>
      <c r="S10" s="12" t="s">
        <v>156</v>
      </c>
      <c r="T10" s="12"/>
      <c r="U10" s="12"/>
      <c r="V10" s="12"/>
      <c r="W10" s="12" t="s">
        <v>144</v>
      </c>
      <c r="X10" s="74" t="s">
        <v>182</v>
      </c>
      <c r="Y10" s="84"/>
    </row>
    <row r="11" spans="2:25">
      <c r="B11" s="507"/>
      <c r="C11" s="490" t="s">
        <v>190</v>
      </c>
      <c r="D11" s="491"/>
      <c r="E11" s="149" t="s">
        <v>179</v>
      </c>
      <c r="F11" s="150" t="s">
        <v>156</v>
      </c>
      <c r="G11" s="73"/>
      <c r="H11" s="12"/>
      <c r="I11" s="12"/>
      <c r="J11" s="12"/>
      <c r="K11" s="74"/>
      <c r="L11" s="71"/>
      <c r="M11" s="63"/>
      <c r="N11" s="129"/>
      <c r="O11" s="71" t="s">
        <v>247</v>
      </c>
      <c r="P11" s="122" t="s">
        <v>163</v>
      </c>
      <c r="Q11" s="12" t="s">
        <v>177</v>
      </c>
      <c r="R11" s="12"/>
      <c r="S11" s="12" t="s">
        <v>156</v>
      </c>
      <c r="T11" s="12"/>
      <c r="U11" s="12"/>
      <c r="V11" s="12"/>
      <c r="W11" s="12" t="s">
        <v>144</v>
      </c>
      <c r="X11" s="74" t="s">
        <v>182</v>
      </c>
      <c r="Y11" s="84"/>
    </row>
    <row r="12" spans="2:25">
      <c r="B12" s="157" t="s">
        <v>1274</v>
      </c>
      <c r="C12" s="490"/>
      <c r="D12" s="491"/>
      <c r="E12" s="149" t="s">
        <v>192</v>
      </c>
      <c r="F12" s="150"/>
      <c r="G12" s="73"/>
      <c r="H12" s="12"/>
      <c r="I12" s="12"/>
      <c r="J12" s="12"/>
      <c r="K12" s="74"/>
      <c r="L12" s="71"/>
      <c r="M12" s="63"/>
      <c r="N12" s="129"/>
      <c r="O12" s="71" t="s">
        <v>247</v>
      </c>
      <c r="P12" s="122" t="s">
        <v>164</v>
      </c>
      <c r="Q12" s="12" t="s">
        <v>204</v>
      </c>
      <c r="R12" s="12" t="s">
        <v>155</v>
      </c>
      <c r="S12" s="12"/>
      <c r="T12" s="12"/>
      <c r="U12" s="12"/>
      <c r="V12" s="12"/>
      <c r="W12" s="12" t="s">
        <v>144</v>
      </c>
      <c r="X12" s="74" t="s">
        <v>182</v>
      </c>
      <c r="Y12" s="84" t="s">
        <v>1239</v>
      </c>
    </row>
    <row r="13" spans="2:25">
      <c r="B13" s="505" t="s">
        <v>193</v>
      </c>
      <c r="C13" s="492" t="s">
        <v>188</v>
      </c>
      <c r="D13" s="149" t="s">
        <v>151</v>
      </c>
      <c r="E13" s="149"/>
      <c r="F13" s="150"/>
      <c r="G13" s="495" t="s">
        <v>1234</v>
      </c>
      <c r="H13" s="467"/>
      <c r="I13" s="467"/>
      <c r="J13" s="467"/>
      <c r="K13" s="468"/>
      <c r="L13" s="71" t="s">
        <v>1233</v>
      </c>
      <c r="M13" s="63"/>
      <c r="N13" s="129"/>
      <c r="O13" s="73" t="s">
        <v>1233</v>
      </c>
      <c r="P13" s="122"/>
      <c r="Q13" s="12"/>
      <c r="R13" s="12"/>
      <c r="S13" s="12"/>
      <c r="T13" s="12"/>
      <c r="U13" s="12"/>
      <c r="V13" s="12"/>
      <c r="W13" s="12"/>
      <c r="X13" s="74"/>
      <c r="Y13" s="84"/>
    </row>
    <row r="14" spans="2:25">
      <c r="B14" s="506"/>
      <c r="C14" s="493"/>
      <c r="D14" s="148" t="s">
        <v>149</v>
      </c>
      <c r="E14" s="148" t="s">
        <v>179</v>
      </c>
      <c r="F14" s="151" t="s">
        <v>211</v>
      </c>
      <c r="G14" s="73" t="s">
        <v>155</v>
      </c>
      <c r="H14" s="12"/>
      <c r="I14" s="12" t="s">
        <v>209</v>
      </c>
      <c r="J14" s="12" t="s">
        <v>144</v>
      </c>
      <c r="K14" s="74" t="s">
        <v>167</v>
      </c>
      <c r="L14" s="71"/>
      <c r="M14" s="63"/>
      <c r="N14" s="129"/>
      <c r="O14" s="73" t="s">
        <v>1237</v>
      </c>
      <c r="P14" s="467" t="s">
        <v>198</v>
      </c>
      <c r="Q14" s="467"/>
      <c r="R14" s="467"/>
      <c r="S14" s="467"/>
      <c r="T14" s="467"/>
      <c r="U14" s="467"/>
      <c r="V14" s="467"/>
      <c r="W14" s="467"/>
      <c r="X14" s="468"/>
      <c r="Y14" s="84"/>
    </row>
    <row r="15" spans="2:25">
      <c r="B15" s="506"/>
      <c r="C15" s="494"/>
      <c r="D15" s="149" t="s">
        <v>1232</v>
      </c>
      <c r="E15" s="149"/>
      <c r="F15" s="152"/>
      <c r="G15" s="73"/>
      <c r="H15" s="12"/>
      <c r="I15" s="12"/>
      <c r="J15" s="12"/>
      <c r="K15" s="74"/>
      <c r="L15" s="71"/>
      <c r="M15" s="63"/>
      <c r="N15" s="129"/>
      <c r="O15" s="73" t="s">
        <v>1236</v>
      </c>
      <c r="P15" s="467" t="s">
        <v>1235</v>
      </c>
      <c r="Q15" s="467"/>
      <c r="R15" s="467"/>
      <c r="S15" s="467"/>
      <c r="T15" s="467"/>
      <c r="U15" s="467"/>
      <c r="V15" s="467"/>
      <c r="W15" s="467"/>
      <c r="X15" s="468"/>
      <c r="Y15" s="84"/>
    </row>
    <row r="16" spans="2:25">
      <c r="B16" s="506"/>
      <c r="C16" s="492" t="s">
        <v>189</v>
      </c>
      <c r="D16" s="149" t="s">
        <v>148</v>
      </c>
      <c r="E16" s="149"/>
      <c r="F16" s="150"/>
      <c r="G16" s="495" t="s">
        <v>1234</v>
      </c>
      <c r="H16" s="467"/>
      <c r="I16" s="467"/>
      <c r="J16" s="467"/>
      <c r="K16" s="468"/>
      <c r="L16" s="71" t="s">
        <v>1233</v>
      </c>
      <c r="M16" s="63"/>
      <c r="N16" s="129"/>
      <c r="O16" s="73" t="s">
        <v>1233</v>
      </c>
      <c r="P16" s="122"/>
      <c r="Q16" s="12"/>
      <c r="R16" s="12"/>
      <c r="S16" s="12"/>
      <c r="T16" s="12"/>
      <c r="U16" s="12"/>
      <c r="V16" s="12"/>
      <c r="W16" s="12"/>
      <c r="X16" s="74"/>
      <c r="Y16" s="84"/>
    </row>
    <row r="17" spans="2:25">
      <c r="B17" s="506"/>
      <c r="C17" s="493"/>
      <c r="D17" s="148" t="s">
        <v>149</v>
      </c>
      <c r="E17" s="148" t="s">
        <v>179</v>
      </c>
      <c r="F17" s="151" t="s">
        <v>211</v>
      </c>
      <c r="G17" s="73" t="s">
        <v>155</v>
      </c>
      <c r="H17" s="12"/>
      <c r="I17" s="12" t="s">
        <v>209</v>
      </c>
      <c r="J17" s="12" t="s">
        <v>144</v>
      </c>
      <c r="K17" s="74" t="s">
        <v>167</v>
      </c>
      <c r="L17" s="71"/>
      <c r="M17" s="63"/>
      <c r="N17" s="129"/>
      <c r="O17" s="73" t="s">
        <v>1237</v>
      </c>
      <c r="P17" s="467" t="s">
        <v>198</v>
      </c>
      <c r="Q17" s="467"/>
      <c r="R17" s="467"/>
      <c r="S17" s="467"/>
      <c r="T17" s="467"/>
      <c r="U17" s="467"/>
      <c r="V17" s="467"/>
      <c r="W17" s="467"/>
      <c r="X17" s="468"/>
      <c r="Y17" s="84"/>
    </row>
    <row r="18" spans="2:25">
      <c r="B18" s="506"/>
      <c r="C18" s="493"/>
      <c r="D18" s="149" t="s">
        <v>1232</v>
      </c>
      <c r="E18" s="149"/>
      <c r="F18" s="152"/>
      <c r="G18" s="73"/>
      <c r="H18" s="12"/>
      <c r="I18" s="12"/>
      <c r="J18" s="12"/>
      <c r="K18" s="74"/>
      <c r="L18" s="71"/>
      <c r="M18" s="63"/>
      <c r="N18" s="129"/>
      <c r="O18" s="73" t="s">
        <v>1236</v>
      </c>
      <c r="P18" s="467" t="s">
        <v>208</v>
      </c>
      <c r="Q18" s="467"/>
      <c r="R18" s="467"/>
      <c r="S18" s="467"/>
      <c r="T18" s="467"/>
      <c r="U18" s="467"/>
      <c r="V18" s="467"/>
      <c r="W18" s="467"/>
      <c r="X18" s="468"/>
      <c r="Y18" s="84"/>
    </row>
    <row r="19" spans="2:25">
      <c r="B19" s="506"/>
      <c r="C19" s="492" t="s">
        <v>183</v>
      </c>
      <c r="D19" s="149" t="s">
        <v>148</v>
      </c>
      <c r="E19" s="149"/>
      <c r="F19" s="150"/>
      <c r="G19" s="495" t="s">
        <v>1234</v>
      </c>
      <c r="H19" s="467"/>
      <c r="I19" s="467"/>
      <c r="J19" s="467"/>
      <c r="K19" s="468"/>
      <c r="L19" s="71" t="s">
        <v>1233</v>
      </c>
      <c r="M19" s="63"/>
      <c r="N19" s="129"/>
      <c r="O19" s="71" t="s">
        <v>1233</v>
      </c>
      <c r="P19" s="122"/>
      <c r="Q19" s="12"/>
      <c r="R19" s="12"/>
      <c r="S19" s="12"/>
      <c r="T19" s="12"/>
      <c r="U19" s="12"/>
      <c r="V19" s="12"/>
      <c r="W19" s="12"/>
      <c r="X19" s="74"/>
      <c r="Y19" s="84"/>
    </row>
    <row r="20" spans="2:25">
      <c r="B20" s="506"/>
      <c r="C20" s="493"/>
      <c r="D20" s="148" t="s">
        <v>149</v>
      </c>
      <c r="E20" s="492" t="s">
        <v>179</v>
      </c>
      <c r="F20" s="486" t="s">
        <v>211</v>
      </c>
      <c r="G20" s="73" t="s">
        <v>155</v>
      </c>
      <c r="H20" s="12"/>
      <c r="I20" s="12" t="s">
        <v>209</v>
      </c>
      <c r="J20" s="12" t="s">
        <v>144</v>
      </c>
      <c r="K20" s="74" t="s">
        <v>167</v>
      </c>
      <c r="L20" s="71"/>
      <c r="M20" s="63"/>
      <c r="N20" s="129"/>
      <c r="O20" s="73" t="s">
        <v>1237</v>
      </c>
      <c r="P20" s="467" t="s">
        <v>198</v>
      </c>
      <c r="Q20" s="467"/>
      <c r="R20" s="467"/>
      <c r="S20" s="467"/>
      <c r="T20" s="467"/>
      <c r="U20" s="467"/>
      <c r="V20" s="467"/>
      <c r="W20" s="467"/>
      <c r="X20" s="468"/>
      <c r="Y20" s="84"/>
    </row>
    <row r="21" spans="2:25">
      <c r="B21" s="506"/>
      <c r="C21" s="493"/>
      <c r="D21" s="149" t="s">
        <v>1232</v>
      </c>
      <c r="E21" s="493"/>
      <c r="F21" s="487"/>
      <c r="G21" s="73"/>
      <c r="H21" s="12"/>
      <c r="I21" s="12"/>
      <c r="J21" s="12"/>
      <c r="K21" s="74"/>
      <c r="L21" s="71"/>
      <c r="M21" s="63"/>
      <c r="N21" s="129"/>
      <c r="O21" s="73" t="s">
        <v>1236</v>
      </c>
      <c r="P21" s="467" t="s">
        <v>208</v>
      </c>
      <c r="Q21" s="467"/>
      <c r="R21" s="467"/>
      <c r="S21" s="467"/>
      <c r="T21" s="467"/>
      <c r="U21" s="467"/>
      <c r="V21" s="467"/>
      <c r="W21" s="467"/>
      <c r="X21" s="468"/>
      <c r="Y21" s="84"/>
    </row>
    <row r="22" spans="2:25">
      <c r="B22" s="506"/>
      <c r="C22" s="492" t="s">
        <v>184</v>
      </c>
      <c r="D22" s="149" t="s">
        <v>148</v>
      </c>
      <c r="E22" s="149"/>
      <c r="F22" s="150"/>
      <c r="G22" s="495" t="s">
        <v>1234</v>
      </c>
      <c r="H22" s="467"/>
      <c r="I22" s="467"/>
      <c r="J22" s="467"/>
      <c r="K22" s="468"/>
      <c r="L22" s="71" t="s">
        <v>1233</v>
      </c>
      <c r="M22" s="63"/>
      <c r="N22" s="129"/>
      <c r="O22" s="71" t="s">
        <v>1233</v>
      </c>
      <c r="P22" s="122"/>
      <c r="Q22" s="12"/>
      <c r="R22" s="12"/>
      <c r="S22" s="12"/>
      <c r="T22" s="12"/>
      <c r="U22" s="12"/>
      <c r="V22" s="12"/>
      <c r="W22" s="12"/>
      <c r="X22" s="74"/>
      <c r="Y22" s="84"/>
    </row>
    <row r="23" spans="2:25">
      <c r="B23" s="506"/>
      <c r="C23" s="493"/>
      <c r="D23" s="148" t="s">
        <v>149</v>
      </c>
      <c r="E23" s="492" t="s">
        <v>179</v>
      </c>
      <c r="F23" s="486" t="s">
        <v>211</v>
      </c>
      <c r="G23" s="73" t="s">
        <v>155</v>
      </c>
      <c r="H23" s="12"/>
      <c r="I23" s="12" t="s">
        <v>209</v>
      </c>
      <c r="J23" s="12" t="s">
        <v>144</v>
      </c>
      <c r="K23" s="74" t="s">
        <v>167</v>
      </c>
      <c r="L23" s="71"/>
      <c r="M23" s="63"/>
      <c r="N23" s="129"/>
      <c r="O23" s="73" t="s">
        <v>1237</v>
      </c>
      <c r="P23" s="467" t="s">
        <v>198</v>
      </c>
      <c r="Q23" s="467"/>
      <c r="R23" s="467"/>
      <c r="S23" s="467"/>
      <c r="T23" s="467"/>
      <c r="U23" s="467"/>
      <c r="V23" s="467"/>
      <c r="W23" s="467"/>
      <c r="X23" s="468"/>
      <c r="Y23" s="84"/>
    </row>
    <row r="24" spans="2:25">
      <c r="B24" s="506"/>
      <c r="C24" s="493"/>
      <c r="D24" s="149" t="s">
        <v>1232</v>
      </c>
      <c r="E24" s="493"/>
      <c r="F24" s="487"/>
      <c r="G24" s="73"/>
      <c r="H24" s="12"/>
      <c r="I24" s="12"/>
      <c r="J24" s="12"/>
      <c r="K24" s="74"/>
      <c r="L24" s="71"/>
      <c r="M24" s="63"/>
      <c r="N24" s="129"/>
      <c r="O24" s="73" t="s">
        <v>1236</v>
      </c>
      <c r="P24" s="467" t="s">
        <v>208</v>
      </c>
      <c r="Q24" s="467"/>
      <c r="R24" s="467"/>
      <c r="S24" s="467"/>
      <c r="T24" s="467"/>
      <c r="U24" s="467"/>
      <c r="V24" s="467"/>
      <c r="W24" s="467"/>
      <c r="X24" s="468"/>
      <c r="Y24" s="84"/>
    </row>
    <row r="25" spans="2:25">
      <c r="B25" s="506"/>
      <c r="C25" s="492" t="s">
        <v>185</v>
      </c>
      <c r="D25" s="148" t="s">
        <v>149</v>
      </c>
      <c r="E25" s="492" t="s">
        <v>179</v>
      </c>
      <c r="F25" s="486" t="s">
        <v>211</v>
      </c>
      <c r="G25" s="73" t="s">
        <v>155</v>
      </c>
      <c r="H25" s="12"/>
      <c r="I25" s="12" t="s">
        <v>209</v>
      </c>
      <c r="J25" s="12" t="s">
        <v>144</v>
      </c>
      <c r="K25" s="74" t="s">
        <v>167</v>
      </c>
      <c r="L25" s="71"/>
      <c r="M25" s="63"/>
      <c r="N25" s="129"/>
      <c r="O25" s="73" t="s">
        <v>1237</v>
      </c>
      <c r="P25" s="467" t="s">
        <v>198</v>
      </c>
      <c r="Q25" s="467"/>
      <c r="R25" s="467"/>
      <c r="S25" s="467"/>
      <c r="T25" s="467"/>
      <c r="U25" s="467"/>
      <c r="V25" s="467"/>
      <c r="W25" s="467"/>
      <c r="X25" s="468"/>
      <c r="Y25" s="84"/>
    </row>
    <row r="26" spans="2:25">
      <c r="B26" s="506"/>
      <c r="C26" s="493"/>
      <c r="D26" s="149" t="s">
        <v>1232</v>
      </c>
      <c r="E26" s="493"/>
      <c r="F26" s="487"/>
      <c r="G26" s="73"/>
      <c r="H26" s="12"/>
      <c r="I26" s="12"/>
      <c r="J26" s="12"/>
      <c r="K26" s="74"/>
      <c r="L26" s="71"/>
      <c r="M26" s="63"/>
      <c r="N26" s="129"/>
      <c r="O26" s="73" t="s">
        <v>1236</v>
      </c>
      <c r="P26" s="467" t="s">
        <v>208</v>
      </c>
      <c r="Q26" s="467"/>
      <c r="R26" s="467"/>
      <c r="S26" s="467"/>
      <c r="T26" s="467"/>
      <c r="U26" s="467"/>
      <c r="V26" s="467"/>
      <c r="W26" s="467"/>
      <c r="X26" s="468"/>
      <c r="Y26" s="84"/>
    </row>
    <row r="27" spans="2:25">
      <c r="B27" s="506"/>
      <c r="C27" s="492" t="s">
        <v>186</v>
      </c>
      <c r="D27" s="149" t="s">
        <v>194</v>
      </c>
      <c r="E27" s="149"/>
      <c r="F27" s="150"/>
      <c r="G27" s="73"/>
      <c r="H27" s="12"/>
      <c r="I27" s="12"/>
      <c r="J27" s="12"/>
      <c r="K27" s="74"/>
      <c r="L27" s="71"/>
      <c r="M27" s="63"/>
      <c r="N27" s="129"/>
      <c r="O27" s="73"/>
      <c r="P27" s="122"/>
      <c r="Q27" s="12"/>
      <c r="R27" s="12"/>
      <c r="S27" s="12"/>
      <c r="T27" s="12"/>
      <c r="U27" s="12"/>
      <c r="V27" s="12"/>
      <c r="W27" s="12"/>
      <c r="X27" s="74"/>
      <c r="Y27" s="84"/>
    </row>
    <row r="28" spans="2:25">
      <c r="B28" s="506"/>
      <c r="C28" s="493"/>
      <c r="D28" s="149" t="s">
        <v>195</v>
      </c>
      <c r="E28" s="149" t="s">
        <v>200</v>
      </c>
      <c r="F28" s="150"/>
      <c r="G28" s="73" t="s">
        <v>155</v>
      </c>
      <c r="H28" s="12"/>
      <c r="I28" s="12" t="s">
        <v>209</v>
      </c>
      <c r="J28" s="12" t="s">
        <v>144</v>
      </c>
      <c r="K28" s="74" t="s">
        <v>167</v>
      </c>
      <c r="L28" s="71"/>
      <c r="M28" s="63"/>
      <c r="N28" s="129"/>
      <c r="O28" s="73"/>
      <c r="P28" s="122"/>
      <c r="Q28" s="12"/>
      <c r="R28" s="12"/>
      <c r="S28" s="12"/>
      <c r="T28" s="12"/>
      <c r="U28" s="12"/>
      <c r="V28" s="12"/>
      <c r="W28" s="12"/>
      <c r="X28" s="74"/>
      <c r="Y28" s="84"/>
    </row>
    <row r="29" spans="2:25">
      <c r="B29" s="506"/>
      <c r="C29" s="493"/>
      <c r="D29" s="153" t="s">
        <v>199</v>
      </c>
      <c r="E29" s="153" t="s">
        <v>179</v>
      </c>
      <c r="F29" s="154" t="s">
        <v>211</v>
      </c>
      <c r="G29" s="73" t="s">
        <v>155</v>
      </c>
      <c r="H29" s="12"/>
      <c r="I29" s="12" t="s">
        <v>209</v>
      </c>
      <c r="J29" s="12" t="s">
        <v>144</v>
      </c>
      <c r="K29" s="74" t="s">
        <v>167</v>
      </c>
      <c r="L29" s="71"/>
      <c r="M29" s="63"/>
      <c r="N29" s="129"/>
      <c r="O29" s="73" t="s">
        <v>1237</v>
      </c>
      <c r="P29" s="467" t="s">
        <v>198</v>
      </c>
      <c r="Q29" s="467"/>
      <c r="R29" s="467"/>
      <c r="S29" s="467"/>
      <c r="T29" s="467"/>
      <c r="U29" s="467"/>
      <c r="V29" s="467"/>
      <c r="W29" s="467"/>
      <c r="X29" s="468"/>
      <c r="Y29" s="84"/>
    </row>
    <row r="30" spans="2:25">
      <c r="B30" s="506"/>
      <c r="C30" s="493"/>
      <c r="D30" s="155"/>
      <c r="E30" s="155"/>
      <c r="F30" s="156"/>
      <c r="G30" s="73"/>
      <c r="H30" s="12"/>
      <c r="I30" s="12"/>
      <c r="J30" s="12"/>
      <c r="K30" s="74"/>
      <c r="L30" s="71"/>
      <c r="M30" s="63"/>
      <c r="N30" s="129"/>
      <c r="O30" s="73" t="s">
        <v>1236</v>
      </c>
      <c r="P30" s="473" t="s">
        <v>208</v>
      </c>
      <c r="Q30" s="467"/>
      <c r="R30" s="467"/>
      <c r="S30" s="467"/>
      <c r="T30" s="467"/>
      <c r="U30" s="467"/>
      <c r="V30" s="467"/>
      <c r="W30" s="467"/>
      <c r="X30" s="468"/>
      <c r="Y30" s="84"/>
    </row>
    <row r="31" spans="2:25">
      <c r="B31" s="506"/>
      <c r="C31" s="492" t="s">
        <v>197</v>
      </c>
      <c r="D31" s="492" t="s">
        <v>199</v>
      </c>
      <c r="E31" s="492" t="s">
        <v>179</v>
      </c>
      <c r="F31" s="486" t="s">
        <v>211</v>
      </c>
      <c r="G31" s="73" t="s">
        <v>155</v>
      </c>
      <c r="H31" s="12"/>
      <c r="I31" s="12" t="s">
        <v>209</v>
      </c>
      <c r="J31" s="12" t="s">
        <v>144</v>
      </c>
      <c r="K31" s="74" t="s">
        <v>167</v>
      </c>
      <c r="L31" s="71"/>
      <c r="M31" s="63"/>
      <c r="N31" s="129"/>
      <c r="O31" s="73" t="s">
        <v>1237</v>
      </c>
      <c r="P31" s="467" t="s">
        <v>198</v>
      </c>
      <c r="Q31" s="467"/>
      <c r="R31" s="467"/>
      <c r="S31" s="467"/>
      <c r="T31" s="467"/>
      <c r="U31" s="467"/>
      <c r="V31" s="467"/>
      <c r="W31" s="467"/>
      <c r="X31" s="468"/>
      <c r="Y31" s="84"/>
    </row>
    <row r="32" spans="2:25">
      <c r="B32" s="506"/>
      <c r="C32" s="493"/>
      <c r="D32" s="493"/>
      <c r="E32" s="493"/>
      <c r="F32" s="487"/>
      <c r="G32" s="73"/>
      <c r="H32" s="12"/>
      <c r="I32" s="12"/>
      <c r="J32" s="12"/>
      <c r="K32" s="74"/>
      <c r="L32" s="71"/>
      <c r="M32" s="63"/>
      <c r="N32" s="129"/>
      <c r="O32" s="73" t="s">
        <v>1236</v>
      </c>
      <c r="P32" s="473" t="s">
        <v>208</v>
      </c>
      <c r="Q32" s="467"/>
      <c r="R32" s="467"/>
      <c r="S32" s="467"/>
      <c r="T32" s="467"/>
      <c r="U32" s="467"/>
      <c r="V32" s="467"/>
      <c r="W32" s="467"/>
      <c r="X32" s="468"/>
      <c r="Y32" s="84"/>
    </row>
    <row r="33" spans="2:25">
      <c r="B33" s="158" t="s">
        <v>217</v>
      </c>
      <c r="C33" s="488" t="s">
        <v>1267</v>
      </c>
      <c r="D33" s="489"/>
      <c r="E33" s="159" t="s">
        <v>1267</v>
      </c>
      <c r="F33" s="160" t="s">
        <v>155</v>
      </c>
      <c r="G33" s="73"/>
      <c r="H33" s="12"/>
      <c r="I33" s="12"/>
      <c r="J33" s="12"/>
      <c r="K33" s="74"/>
      <c r="L33" s="73"/>
      <c r="M33" s="12"/>
      <c r="N33" s="12"/>
      <c r="O33" s="71" t="s">
        <v>247</v>
      </c>
      <c r="P33" s="63" t="s">
        <v>237</v>
      </c>
      <c r="Q33" s="12" t="s">
        <v>1275</v>
      </c>
      <c r="R33" s="12"/>
      <c r="S33" s="12"/>
      <c r="T33" s="12"/>
      <c r="U33" s="12"/>
      <c r="V33" s="12"/>
      <c r="W33" s="12"/>
      <c r="X33" s="74"/>
      <c r="Y33" s="84" t="s">
        <v>1240</v>
      </c>
    </row>
    <row r="34" spans="2:25">
      <c r="B34" s="158" t="s">
        <v>214</v>
      </c>
      <c r="C34" s="488" t="s">
        <v>1267</v>
      </c>
      <c r="D34" s="489"/>
      <c r="E34" s="159" t="s">
        <v>1267</v>
      </c>
      <c r="F34" s="160" t="s">
        <v>155</v>
      </c>
      <c r="G34" s="73" t="s">
        <v>155</v>
      </c>
      <c r="H34" s="12"/>
      <c r="I34" s="12" t="s">
        <v>215</v>
      </c>
      <c r="J34" s="12"/>
      <c r="K34" s="74" t="s">
        <v>216</v>
      </c>
      <c r="L34" s="73"/>
      <c r="M34" s="12"/>
      <c r="N34" s="12"/>
      <c r="O34" s="73"/>
      <c r="P34" s="122"/>
      <c r="Q34" s="12"/>
      <c r="R34" s="12"/>
      <c r="S34" s="12"/>
      <c r="T34" s="12"/>
      <c r="U34" s="12"/>
      <c r="V34" s="12"/>
      <c r="W34" s="12"/>
      <c r="X34" s="74"/>
      <c r="Y34" s="84" t="s">
        <v>1240</v>
      </c>
    </row>
    <row r="35" spans="2:25">
      <c r="B35" s="474" t="s">
        <v>150</v>
      </c>
      <c r="C35" s="475"/>
      <c r="D35" s="476"/>
      <c r="E35" s="135" t="s">
        <v>192</v>
      </c>
      <c r="F35" s="136" t="s">
        <v>155</v>
      </c>
      <c r="G35" s="73"/>
      <c r="H35" s="12"/>
      <c r="I35" s="12"/>
      <c r="J35" s="12"/>
      <c r="K35" s="74"/>
      <c r="L35" s="71"/>
      <c r="M35" s="63"/>
      <c r="N35" s="129"/>
      <c r="O35" s="73" t="s">
        <v>1204</v>
      </c>
      <c r="P35" s="122" t="s">
        <v>165</v>
      </c>
      <c r="Q35" s="12" t="s">
        <v>205</v>
      </c>
      <c r="R35" s="12" t="s">
        <v>155</v>
      </c>
      <c r="S35" s="12"/>
      <c r="T35" s="12"/>
      <c r="U35" s="12" t="s">
        <v>172</v>
      </c>
      <c r="V35" s="12" t="s">
        <v>171</v>
      </c>
      <c r="W35" s="12" t="s">
        <v>144</v>
      </c>
      <c r="X35" s="74" t="s">
        <v>170</v>
      </c>
      <c r="Y35" s="84"/>
    </row>
    <row r="36" spans="2:25">
      <c r="B36" s="477"/>
      <c r="C36" s="478"/>
      <c r="D36" s="479"/>
      <c r="E36" s="483" t="s">
        <v>179</v>
      </c>
      <c r="F36" s="136" t="s">
        <v>155</v>
      </c>
      <c r="G36" s="73"/>
      <c r="H36" s="12"/>
      <c r="I36" s="12"/>
      <c r="J36" s="12"/>
      <c r="K36" s="74"/>
      <c r="L36" s="71"/>
      <c r="M36" s="63"/>
      <c r="N36" s="129"/>
      <c r="O36" s="73" t="s">
        <v>1204</v>
      </c>
      <c r="P36" s="122" t="s">
        <v>165</v>
      </c>
      <c r="Q36" s="12" t="s">
        <v>205</v>
      </c>
      <c r="R36" s="12" t="s">
        <v>155</v>
      </c>
      <c r="S36" s="12"/>
      <c r="T36" s="12"/>
      <c r="U36" s="12" t="s">
        <v>172</v>
      </c>
      <c r="V36" s="12" t="s">
        <v>171</v>
      </c>
      <c r="W36" s="12" t="s">
        <v>144</v>
      </c>
      <c r="X36" s="74" t="s">
        <v>170</v>
      </c>
      <c r="Y36" s="84"/>
    </row>
    <row r="37" spans="2:25" ht="28.8">
      <c r="B37" s="477"/>
      <c r="C37" s="478"/>
      <c r="D37" s="479"/>
      <c r="E37" s="484"/>
      <c r="F37" s="136" t="s">
        <v>156</v>
      </c>
      <c r="G37" s="73"/>
      <c r="H37" s="12"/>
      <c r="I37" s="12"/>
      <c r="J37" s="12"/>
      <c r="K37" s="74"/>
      <c r="L37" s="71"/>
      <c r="M37" s="63"/>
      <c r="N37" s="129"/>
      <c r="O37" s="73" t="s">
        <v>1204</v>
      </c>
      <c r="P37" s="122" t="s">
        <v>165</v>
      </c>
      <c r="Q37" s="12" t="s">
        <v>205</v>
      </c>
      <c r="R37" s="83" t="s">
        <v>212</v>
      </c>
      <c r="S37" s="12" t="s">
        <v>156</v>
      </c>
      <c r="T37" s="12"/>
      <c r="U37" s="12" t="s">
        <v>172</v>
      </c>
      <c r="V37" s="12" t="s">
        <v>171</v>
      </c>
      <c r="W37" s="12" t="s">
        <v>144</v>
      </c>
      <c r="X37" s="74" t="s">
        <v>170</v>
      </c>
      <c r="Y37" s="84"/>
    </row>
    <row r="38" spans="2:25">
      <c r="B38" s="480"/>
      <c r="C38" s="481"/>
      <c r="D38" s="482"/>
      <c r="E38" s="485"/>
      <c r="F38" s="136" t="s">
        <v>157</v>
      </c>
      <c r="G38" s="73"/>
      <c r="H38" s="12"/>
      <c r="I38" s="12"/>
      <c r="J38" s="12"/>
      <c r="K38" s="74"/>
      <c r="L38" s="71"/>
      <c r="M38" s="63"/>
      <c r="N38" s="129"/>
      <c r="O38" s="73" t="s">
        <v>1204</v>
      </c>
      <c r="P38" s="122" t="s">
        <v>165</v>
      </c>
      <c r="Q38" s="12" t="s">
        <v>205</v>
      </c>
      <c r="R38" s="12" t="s">
        <v>155</v>
      </c>
      <c r="S38" s="12"/>
      <c r="T38" s="12" t="s">
        <v>157</v>
      </c>
      <c r="U38" s="12" t="s">
        <v>172</v>
      </c>
      <c r="V38" s="12" t="s">
        <v>171</v>
      </c>
      <c r="W38" s="12" t="s">
        <v>144</v>
      </c>
      <c r="X38" s="74" t="s">
        <v>170</v>
      </c>
      <c r="Y38" s="84"/>
    </row>
    <row r="39" spans="2:25">
      <c r="B39" s="474" t="s">
        <v>1198</v>
      </c>
      <c r="C39" s="475"/>
      <c r="D39" s="476"/>
      <c r="E39" s="135" t="s">
        <v>192</v>
      </c>
      <c r="F39" s="136" t="s">
        <v>155</v>
      </c>
      <c r="G39" s="73"/>
      <c r="H39" s="12"/>
      <c r="I39" s="12"/>
      <c r="J39" s="12"/>
      <c r="K39" s="74"/>
      <c r="L39" s="71"/>
      <c r="M39" s="63"/>
      <c r="N39" s="129"/>
      <c r="O39" s="73" t="s">
        <v>1203</v>
      </c>
      <c r="P39" s="467" t="s">
        <v>175</v>
      </c>
      <c r="Q39" s="467"/>
      <c r="R39" s="467"/>
      <c r="S39" s="467"/>
      <c r="T39" s="467"/>
      <c r="U39" s="467"/>
      <c r="V39" s="467"/>
      <c r="W39" s="467"/>
      <c r="X39" s="468"/>
      <c r="Y39" s="84"/>
    </row>
    <row r="40" spans="2:25">
      <c r="B40" s="477"/>
      <c r="C40" s="478"/>
      <c r="D40" s="479"/>
      <c r="E40" s="483" t="s">
        <v>179</v>
      </c>
      <c r="F40" s="136" t="s">
        <v>155</v>
      </c>
      <c r="G40" s="73"/>
      <c r="H40" s="12"/>
      <c r="I40" s="12"/>
      <c r="J40" s="12"/>
      <c r="K40" s="74"/>
      <c r="L40" s="71"/>
      <c r="M40" s="63"/>
      <c r="N40" s="129"/>
      <c r="O40" s="73" t="s">
        <v>1203</v>
      </c>
      <c r="P40" s="467" t="s">
        <v>175</v>
      </c>
      <c r="Q40" s="467"/>
      <c r="R40" s="467"/>
      <c r="S40" s="467"/>
      <c r="T40" s="467"/>
      <c r="U40" s="467"/>
      <c r="V40" s="467"/>
      <c r="W40" s="467"/>
      <c r="X40" s="468"/>
      <c r="Y40" s="84"/>
    </row>
    <row r="41" spans="2:25">
      <c r="B41" s="477"/>
      <c r="C41" s="478"/>
      <c r="D41" s="479"/>
      <c r="E41" s="484"/>
      <c r="F41" s="136" t="s">
        <v>156</v>
      </c>
      <c r="G41" s="73"/>
      <c r="H41" s="12"/>
      <c r="I41" s="12"/>
      <c r="J41" s="12"/>
      <c r="K41" s="74"/>
      <c r="L41" s="71"/>
      <c r="M41" s="63"/>
      <c r="N41" s="129"/>
      <c r="O41" s="73" t="s">
        <v>1203</v>
      </c>
      <c r="P41" s="467" t="s">
        <v>175</v>
      </c>
      <c r="Q41" s="467"/>
      <c r="R41" s="467"/>
      <c r="S41" s="467"/>
      <c r="T41" s="467"/>
      <c r="U41" s="467"/>
      <c r="V41" s="467"/>
      <c r="W41" s="467"/>
      <c r="X41" s="468"/>
      <c r="Y41" s="84"/>
    </row>
    <row r="42" spans="2:25">
      <c r="B42" s="480"/>
      <c r="C42" s="481"/>
      <c r="D42" s="482"/>
      <c r="E42" s="485"/>
      <c r="F42" s="136" t="s">
        <v>157</v>
      </c>
      <c r="G42" s="73"/>
      <c r="H42" s="12"/>
      <c r="I42" s="12"/>
      <c r="J42" s="12"/>
      <c r="K42" s="74"/>
      <c r="L42" s="71"/>
      <c r="M42" s="63"/>
      <c r="N42" s="129"/>
      <c r="O42" s="73" t="s">
        <v>1203</v>
      </c>
      <c r="P42" s="467" t="s">
        <v>175</v>
      </c>
      <c r="Q42" s="467"/>
      <c r="R42" s="467"/>
      <c r="S42" s="467"/>
      <c r="T42" s="467"/>
      <c r="U42" s="467"/>
      <c r="V42" s="467"/>
      <c r="W42" s="467"/>
      <c r="X42" s="468"/>
      <c r="Y42" s="84"/>
    </row>
    <row r="43" spans="2:25">
      <c r="B43" s="137" t="s">
        <v>1218</v>
      </c>
      <c r="C43" s="138"/>
      <c r="D43" s="139"/>
      <c r="E43" s="140" t="s">
        <v>1227</v>
      </c>
      <c r="F43" s="136" t="s">
        <v>1199</v>
      </c>
      <c r="G43" s="73" t="s">
        <v>155</v>
      </c>
      <c r="H43" s="12"/>
      <c r="I43" s="12" t="s">
        <v>172</v>
      </c>
      <c r="J43" s="12" t="s">
        <v>144</v>
      </c>
      <c r="K43" s="75" t="s">
        <v>167</v>
      </c>
      <c r="L43" s="71"/>
      <c r="M43" s="63"/>
      <c r="N43" s="129"/>
      <c r="O43" s="73" t="s">
        <v>243</v>
      </c>
      <c r="P43" s="467" t="s">
        <v>175</v>
      </c>
      <c r="Q43" s="467"/>
      <c r="R43" s="467"/>
      <c r="S43" s="467"/>
      <c r="T43" s="467"/>
      <c r="U43" s="467"/>
      <c r="V43" s="467"/>
      <c r="W43" s="467"/>
      <c r="X43" s="468"/>
      <c r="Y43" s="84"/>
    </row>
    <row r="44" spans="2:25">
      <c r="B44" s="141" t="s">
        <v>1226</v>
      </c>
      <c r="C44" s="142"/>
      <c r="D44" s="143"/>
      <c r="E44" s="140" t="s">
        <v>1228</v>
      </c>
      <c r="F44" s="136" t="s">
        <v>1200</v>
      </c>
      <c r="G44" s="73" t="s">
        <v>155</v>
      </c>
      <c r="H44" s="12"/>
      <c r="I44" s="12" t="s">
        <v>171</v>
      </c>
      <c r="J44" s="12" t="s">
        <v>144</v>
      </c>
      <c r="K44" s="74" t="s">
        <v>167</v>
      </c>
      <c r="L44" s="71"/>
      <c r="M44" s="63"/>
      <c r="N44" s="129"/>
      <c r="O44" s="73" t="s">
        <v>243</v>
      </c>
      <c r="P44" s="467" t="s">
        <v>175</v>
      </c>
      <c r="Q44" s="467"/>
      <c r="R44" s="467"/>
      <c r="S44" s="467"/>
      <c r="T44" s="467"/>
      <c r="U44" s="467"/>
      <c r="V44" s="467"/>
      <c r="W44" s="467"/>
      <c r="X44" s="468"/>
      <c r="Y44" s="84"/>
    </row>
    <row r="45" spans="2:25">
      <c r="B45" s="144" t="s">
        <v>152</v>
      </c>
      <c r="C45" s="145"/>
      <c r="D45" s="146"/>
      <c r="E45" s="140" t="s">
        <v>1227</v>
      </c>
      <c r="F45" s="136" t="s">
        <v>1199</v>
      </c>
      <c r="G45" s="73" t="s">
        <v>155</v>
      </c>
      <c r="H45" s="12"/>
      <c r="I45" s="12" t="s">
        <v>172</v>
      </c>
      <c r="J45" s="12" t="s">
        <v>144</v>
      </c>
      <c r="K45" s="75" t="s">
        <v>167</v>
      </c>
      <c r="L45" s="71"/>
      <c r="M45" s="63"/>
      <c r="N45" s="129"/>
      <c r="O45" s="73" t="s">
        <v>1203</v>
      </c>
      <c r="P45" s="467" t="s">
        <v>175</v>
      </c>
      <c r="Q45" s="467"/>
      <c r="R45" s="467"/>
      <c r="S45" s="467"/>
      <c r="T45" s="467"/>
      <c r="U45" s="467"/>
      <c r="V45" s="467"/>
      <c r="W45" s="467"/>
      <c r="X45" s="468"/>
      <c r="Y45" s="84"/>
    </row>
    <row r="46" spans="2:25">
      <c r="B46" s="144"/>
      <c r="C46" s="145"/>
      <c r="D46" s="146"/>
      <c r="E46" s="140" t="s">
        <v>1228</v>
      </c>
      <c r="F46" s="136" t="s">
        <v>1200</v>
      </c>
      <c r="G46" s="73" t="s">
        <v>155</v>
      </c>
      <c r="H46" s="12"/>
      <c r="I46" s="12" t="s">
        <v>171</v>
      </c>
      <c r="J46" s="12" t="s">
        <v>144</v>
      </c>
      <c r="K46" s="74" t="s">
        <v>167</v>
      </c>
      <c r="L46" s="71"/>
      <c r="M46" s="63"/>
      <c r="N46" s="129"/>
      <c r="O46" s="73" t="s">
        <v>1203</v>
      </c>
      <c r="P46" s="467" t="s">
        <v>175</v>
      </c>
      <c r="Q46" s="467"/>
      <c r="R46" s="467"/>
      <c r="S46" s="467"/>
      <c r="T46" s="467"/>
      <c r="U46" s="467"/>
      <c r="V46" s="467"/>
      <c r="W46" s="467"/>
      <c r="X46" s="468"/>
      <c r="Y46" s="84"/>
    </row>
    <row r="47" spans="2:25">
      <c r="B47" s="144"/>
      <c r="C47" s="145"/>
      <c r="D47" s="146"/>
      <c r="E47" s="140" t="s">
        <v>1230</v>
      </c>
      <c r="F47" s="136" t="s">
        <v>1201</v>
      </c>
      <c r="G47" s="73" t="s">
        <v>155</v>
      </c>
      <c r="H47" s="12" t="s">
        <v>157</v>
      </c>
      <c r="I47" s="12" t="s">
        <v>172</v>
      </c>
      <c r="J47" s="12" t="s">
        <v>144</v>
      </c>
      <c r="K47" s="76" t="s">
        <v>167</v>
      </c>
      <c r="L47" s="71"/>
      <c r="M47" s="63"/>
      <c r="N47" s="129"/>
      <c r="O47" s="73" t="s">
        <v>1203</v>
      </c>
      <c r="P47" s="467" t="s">
        <v>175</v>
      </c>
      <c r="Q47" s="467"/>
      <c r="R47" s="467"/>
      <c r="S47" s="467"/>
      <c r="T47" s="467"/>
      <c r="U47" s="467"/>
      <c r="V47" s="467"/>
      <c r="W47" s="467"/>
      <c r="X47" s="468"/>
      <c r="Y47" s="84"/>
    </row>
    <row r="48" spans="2:25">
      <c r="B48" s="141"/>
      <c r="C48" s="142"/>
      <c r="D48" s="143"/>
      <c r="E48" s="140" t="s">
        <v>1231</v>
      </c>
      <c r="F48" s="136" t="s">
        <v>1202</v>
      </c>
      <c r="G48" s="73" t="s">
        <v>155</v>
      </c>
      <c r="H48" s="12" t="s">
        <v>157</v>
      </c>
      <c r="I48" s="12" t="s">
        <v>171</v>
      </c>
      <c r="J48" s="12" t="s">
        <v>144</v>
      </c>
      <c r="K48" s="74" t="s">
        <v>167</v>
      </c>
      <c r="L48" s="71"/>
      <c r="M48" s="63"/>
      <c r="N48" s="129"/>
      <c r="O48" s="73" t="s">
        <v>1203</v>
      </c>
      <c r="P48" s="467" t="s">
        <v>175</v>
      </c>
      <c r="Q48" s="467"/>
      <c r="R48" s="467"/>
      <c r="S48" s="467"/>
      <c r="T48" s="467"/>
      <c r="U48" s="467"/>
      <c r="V48" s="467"/>
      <c r="W48" s="467"/>
      <c r="X48" s="468"/>
      <c r="Y48" s="84"/>
    </row>
    <row r="49" spans="2:25">
      <c r="B49" s="474" t="s">
        <v>1197</v>
      </c>
      <c r="C49" s="475"/>
      <c r="D49" s="476"/>
      <c r="E49" s="140" t="s">
        <v>1227</v>
      </c>
      <c r="F49" s="136" t="s">
        <v>1199</v>
      </c>
      <c r="G49" s="73" t="s">
        <v>155</v>
      </c>
      <c r="H49" s="12"/>
      <c r="I49" s="12" t="s">
        <v>172</v>
      </c>
      <c r="J49" s="12" t="s">
        <v>144</v>
      </c>
      <c r="K49" s="74" t="s">
        <v>167</v>
      </c>
      <c r="L49" s="71"/>
      <c r="M49" s="63"/>
      <c r="N49" s="129"/>
      <c r="O49" s="73" t="s">
        <v>1204</v>
      </c>
      <c r="P49" s="467" t="s">
        <v>1223</v>
      </c>
      <c r="Q49" s="467"/>
      <c r="R49" s="467"/>
      <c r="S49" s="467"/>
      <c r="T49" s="467"/>
      <c r="U49" s="467"/>
      <c r="V49" s="467"/>
      <c r="W49" s="467"/>
      <c r="X49" s="468"/>
      <c r="Y49" s="84" t="s">
        <v>1212</v>
      </c>
    </row>
    <row r="50" spans="2:25">
      <c r="B50" s="477"/>
      <c r="C50" s="478"/>
      <c r="D50" s="479"/>
      <c r="E50" s="140" t="s">
        <v>1228</v>
      </c>
      <c r="F50" s="136" t="s">
        <v>1200</v>
      </c>
      <c r="G50" s="73" t="s">
        <v>155</v>
      </c>
      <c r="H50" s="12"/>
      <c r="I50" s="12" t="s">
        <v>171</v>
      </c>
      <c r="J50" s="12" t="s">
        <v>144</v>
      </c>
      <c r="K50" s="75" t="s">
        <v>167</v>
      </c>
      <c r="L50" s="71"/>
      <c r="M50" s="63"/>
      <c r="N50" s="129"/>
      <c r="O50" s="73" t="s">
        <v>1204</v>
      </c>
      <c r="P50" s="467" t="s">
        <v>1223</v>
      </c>
      <c r="Q50" s="467"/>
      <c r="R50" s="467"/>
      <c r="S50" s="467"/>
      <c r="T50" s="467"/>
      <c r="U50" s="467"/>
      <c r="V50" s="467"/>
      <c r="W50" s="467"/>
      <c r="X50" s="468"/>
      <c r="Y50" s="84" t="s">
        <v>1212</v>
      </c>
    </row>
    <row r="51" spans="2:25">
      <c r="B51" s="477"/>
      <c r="C51" s="478"/>
      <c r="D51" s="479"/>
      <c r="E51" s="140" t="s">
        <v>1230</v>
      </c>
      <c r="F51" s="136" t="s">
        <v>1201</v>
      </c>
      <c r="G51" s="73" t="s">
        <v>155</v>
      </c>
      <c r="H51" s="12" t="s">
        <v>157</v>
      </c>
      <c r="I51" s="12" t="s">
        <v>172</v>
      </c>
      <c r="J51" s="12" t="s">
        <v>144</v>
      </c>
      <c r="K51" s="74" t="s">
        <v>167</v>
      </c>
      <c r="L51" s="71"/>
      <c r="M51" s="63"/>
      <c r="N51" s="129"/>
      <c r="O51" s="73" t="s">
        <v>1204</v>
      </c>
      <c r="P51" s="467" t="s">
        <v>1223</v>
      </c>
      <c r="Q51" s="467"/>
      <c r="R51" s="467"/>
      <c r="S51" s="467"/>
      <c r="T51" s="467"/>
      <c r="U51" s="467"/>
      <c r="V51" s="467"/>
      <c r="W51" s="467"/>
      <c r="X51" s="468"/>
      <c r="Y51" s="84" t="s">
        <v>1212</v>
      </c>
    </row>
    <row r="52" spans="2:25">
      <c r="B52" s="480"/>
      <c r="C52" s="481"/>
      <c r="D52" s="482"/>
      <c r="E52" s="140" t="s">
        <v>1231</v>
      </c>
      <c r="F52" s="136" t="s">
        <v>1202</v>
      </c>
      <c r="G52" s="73" t="s">
        <v>155</v>
      </c>
      <c r="H52" s="12" t="s">
        <v>157</v>
      </c>
      <c r="I52" s="12" t="s">
        <v>171</v>
      </c>
      <c r="J52" s="12" t="s">
        <v>144</v>
      </c>
      <c r="K52" s="75" t="s">
        <v>167</v>
      </c>
      <c r="L52" s="71"/>
      <c r="M52" s="63"/>
      <c r="N52" s="129"/>
      <c r="O52" s="73" t="s">
        <v>1204</v>
      </c>
      <c r="P52" s="467" t="s">
        <v>1223</v>
      </c>
      <c r="Q52" s="467"/>
      <c r="R52" s="467"/>
      <c r="S52" s="467"/>
      <c r="T52" s="467"/>
      <c r="U52" s="467"/>
      <c r="V52" s="467"/>
      <c r="W52" s="467"/>
      <c r="X52" s="468"/>
      <c r="Y52" s="84" t="s">
        <v>1212</v>
      </c>
    </row>
    <row r="53" spans="2:25">
      <c r="B53" s="137" t="s">
        <v>1218</v>
      </c>
      <c r="C53" s="138"/>
      <c r="D53" s="139"/>
      <c r="E53" s="140" t="s">
        <v>1229</v>
      </c>
      <c r="F53" s="136" t="s">
        <v>1199</v>
      </c>
      <c r="G53" s="73" t="s">
        <v>155</v>
      </c>
      <c r="H53" s="12"/>
      <c r="I53" s="12" t="s">
        <v>172</v>
      </c>
      <c r="J53" s="12" t="s">
        <v>144</v>
      </c>
      <c r="K53" s="75" t="s">
        <v>167</v>
      </c>
      <c r="L53" s="71"/>
      <c r="M53" s="63"/>
      <c r="N53" s="129"/>
      <c r="O53" s="73" t="s">
        <v>243</v>
      </c>
      <c r="P53" s="467" t="s">
        <v>175</v>
      </c>
      <c r="Q53" s="467"/>
      <c r="R53" s="467"/>
      <c r="S53" s="467"/>
      <c r="T53" s="467"/>
      <c r="U53" s="467"/>
      <c r="V53" s="467"/>
      <c r="W53" s="467"/>
      <c r="X53" s="468"/>
      <c r="Y53" s="84"/>
    </row>
    <row r="54" spans="2:25">
      <c r="B54" s="144" t="s">
        <v>1215</v>
      </c>
      <c r="C54" s="145"/>
      <c r="D54" s="146"/>
      <c r="E54" s="140" t="s">
        <v>1228</v>
      </c>
      <c r="F54" s="136" t="s">
        <v>1200</v>
      </c>
      <c r="G54" s="73" t="s">
        <v>155</v>
      </c>
      <c r="H54" s="12"/>
      <c r="I54" s="61" t="s">
        <v>1216</v>
      </c>
      <c r="J54" s="12" t="s">
        <v>144</v>
      </c>
      <c r="K54" s="74" t="s">
        <v>167</v>
      </c>
      <c r="L54" s="71"/>
      <c r="M54" s="63"/>
      <c r="N54" s="129"/>
      <c r="O54" s="73" t="s">
        <v>243</v>
      </c>
      <c r="P54" s="467" t="s">
        <v>175</v>
      </c>
      <c r="Q54" s="467"/>
      <c r="R54" s="467"/>
      <c r="S54" s="467"/>
      <c r="T54" s="467"/>
      <c r="U54" s="467"/>
      <c r="V54" s="467"/>
      <c r="W54" s="467"/>
      <c r="X54" s="468"/>
      <c r="Y54" s="84"/>
    </row>
    <row r="55" spans="2:25">
      <c r="B55" s="137" t="s">
        <v>1219</v>
      </c>
      <c r="C55" s="138"/>
      <c r="D55" s="139"/>
      <c r="E55" s="140" t="s">
        <v>1227</v>
      </c>
      <c r="F55" s="136" t="s">
        <v>1199</v>
      </c>
      <c r="G55" s="73" t="s">
        <v>155</v>
      </c>
      <c r="H55" s="12"/>
      <c r="I55" s="61" t="s">
        <v>1216</v>
      </c>
      <c r="J55" s="12" t="s">
        <v>144</v>
      </c>
      <c r="K55" s="75" t="s">
        <v>167</v>
      </c>
      <c r="L55" s="71"/>
      <c r="M55" s="63"/>
      <c r="N55" s="129"/>
      <c r="O55" s="73" t="s">
        <v>243</v>
      </c>
      <c r="P55" s="467" t="s">
        <v>1238</v>
      </c>
      <c r="Q55" s="467"/>
      <c r="R55" s="467"/>
      <c r="S55" s="467"/>
      <c r="T55" s="467"/>
      <c r="U55" s="467"/>
      <c r="V55" s="467"/>
      <c r="W55" s="467"/>
      <c r="X55" s="468"/>
      <c r="Y55" s="84"/>
    </row>
    <row r="56" spans="2:25">
      <c r="B56" s="141" t="s">
        <v>1220</v>
      </c>
      <c r="C56" s="142"/>
      <c r="D56" s="143"/>
      <c r="E56" s="140" t="s">
        <v>1228</v>
      </c>
      <c r="F56" s="136" t="s">
        <v>1200</v>
      </c>
      <c r="G56" s="73" t="s">
        <v>155</v>
      </c>
      <c r="H56" s="12"/>
      <c r="I56" s="12" t="s">
        <v>171</v>
      </c>
      <c r="J56" s="12" t="s">
        <v>144</v>
      </c>
      <c r="K56" s="74" t="s">
        <v>167</v>
      </c>
      <c r="L56" s="71"/>
      <c r="M56" s="63"/>
      <c r="N56" s="129"/>
      <c r="O56" s="73" t="s">
        <v>243</v>
      </c>
      <c r="P56" s="467" t="s">
        <v>1238</v>
      </c>
      <c r="Q56" s="467"/>
      <c r="R56" s="467"/>
      <c r="S56" s="467"/>
      <c r="T56" s="467"/>
      <c r="U56" s="467"/>
      <c r="V56" s="467"/>
      <c r="W56" s="467"/>
      <c r="X56" s="468"/>
      <c r="Y56" s="84"/>
    </row>
    <row r="57" spans="2:25">
      <c r="B57" s="517" t="s">
        <v>1221</v>
      </c>
      <c r="C57" s="518"/>
      <c r="D57" s="519"/>
      <c r="E57" s="161" t="s">
        <v>179</v>
      </c>
      <c r="F57" s="147"/>
      <c r="G57" s="73"/>
      <c r="H57" s="12"/>
      <c r="I57" s="12"/>
      <c r="J57" s="12"/>
      <c r="K57" s="74"/>
      <c r="L57" s="71"/>
      <c r="M57" s="63"/>
      <c r="N57" s="129"/>
      <c r="O57" s="73" t="s">
        <v>247</v>
      </c>
      <c r="P57" s="122" t="s">
        <v>1113</v>
      </c>
      <c r="Q57" s="12" t="s">
        <v>205</v>
      </c>
      <c r="R57" s="12" t="s">
        <v>155</v>
      </c>
      <c r="S57" s="12"/>
      <c r="T57" s="12"/>
      <c r="U57" s="12"/>
      <c r="V57" s="12" t="s">
        <v>171</v>
      </c>
      <c r="W57" s="12" t="s">
        <v>144</v>
      </c>
      <c r="X57" s="74" t="s">
        <v>170</v>
      </c>
      <c r="Y57" s="84"/>
    </row>
    <row r="58" spans="2:25">
      <c r="B58" s="517" t="s">
        <v>1221</v>
      </c>
      <c r="C58" s="518"/>
      <c r="D58" s="519"/>
      <c r="E58" s="161" t="s">
        <v>1276</v>
      </c>
      <c r="F58" s="147"/>
      <c r="G58" s="73"/>
      <c r="H58" s="12"/>
      <c r="I58" s="12"/>
      <c r="J58" s="12"/>
      <c r="K58" s="74"/>
      <c r="L58" s="71"/>
      <c r="M58" s="63"/>
      <c r="N58" s="129"/>
      <c r="O58" s="73" t="s">
        <v>247</v>
      </c>
      <c r="P58" s="122" t="s">
        <v>1113</v>
      </c>
      <c r="Q58" s="12" t="s">
        <v>205</v>
      </c>
      <c r="R58" s="12" t="s">
        <v>155</v>
      </c>
      <c r="S58" s="12"/>
      <c r="T58" s="12"/>
      <c r="U58" s="12"/>
      <c r="V58" s="12" t="s">
        <v>171</v>
      </c>
      <c r="W58" s="12" t="s">
        <v>144</v>
      </c>
      <c r="X58" s="74" t="s">
        <v>170</v>
      </c>
      <c r="Y58" s="84"/>
    </row>
    <row r="59" spans="2:25">
      <c r="B59" s="517" t="s">
        <v>1224</v>
      </c>
      <c r="C59" s="518"/>
      <c r="D59" s="519"/>
      <c r="E59" s="161" t="s">
        <v>179</v>
      </c>
      <c r="F59" s="147"/>
      <c r="G59" s="73"/>
      <c r="H59" s="12"/>
      <c r="I59" s="12"/>
      <c r="J59" s="12"/>
      <c r="K59" s="74"/>
      <c r="L59" s="71"/>
      <c r="M59" s="63"/>
      <c r="N59" s="129"/>
      <c r="O59" s="73" t="s">
        <v>243</v>
      </c>
      <c r="P59" s="467" t="s">
        <v>1243</v>
      </c>
      <c r="Q59" s="467"/>
      <c r="R59" s="467"/>
      <c r="S59" s="467"/>
      <c r="T59" s="467"/>
      <c r="U59" s="467"/>
      <c r="V59" s="467"/>
      <c r="W59" s="467"/>
      <c r="X59" s="468"/>
      <c r="Y59" s="84"/>
    </row>
    <row r="60" spans="2:25">
      <c r="B60" s="517" t="s">
        <v>1224</v>
      </c>
      <c r="C60" s="518"/>
      <c r="D60" s="519"/>
      <c r="E60" s="161" t="s">
        <v>1276</v>
      </c>
      <c r="F60" s="147"/>
      <c r="G60" s="73"/>
      <c r="H60" s="12"/>
      <c r="I60" s="12"/>
      <c r="J60" s="12"/>
      <c r="K60" s="74"/>
      <c r="L60" s="71"/>
      <c r="M60" s="63"/>
      <c r="N60" s="129"/>
      <c r="O60" s="73" t="s">
        <v>243</v>
      </c>
      <c r="P60" s="467" t="s">
        <v>1243</v>
      </c>
      <c r="Q60" s="467"/>
      <c r="R60" s="467"/>
      <c r="S60" s="467"/>
      <c r="T60" s="467"/>
      <c r="U60" s="467"/>
      <c r="V60" s="467"/>
      <c r="W60" s="467"/>
      <c r="X60" s="468"/>
      <c r="Y60" s="84"/>
    </row>
    <row r="61" spans="2:25">
      <c r="B61" s="517" t="s">
        <v>1222</v>
      </c>
      <c r="C61" s="518"/>
      <c r="D61" s="519"/>
      <c r="E61" s="161" t="s">
        <v>179</v>
      </c>
      <c r="F61" s="147"/>
      <c r="G61" s="73" t="s">
        <v>155</v>
      </c>
      <c r="H61" s="12"/>
      <c r="I61" s="12" t="s">
        <v>1241</v>
      </c>
      <c r="J61" s="12" t="s">
        <v>144</v>
      </c>
      <c r="K61" s="74" t="s">
        <v>167</v>
      </c>
      <c r="L61" s="71"/>
      <c r="M61" s="63"/>
      <c r="N61" s="129"/>
      <c r="O61" s="73" t="s">
        <v>243</v>
      </c>
      <c r="P61" s="467" t="s">
        <v>1243</v>
      </c>
      <c r="Q61" s="467"/>
      <c r="R61" s="467"/>
      <c r="S61" s="467"/>
      <c r="T61" s="467"/>
      <c r="U61" s="467"/>
      <c r="V61" s="467"/>
      <c r="W61" s="467"/>
      <c r="X61" s="468"/>
      <c r="Y61" s="84"/>
    </row>
    <row r="62" spans="2:25">
      <c r="B62" s="517" t="s">
        <v>1222</v>
      </c>
      <c r="C62" s="518"/>
      <c r="D62" s="519"/>
      <c r="E62" s="161" t="s">
        <v>1276</v>
      </c>
      <c r="F62" s="147"/>
      <c r="G62" s="73" t="s">
        <v>155</v>
      </c>
      <c r="H62" s="12"/>
      <c r="I62" s="12" t="s">
        <v>1241</v>
      </c>
      <c r="J62" s="12" t="s">
        <v>144</v>
      </c>
      <c r="K62" s="74" t="s">
        <v>167</v>
      </c>
      <c r="L62" s="71"/>
      <c r="M62" s="63"/>
      <c r="N62" s="129"/>
      <c r="O62" s="73" t="s">
        <v>243</v>
      </c>
      <c r="P62" s="467" t="s">
        <v>1243</v>
      </c>
      <c r="Q62" s="467"/>
      <c r="R62" s="467"/>
      <c r="S62" s="467"/>
      <c r="T62" s="467"/>
      <c r="U62" s="467"/>
      <c r="V62" s="467"/>
      <c r="W62" s="467"/>
      <c r="X62" s="468"/>
      <c r="Y62" s="84"/>
    </row>
    <row r="63" spans="2:25">
      <c r="B63" s="517" t="s">
        <v>1225</v>
      </c>
      <c r="C63" s="518"/>
      <c r="D63" s="519"/>
      <c r="E63" s="161" t="s">
        <v>179</v>
      </c>
      <c r="F63" s="147"/>
      <c r="G63" s="73" t="s">
        <v>155</v>
      </c>
      <c r="H63" s="12"/>
      <c r="I63" s="12" t="s">
        <v>1241</v>
      </c>
      <c r="J63" s="12" t="s">
        <v>144</v>
      </c>
      <c r="K63" s="75" t="s">
        <v>167</v>
      </c>
      <c r="L63" s="71"/>
      <c r="M63" s="63"/>
      <c r="N63" s="129"/>
      <c r="O63" s="73" t="s">
        <v>247</v>
      </c>
      <c r="P63" s="467" t="s">
        <v>1242</v>
      </c>
      <c r="Q63" s="467"/>
      <c r="R63" s="467"/>
      <c r="S63" s="467"/>
      <c r="T63" s="467"/>
      <c r="U63" s="467"/>
      <c r="V63" s="467"/>
      <c r="W63" s="467"/>
      <c r="X63" s="468"/>
      <c r="Y63" s="84"/>
    </row>
    <row r="64" spans="2:25" ht="15" thickBot="1">
      <c r="B64" s="517" t="s">
        <v>1225</v>
      </c>
      <c r="C64" s="518"/>
      <c r="D64" s="519"/>
      <c r="E64" s="161" t="s">
        <v>1276</v>
      </c>
      <c r="F64" s="147"/>
      <c r="G64" s="73" t="s">
        <v>155</v>
      </c>
      <c r="H64" s="12"/>
      <c r="I64" s="12" t="s">
        <v>1241</v>
      </c>
      <c r="J64" s="12" t="s">
        <v>144</v>
      </c>
      <c r="K64" s="75" t="s">
        <v>167</v>
      </c>
      <c r="L64" s="71"/>
      <c r="M64" s="63"/>
      <c r="N64" s="129"/>
      <c r="O64" s="73" t="s">
        <v>247</v>
      </c>
      <c r="P64" s="467" t="s">
        <v>1242</v>
      </c>
      <c r="Q64" s="467"/>
      <c r="R64" s="467"/>
      <c r="S64" s="467"/>
      <c r="T64" s="467"/>
      <c r="U64" s="467"/>
      <c r="V64" s="467"/>
      <c r="W64" s="467"/>
      <c r="X64" s="468"/>
      <c r="Y64" s="84"/>
    </row>
    <row r="65" spans="2:25" ht="15" thickTop="1">
      <c r="B65" s="508" t="s">
        <v>146</v>
      </c>
      <c r="C65" s="509"/>
      <c r="D65" s="510"/>
      <c r="E65" s="538" t="s">
        <v>179</v>
      </c>
      <c r="F65" s="162" t="s">
        <v>155</v>
      </c>
      <c r="G65" s="71"/>
      <c r="H65" s="63"/>
      <c r="I65" s="63"/>
      <c r="J65" s="63"/>
      <c r="K65" s="72"/>
      <c r="L65" s="85"/>
      <c r="M65" s="127"/>
      <c r="N65" s="127"/>
      <c r="O65" s="73" t="s">
        <v>247</v>
      </c>
      <c r="P65" s="121" t="s">
        <v>161</v>
      </c>
      <c r="Q65" s="63" t="s">
        <v>178</v>
      </c>
      <c r="R65" s="63" t="s">
        <v>155</v>
      </c>
      <c r="S65" s="63"/>
      <c r="T65" s="63"/>
      <c r="U65" s="63"/>
      <c r="V65" s="63"/>
      <c r="W65" s="63" t="s">
        <v>144</v>
      </c>
      <c r="X65" s="72" t="s">
        <v>162</v>
      </c>
      <c r="Y65" s="84"/>
    </row>
    <row r="66" spans="2:25" ht="28.8">
      <c r="B66" s="511"/>
      <c r="C66" s="512"/>
      <c r="D66" s="513"/>
      <c r="E66" s="536"/>
      <c r="F66" s="162" t="s">
        <v>156</v>
      </c>
      <c r="G66" s="73"/>
      <c r="H66" s="12"/>
      <c r="I66" s="12"/>
      <c r="J66" s="12"/>
      <c r="K66" s="74"/>
      <c r="L66" s="73"/>
      <c r="M66" s="12"/>
      <c r="N66" s="12"/>
      <c r="O66" s="71" t="s">
        <v>247</v>
      </c>
      <c r="P66" s="122" t="s">
        <v>161</v>
      </c>
      <c r="Q66" s="63" t="s">
        <v>178</v>
      </c>
      <c r="R66" s="83" t="s">
        <v>212</v>
      </c>
      <c r="S66" s="12" t="s">
        <v>156</v>
      </c>
      <c r="T66" s="12"/>
      <c r="U66" s="12"/>
      <c r="V66" s="12"/>
      <c r="W66" s="12" t="s">
        <v>144</v>
      </c>
      <c r="X66" s="74" t="s">
        <v>162</v>
      </c>
      <c r="Y66" s="84"/>
    </row>
    <row r="67" spans="2:25">
      <c r="B67" s="514"/>
      <c r="C67" s="515"/>
      <c r="D67" s="516"/>
      <c r="E67" s="539"/>
      <c r="F67" s="162" t="s">
        <v>157</v>
      </c>
      <c r="G67" s="73"/>
      <c r="H67" s="12"/>
      <c r="I67" s="12"/>
      <c r="J67" s="12"/>
      <c r="K67" s="74"/>
      <c r="L67" s="73"/>
      <c r="M67" s="12"/>
      <c r="N67" s="12"/>
      <c r="O67" s="71" t="s">
        <v>247</v>
      </c>
      <c r="P67" s="122" t="s">
        <v>161</v>
      </c>
      <c r="Q67" s="63" t="s">
        <v>178</v>
      </c>
      <c r="R67" s="12" t="s">
        <v>155</v>
      </c>
      <c r="S67" s="12"/>
      <c r="T67" s="12" t="s">
        <v>157</v>
      </c>
      <c r="U67" s="12"/>
      <c r="V67" s="12"/>
      <c r="W67" s="12" t="s">
        <v>144</v>
      </c>
      <c r="X67" s="74" t="s">
        <v>162</v>
      </c>
      <c r="Y67" s="84"/>
    </row>
    <row r="68" spans="2:25">
      <c r="B68" s="496" t="s">
        <v>153</v>
      </c>
      <c r="C68" s="497"/>
      <c r="D68" s="498"/>
      <c r="E68" s="538" t="s">
        <v>179</v>
      </c>
      <c r="F68" s="162"/>
      <c r="G68" s="73"/>
      <c r="H68" s="63"/>
      <c r="I68" s="12"/>
      <c r="J68" s="12"/>
      <c r="K68" s="74"/>
      <c r="L68" s="71"/>
      <c r="M68" s="63"/>
      <c r="N68" s="129"/>
      <c r="O68" s="73"/>
      <c r="P68" s="467" t="s">
        <v>174</v>
      </c>
      <c r="Q68" s="467"/>
      <c r="R68" s="467"/>
      <c r="S68" s="467"/>
      <c r="T68" s="467"/>
      <c r="U68" s="467"/>
      <c r="V68" s="467"/>
      <c r="W68" s="467"/>
      <c r="X68" s="468"/>
      <c r="Y68" s="84"/>
    </row>
    <row r="69" spans="2:25">
      <c r="B69" s="499"/>
      <c r="C69" s="500"/>
      <c r="D69" s="501"/>
      <c r="E69" s="536"/>
      <c r="F69" s="162" t="s">
        <v>155</v>
      </c>
      <c r="G69" s="73"/>
      <c r="H69" s="12"/>
      <c r="I69" s="12"/>
      <c r="J69" s="12"/>
      <c r="K69" s="74"/>
      <c r="L69" s="71"/>
      <c r="M69" s="63"/>
      <c r="N69" s="129"/>
      <c r="O69" s="73" t="s">
        <v>1204</v>
      </c>
      <c r="P69" s="122" t="s">
        <v>166</v>
      </c>
      <c r="Q69" s="12" t="s">
        <v>206</v>
      </c>
      <c r="R69" s="12" t="s">
        <v>155</v>
      </c>
      <c r="S69" s="12"/>
      <c r="T69" s="12"/>
      <c r="U69" s="12" t="s">
        <v>172</v>
      </c>
      <c r="V69" s="12"/>
      <c r="W69" s="12" t="s">
        <v>144</v>
      </c>
      <c r="X69" s="74" t="s">
        <v>170</v>
      </c>
      <c r="Y69" s="84"/>
    </row>
    <row r="70" spans="2:25" ht="28.8">
      <c r="B70" s="499"/>
      <c r="C70" s="500"/>
      <c r="D70" s="501"/>
      <c r="E70" s="536"/>
      <c r="F70" s="162" t="s">
        <v>156</v>
      </c>
      <c r="G70" s="73"/>
      <c r="H70" s="12"/>
      <c r="I70" s="12"/>
      <c r="J70" s="12"/>
      <c r="K70" s="74"/>
      <c r="L70" s="71"/>
      <c r="M70" s="63"/>
      <c r="N70" s="129"/>
      <c r="O70" s="73" t="s">
        <v>1204</v>
      </c>
      <c r="P70" s="122" t="s">
        <v>166</v>
      </c>
      <c r="Q70" s="12" t="s">
        <v>206</v>
      </c>
      <c r="R70" s="83" t="s">
        <v>212</v>
      </c>
      <c r="S70" s="12" t="s">
        <v>156</v>
      </c>
      <c r="T70" s="12"/>
      <c r="U70" s="12" t="s">
        <v>172</v>
      </c>
      <c r="V70" s="12"/>
      <c r="W70" s="12" t="s">
        <v>144</v>
      </c>
      <c r="X70" s="74" t="s">
        <v>170</v>
      </c>
      <c r="Y70" s="84"/>
    </row>
    <row r="71" spans="2:25">
      <c r="B71" s="502"/>
      <c r="C71" s="503"/>
      <c r="D71" s="504"/>
      <c r="E71" s="539"/>
      <c r="F71" s="162" t="s">
        <v>157</v>
      </c>
      <c r="G71" s="73"/>
      <c r="H71" s="12"/>
      <c r="I71" s="12"/>
      <c r="J71" s="12"/>
      <c r="K71" s="74"/>
      <c r="L71" s="71"/>
      <c r="M71" s="63"/>
      <c r="N71" s="129"/>
      <c r="O71" s="73" t="s">
        <v>1204</v>
      </c>
      <c r="P71" s="122" t="s">
        <v>166</v>
      </c>
      <c r="Q71" s="12" t="s">
        <v>206</v>
      </c>
      <c r="R71" s="12" t="s">
        <v>155</v>
      </c>
      <c r="S71" s="12"/>
      <c r="T71" s="12" t="s">
        <v>157</v>
      </c>
      <c r="U71" s="12" t="s">
        <v>172</v>
      </c>
      <c r="V71" s="12"/>
      <c r="W71" s="12" t="s">
        <v>144</v>
      </c>
      <c r="X71" s="74" t="s">
        <v>170</v>
      </c>
      <c r="Y71" s="84"/>
    </row>
    <row r="72" spans="2:25">
      <c r="B72" s="163" t="s">
        <v>154</v>
      </c>
      <c r="C72" s="164"/>
      <c r="D72" s="165"/>
      <c r="E72" s="536"/>
      <c r="F72" s="162" t="s">
        <v>155</v>
      </c>
      <c r="G72" s="73" t="s">
        <v>155</v>
      </c>
      <c r="H72" s="12"/>
      <c r="I72" s="12"/>
      <c r="J72" s="12" t="s">
        <v>144</v>
      </c>
      <c r="K72" s="75" t="s">
        <v>167</v>
      </c>
      <c r="L72" s="71"/>
      <c r="M72" s="63"/>
      <c r="N72" s="129"/>
      <c r="O72" s="73" t="s">
        <v>1203</v>
      </c>
      <c r="P72" s="467" t="s">
        <v>176</v>
      </c>
      <c r="Q72" s="467"/>
      <c r="R72" s="467"/>
      <c r="S72" s="467"/>
      <c r="T72" s="467"/>
      <c r="U72" s="467"/>
      <c r="V72" s="467"/>
      <c r="W72" s="467"/>
      <c r="X72" s="468"/>
      <c r="Y72" s="84"/>
    </row>
    <row r="73" spans="2:25" ht="15" thickBot="1">
      <c r="B73" s="166"/>
      <c r="C73" s="167"/>
      <c r="D73" s="168"/>
      <c r="E73" s="537"/>
      <c r="F73" s="169" t="s">
        <v>157</v>
      </c>
      <c r="G73" s="77" t="s">
        <v>155</v>
      </c>
      <c r="H73" s="78" t="s">
        <v>157</v>
      </c>
      <c r="I73" s="78"/>
      <c r="J73" s="78" t="s">
        <v>144</v>
      </c>
      <c r="K73" s="79" t="s">
        <v>167</v>
      </c>
      <c r="L73" s="77"/>
      <c r="M73" s="78"/>
      <c r="N73" s="132"/>
      <c r="O73" s="77" t="s">
        <v>1203</v>
      </c>
      <c r="P73" s="469" t="s">
        <v>176</v>
      </c>
      <c r="Q73" s="469"/>
      <c r="R73" s="469"/>
      <c r="S73" s="469"/>
      <c r="T73" s="469"/>
      <c r="U73" s="469"/>
      <c r="V73" s="469"/>
      <c r="W73" s="469"/>
      <c r="X73" s="470"/>
      <c r="Y73" s="84"/>
    </row>
    <row r="75" spans="2:25" ht="30">
      <c r="B75" s="62" t="s">
        <v>201</v>
      </c>
      <c r="C75" s="62"/>
      <c r="D75" s="62"/>
    </row>
    <row r="76" spans="2:25" ht="30">
      <c r="B76" s="62" t="s">
        <v>202</v>
      </c>
    </row>
    <row r="77" spans="2:25" ht="30">
      <c r="B77" s="62" t="s">
        <v>207</v>
      </c>
    </row>
    <row r="78" spans="2:25" ht="30">
      <c r="B78" s="62" t="s">
        <v>210</v>
      </c>
    </row>
    <row r="79" spans="2:25" ht="30">
      <c r="B79" s="522" t="s">
        <v>1208</v>
      </c>
      <c r="C79" s="522"/>
      <c r="D79" s="522"/>
      <c r="E79" s="522"/>
      <c r="F79" s="522"/>
      <c r="G79" s="522"/>
      <c r="H79" s="522"/>
      <c r="I79" s="522"/>
      <c r="J79" s="522"/>
      <c r="K79" s="522"/>
      <c r="L79" s="522"/>
      <c r="M79" s="522"/>
      <c r="N79" s="522"/>
      <c r="O79" s="522"/>
      <c r="P79" s="522"/>
      <c r="Q79" s="522"/>
      <c r="R79" s="522"/>
      <c r="S79" s="522"/>
    </row>
  </sheetData>
  <mergeCells count="99">
    <mergeCell ref="B63:D63"/>
    <mergeCell ref="P54:X54"/>
    <mergeCell ref="P55:X55"/>
    <mergeCell ref="P56:X56"/>
    <mergeCell ref="E65:E67"/>
    <mergeCell ref="B60:D60"/>
    <mergeCell ref="P60:X60"/>
    <mergeCell ref="B58:D58"/>
    <mergeCell ref="B62:D62"/>
    <mergeCell ref="P62:X62"/>
    <mergeCell ref="B64:D64"/>
    <mergeCell ref="P64:X64"/>
    <mergeCell ref="P43:X43"/>
    <mergeCell ref="P44:X44"/>
    <mergeCell ref="P53:X53"/>
    <mergeCell ref="P51:X51"/>
    <mergeCell ref="P52:X52"/>
    <mergeCell ref="L2:N2"/>
    <mergeCell ref="B79:S79"/>
    <mergeCell ref="B57:D57"/>
    <mergeCell ref="B61:D61"/>
    <mergeCell ref="P50:X50"/>
    <mergeCell ref="G2:K2"/>
    <mergeCell ref="E2:F3"/>
    <mergeCell ref="B2:D3"/>
    <mergeCell ref="E72:E73"/>
    <mergeCell ref="E68:E71"/>
    <mergeCell ref="P68:X68"/>
    <mergeCell ref="C27:C30"/>
    <mergeCell ref="C31:C32"/>
    <mergeCell ref="P29:X29"/>
    <mergeCell ref="P31:X31"/>
    <mergeCell ref="E31:E32"/>
    <mergeCell ref="B68:D71"/>
    <mergeCell ref="C4:D4"/>
    <mergeCell ref="C5:D5"/>
    <mergeCell ref="C6:D6"/>
    <mergeCell ref="C7:D7"/>
    <mergeCell ref="C25:C26"/>
    <mergeCell ref="B35:D38"/>
    <mergeCell ref="D31:D32"/>
    <mergeCell ref="B13:B32"/>
    <mergeCell ref="B4:B11"/>
    <mergeCell ref="B49:D52"/>
    <mergeCell ref="C34:D34"/>
    <mergeCell ref="C8:D8"/>
    <mergeCell ref="C9:D9"/>
    <mergeCell ref="B65:D67"/>
    <mergeCell ref="B59:D59"/>
    <mergeCell ref="P24:X24"/>
    <mergeCell ref="C13:C15"/>
    <mergeCell ref="C19:C21"/>
    <mergeCell ref="C22:C24"/>
    <mergeCell ref="P14:X14"/>
    <mergeCell ref="P17:X17"/>
    <mergeCell ref="P20:X20"/>
    <mergeCell ref="P15:X15"/>
    <mergeCell ref="P23:X23"/>
    <mergeCell ref="C16:C18"/>
    <mergeCell ref="G13:K13"/>
    <mergeCell ref="P18:X18"/>
    <mergeCell ref="G16:K16"/>
    <mergeCell ref="G19:K19"/>
    <mergeCell ref="P21:X21"/>
    <mergeCell ref="G22:K22"/>
    <mergeCell ref="C10:D10"/>
    <mergeCell ref="C11:D11"/>
    <mergeCell ref="C12:D12"/>
    <mergeCell ref="E25:E26"/>
    <mergeCell ref="E23:E24"/>
    <mergeCell ref="E20:E21"/>
    <mergeCell ref="E36:E38"/>
    <mergeCell ref="F31:F32"/>
    <mergeCell ref="C33:D33"/>
    <mergeCell ref="F20:F21"/>
    <mergeCell ref="F23:F24"/>
    <mergeCell ref="F25:F26"/>
    <mergeCell ref="B39:D42"/>
    <mergeCell ref="E40:E42"/>
    <mergeCell ref="P39:X39"/>
    <mergeCell ref="P40:X40"/>
    <mergeCell ref="P41:X41"/>
    <mergeCell ref="P42:X42"/>
    <mergeCell ref="O2:X2"/>
    <mergeCell ref="P72:X72"/>
    <mergeCell ref="P73:X73"/>
    <mergeCell ref="Y2:Y3"/>
    <mergeCell ref="P49:X49"/>
    <mergeCell ref="P45:X45"/>
    <mergeCell ref="P46:X46"/>
    <mergeCell ref="P47:X47"/>
    <mergeCell ref="P48:X48"/>
    <mergeCell ref="P63:X63"/>
    <mergeCell ref="P61:X61"/>
    <mergeCell ref="P59:X59"/>
    <mergeCell ref="P32:X32"/>
    <mergeCell ref="P25:X25"/>
    <mergeCell ref="P26:X26"/>
    <mergeCell ref="P30:X30"/>
  </mergeCells>
  <phoneticPr fontId="12"/>
  <pageMargins left="0.70866141732283472" right="0.70866141732283472" top="0.74803149606299213" bottom="0.74803149606299213" header="0.31496062992125984" footer="0.31496062992125984"/>
  <pageSetup paperSize="8" scale="63" orientation="landscape" r:id="rId1"/>
  <headerFooter>
    <oddFooter>&amp;C -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pageSetUpPr fitToPage="1"/>
  </sheetPr>
  <dimension ref="B1:T67"/>
  <sheetViews>
    <sheetView showGridLines="0" topLeftCell="A21" zoomScaleNormal="100" workbookViewId="0"/>
  </sheetViews>
  <sheetFormatPr defaultColWidth="2.36328125" defaultRowHeight="14.4"/>
  <cols>
    <col min="2" max="2" width="13.90625" customWidth="1"/>
    <col min="3" max="3" width="4" bestFit="1" customWidth="1"/>
    <col min="4" max="4" width="7.36328125" bestFit="1" customWidth="1"/>
    <col min="5" max="5" width="5.90625" bestFit="1" customWidth="1"/>
    <col min="6" max="6" width="9.7265625" bestFit="1" customWidth="1"/>
    <col min="7" max="7" width="10.90625" customWidth="1"/>
    <col min="8" max="8" width="12.26953125" bestFit="1" customWidth="1"/>
    <col min="9" max="9" width="12" bestFit="1" customWidth="1"/>
    <col min="10" max="11" width="10.90625" customWidth="1"/>
    <col min="12" max="12" width="12.26953125" bestFit="1" customWidth="1"/>
    <col min="13" max="13" width="12.26953125" customWidth="1"/>
    <col min="14" max="14" width="24.36328125" bestFit="1" customWidth="1"/>
    <col min="15" max="16" width="10.90625" customWidth="1"/>
    <col min="17" max="18" width="12.26953125" bestFit="1" customWidth="1"/>
    <col min="19" max="20" width="10.90625" customWidth="1"/>
  </cols>
  <sheetData>
    <row r="1" spans="2:20" ht="15" thickBot="1"/>
    <row r="2" spans="2:20">
      <c r="B2" s="571" t="s">
        <v>158</v>
      </c>
      <c r="C2" s="572"/>
      <c r="D2" s="573"/>
      <c r="E2" s="575" t="s">
        <v>159</v>
      </c>
      <c r="F2" s="576"/>
      <c r="G2" s="523" t="s">
        <v>180</v>
      </c>
      <c r="H2" s="524"/>
      <c r="I2" s="524"/>
      <c r="J2" s="524"/>
      <c r="K2" s="525"/>
      <c r="L2" s="464" t="s">
        <v>181</v>
      </c>
      <c r="M2" s="465"/>
      <c r="N2" s="465"/>
      <c r="O2" s="465"/>
      <c r="P2" s="465"/>
      <c r="Q2" s="465"/>
      <c r="R2" s="465"/>
      <c r="S2" s="465"/>
      <c r="T2" s="466"/>
    </row>
    <row r="3" spans="2:20" ht="15" thickBot="1">
      <c r="B3" s="574"/>
      <c r="C3" s="534"/>
      <c r="D3" s="535"/>
      <c r="E3" s="528"/>
      <c r="F3" s="529"/>
      <c r="G3" s="69" t="s">
        <v>143</v>
      </c>
      <c r="H3" s="64" t="s">
        <v>157</v>
      </c>
      <c r="I3" s="64" t="s">
        <v>169</v>
      </c>
      <c r="J3" s="64" t="s">
        <v>144</v>
      </c>
      <c r="K3" s="70" t="s">
        <v>145</v>
      </c>
      <c r="L3" s="80" t="s">
        <v>160</v>
      </c>
      <c r="M3" s="65" t="s">
        <v>173</v>
      </c>
      <c r="N3" s="65" t="s">
        <v>143</v>
      </c>
      <c r="O3" s="65" t="s">
        <v>156</v>
      </c>
      <c r="P3" s="65" t="s">
        <v>157</v>
      </c>
      <c r="Q3" s="65" t="s">
        <v>172</v>
      </c>
      <c r="R3" s="65" t="s">
        <v>171</v>
      </c>
      <c r="S3" s="65" t="s">
        <v>144</v>
      </c>
      <c r="T3" s="81" t="s">
        <v>145</v>
      </c>
    </row>
    <row r="4" spans="2:20" ht="15" thickTop="1">
      <c r="B4" s="577" t="s">
        <v>146</v>
      </c>
      <c r="C4" s="578"/>
      <c r="D4" s="579"/>
      <c r="E4" s="580" t="s">
        <v>179</v>
      </c>
      <c r="F4" s="68" t="s">
        <v>155</v>
      </c>
      <c r="G4" s="71"/>
      <c r="H4" s="63"/>
      <c r="I4" s="63"/>
      <c r="J4" s="63"/>
      <c r="K4" s="72"/>
      <c r="L4" s="71" t="s">
        <v>161</v>
      </c>
      <c r="M4" s="63" t="s">
        <v>178</v>
      </c>
      <c r="N4" s="63" t="s">
        <v>155</v>
      </c>
      <c r="O4" s="63"/>
      <c r="P4" s="63"/>
      <c r="Q4" s="63"/>
      <c r="R4" s="63"/>
      <c r="S4" s="63" t="s">
        <v>144</v>
      </c>
      <c r="T4" s="72" t="s">
        <v>162</v>
      </c>
    </row>
    <row r="5" spans="2:20">
      <c r="B5" s="555"/>
      <c r="C5" s="556"/>
      <c r="D5" s="557"/>
      <c r="E5" s="550"/>
      <c r="F5" s="67" t="s">
        <v>156</v>
      </c>
      <c r="G5" s="73"/>
      <c r="H5" s="12"/>
      <c r="I5" s="12"/>
      <c r="J5" s="12"/>
      <c r="K5" s="74"/>
      <c r="L5" s="73" t="s">
        <v>161</v>
      </c>
      <c r="M5" s="63" t="s">
        <v>178</v>
      </c>
      <c r="N5" s="12" t="s">
        <v>203</v>
      </c>
      <c r="O5" s="12" t="s">
        <v>156</v>
      </c>
      <c r="P5" s="12"/>
      <c r="Q5" s="12"/>
      <c r="R5" s="12"/>
      <c r="S5" s="12" t="s">
        <v>144</v>
      </c>
      <c r="T5" s="74" t="s">
        <v>162</v>
      </c>
    </row>
    <row r="6" spans="2:20">
      <c r="B6" s="558"/>
      <c r="C6" s="559"/>
      <c r="D6" s="560"/>
      <c r="E6" s="551"/>
      <c r="F6" s="67" t="s">
        <v>157</v>
      </c>
      <c r="G6" s="73"/>
      <c r="H6" s="12"/>
      <c r="I6" s="12"/>
      <c r="J6" s="12"/>
      <c r="K6" s="74"/>
      <c r="L6" s="73" t="s">
        <v>161</v>
      </c>
      <c r="M6" s="63" t="s">
        <v>178</v>
      </c>
      <c r="N6" s="12" t="s">
        <v>155</v>
      </c>
      <c r="O6" s="12"/>
      <c r="P6" s="12" t="s">
        <v>157</v>
      </c>
      <c r="Q6" s="12"/>
      <c r="R6" s="12"/>
      <c r="S6" s="12" t="s">
        <v>144</v>
      </c>
      <c r="T6" s="74" t="s">
        <v>162</v>
      </c>
    </row>
    <row r="7" spans="2:20">
      <c r="B7" s="568" t="s">
        <v>191</v>
      </c>
      <c r="C7" s="473" t="s">
        <v>188</v>
      </c>
      <c r="D7" s="564"/>
      <c r="E7" s="12" t="s">
        <v>179</v>
      </c>
      <c r="F7" s="67" t="s">
        <v>156</v>
      </c>
      <c r="G7" s="73"/>
      <c r="H7" s="12"/>
      <c r="I7" s="12"/>
      <c r="J7" s="12"/>
      <c r="K7" s="74"/>
      <c r="L7" s="73" t="s">
        <v>163</v>
      </c>
      <c r="M7" s="12" t="s">
        <v>177</v>
      </c>
      <c r="N7" s="12"/>
      <c r="O7" s="12" t="s">
        <v>156</v>
      </c>
      <c r="P7" s="12"/>
      <c r="Q7" s="12"/>
      <c r="R7" s="12"/>
      <c r="S7" s="12" t="s">
        <v>144</v>
      </c>
      <c r="T7" s="74" t="s">
        <v>182</v>
      </c>
    </row>
    <row r="8" spans="2:20">
      <c r="B8" s="569"/>
      <c r="C8" s="473" t="s">
        <v>189</v>
      </c>
      <c r="D8" s="564"/>
      <c r="E8" s="12" t="s">
        <v>179</v>
      </c>
      <c r="F8" s="67" t="s">
        <v>156</v>
      </c>
      <c r="G8" s="73"/>
      <c r="H8" s="12"/>
      <c r="I8" s="12"/>
      <c r="J8" s="12"/>
      <c r="K8" s="74"/>
      <c r="L8" s="73" t="s">
        <v>163</v>
      </c>
      <c r="M8" s="12" t="s">
        <v>177</v>
      </c>
      <c r="N8" s="12"/>
      <c r="O8" s="12" t="s">
        <v>156</v>
      </c>
      <c r="P8" s="12"/>
      <c r="Q8" s="12"/>
      <c r="R8" s="12"/>
      <c r="S8" s="12" t="s">
        <v>144</v>
      </c>
      <c r="T8" s="74" t="s">
        <v>182</v>
      </c>
    </row>
    <row r="9" spans="2:20">
      <c r="B9" s="569"/>
      <c r="C9" s="473" t="s">
        <v>183</v>
      </c>
      <c r="D9" s="564"/>
      <c r="E9" s="12" t="s">
        <v>179</v>
      </c>
      <c r="F9" s="67" t="s">
        <v>156</v>
      </c>
      <c r="G9" s="73"/>
      <c r="H9" s="12"/>
      <c r="I9" s="12"/>
      <c r="J9" s="12"/>
      <c r="K9" s="74"/>
      <c r="L9" s="73" t="s">
        <v>163</v>
      </c>
      <c r="M9" s="12" t="s">
        <v>177</v>
      </c>
      <c r="N9" s="12"/>
      <c r="O9" s="12" t="s">
        <v>156</v>
      </c>
      <c r="P9" s="12"/>
      <c r="Q9" s="12"/>
      <c r="R9" s="12"/>
      <c r="S9" s="12" t="s">
        <v>144</v>
      </c>
      <c r="T9" s="74" t="s">
        <v>182</v>
      </c>
    </row>
    <row r="10" spans="2:20">
      <c r="B10" s="569"/>
      <c r="C10" s="473" t="s">
        <v>184</v>
      </c>
      <c r="D10" s="564"/>
      <c r="E10" s="12" t="s">
        <v>179</v>
      </c>
      <c r="F10" s="67" t="s">
        <v>156</v>
      </c>
      <c r="G10" s="73"/>
      <c r="H10" s="12"/>
      <c r="I10" s="12"/>
      <c r="J10" s="12"/>
      <c r="K10" s="74"/>
      <c r="L10" s="73" t="s">
        <v>163</v>
      </c>
      <c r="M10" s="12" t="s">
        <v>177</v>
      </c>
      <c r="N10" s="12"/>
      <c r="O10" s="12" t="s">
        <v>156</v>
      </c>
      <c r="P10" s="12"/>
      <c r="Q10" s="12"/>
      <c r="R10" s="12"/>
      <c r="S10" s="12" t="s">
        <v>144</v>
      </c>
      <c r="T10" s="74" t="s">
        <v>182</v>
      </c>
    </row>
    <row r="11" spans="2:20">
      <c r="B11" s="569"/>
      <c r="C11" s="473" t="s">
        <v>185</v>
      </c>
      <c r="D11" s="564"/>
      <c r="E11" s="12" t="s">
        <v>179</v>
      </c>
      <c r="F11" s="67" t="s">
        <v>156</v>
      </c>
      <c r="G11" s="73"/>
      <c r="H11" s="12"/>
      <c r="I11" s="12"/>
      <c r="J11" s="12"/>
      <c r="K11" s="74"/>
      <c r="L11" s="73" t="s">
        <v>163</v>
      </c>
      <c r="M11" s="12" t="s">
        <v>177</v>
      </c>
      <c r="N11" s="12"/>
      <c r="O11" s="12" t="s">
        <v>156</v>
      </c>
      <c r="P11" s="12"/>
      <c r="Q11" s="12"/>
      <c r="R11" s="12"/>
      <c r="S11" s="12" t="s">
        <v>144</v>
      </c>
      <c r="T11" s="74" t="s">
        <v>182</v>
      </c>
    </row>
    <row r="12" spans="2:20">
      <c r="B12" s="569"/>
      <c r="C12" s="473" t="s">
        <v>186</v>
      </c>
      <c r="D12" s="564"/>
      <c r="E12" s="12" t="s">
        <v>179</v>
      </c>
      <c r="F12" s="67" t="s">
        <v>156</v>
      </c>
      <c r="G12" s="73"/>
      <c r="H12" s="12"/>
      <c r="I12" s="12"/>
      <c r="J12" s="12"/>
      <c r="K12" s="74"/>
      <c r="L12" s="73" t="s">
        <v>163</v>
      </c>
      <c r="M12" s="12" t="s">
        <v>177</v>
      </c>
      <c r="N12" s="12"/>
      <c r="O12" s="12" t="s">
        <v>156</v>
      </c>
      <c r="P12" s="12"/>
      <c r="Q12" s="12"/>
      <c r="R12" s="12"/>
      <c r="S12" s="12" t="s">
        <v>144</v>
      </c>
      <c r="T12" s="74" t="s">
        <v>182</v>
      </c>
    </row>
    <row r="13" spans="2:20">
      <c r="B13" s="569"/>
      <c r="C13" s="473" t="s">
        <v>187</v>
      </c>
      <c r="D13" s="564"/>
      <c r="E13" s="12" t="s">
        <v>179</v>
      </c>
      <c r="F13" s="67" t="s">
        <v>156</v>
      </c>
      <c r="G13" s="73"/>
      <c r="H13" s="12"/>
      <c r="I13" s="12"/>
      <c r="J13" s="12"/>
      <c r="K13" s="74"/>
      <c r="L13" s="73" t="s">
        <v>163</v>
      </c>
      <c r="M13" s="12" t="s">
        <v>177</v>
      </c>
      <c r="N13" s="12"/>
      <c r="O13" s="12" t="s">
        <v>156</v>
      </c>
      <c r="P13" s="12"/>
      <c r="Q13" s="12"/>
      <c r="R13" s="12"/>
      <c r="S13" s="12" t="s">
        <v>144</v>
      </c>
      <c r="T13" s="74" t="s">
        <v>182</v>
      </c>
    </row>
    <row r="14" spans="2:20">
      <c r="B14" s="570"/>
      <c r="C14" s="473" t="s">
        <v>190</v>
      </c>
      <c r="D14" s="564"/>
      <c r="E14" s="12" t="s">
        <v>179</v>
      </c>
      <c r="F14" s="67" t="s">
        <v>156</v>
      </c>
      <c r="G14" s="73"/>
      <c r="H14" s="12"/>
      <c r="I14" s="12"/>
      <c r="J14" s="12"/>
      <c r="K14" s="74"/>
      <c r="L14" s="73" t="s">
        <v>163</v>
      </c>
      <c r="M14" s="12" t="s">
        <v>177</v>
      </c>
      <c r="N14" s="12"/>
      <c r="O14" s="12" t="s">
        <v>156</v>
      </c>
      <c r="P14" s="12"/>
      <c r="Q14" s="12"/>
      <c r="R14" s="12"/>
      <c r="S14" s="12" t="s">
        <v>144</v>
      </c>
      <c r="T14" s="74" t="s">
        <v>182</v>
      </c>
    </row>
    <row r="15" spans="2:20">
      <c r="B15" s="12" t="s">
        <v>147</v>
      </c>
      <c r="C15" s="473" t="s">
        <v>192</v>
      </c>
      <c r="D15" s="564"/>
      <c r="E15" s="12" t="s">
        <v>192</v>
      </c>
      <c r="F15" s="67"/>
      <c r="G15" s="73"/>
      <c r="H15" s="12"/>
      <c r="I15" s="12"/>
      <c r="J15" s="12"/>
      <c r="K15" s="74"/>
      <c r="L15" s="73" t="s">
        <v>164</v>
      </c>
      <c r="M15" s="12" t="s">
        <v>204</v>
      </c>
      <c r="N15" s="12" t="s">
        <v>155</v>
      </c>
      <c r="O15" s="12"/>
      <c r="P15" s="12"/>
      <c r="Q15" s="12"/>
      <c r="R15" s="12"/>
      <c r="S15" s="12" t="s">
        <v>144</v>
      </c>
      <c r="T15" s="74" t="s">
        <v>182</v>
      </c>
    </row>
    <row r="16" spans="2:20">
      <c r="B16" s="568" t="s">
        <v>193</v>
      </c>
      <c r="C16" s="549" t="s">
        <v>188</v>
      </c>
      <c r="D16" s="12" t="s">
        <v>151</v>
      </c>
      <c r="E16" s="12"/>
      <c r="F16" s="67"/>
      <c r="G16" s="73"/>
      <c r="H16" s="12"/>
      <c r="I16" s="12"/>
      <c r="J16" s="12"/>
      <c r="K16" s="74"/>
      <c r="L16" s="73"/>
      <c r="M16" s="12"/>
      <c r="N16" s="12"/>
      <c r="O16" s="12"/>
      <c r="P16" s="12"/>
      <c r="Q16" s="12"/>
      <c r="R16" s="12"/>
      <c r="S16" s="12"/>
      <c r="T16" s="74"/>
    </row>
    <row r="17" spans="2:20">
      <c r="B17" s="569"/>
      <c r="C17" s="550"/>
      <c r="D17" s="549" t="s">
        <v>149</v>
      </c>
      <c r="E17" s="549" t="s">
        <v>179</v>
      </c>
      <c r="F17" s="561" t="s">
        <v>211</v>
      </c>
      <c r="G17" s="73"/>
      <c r="H17" s="12"/>
      <c r="I17" s="12"/>
      <c r="J17" s="12"/>
      <c r="K17" s="74"/>
      <c r="L17" s="495" t="s">
        <v>198</v>
      </c>
      <c r="M17" s="467"/>
      <c r="N17" s="467"/>
      <c r="O17" s="467"/>
      <c r="P17" s="467"/>
      <c r="Q17" s="467"/>
      <c r="R17" s="467"/>
      <c r="S17" s="467"/>
      <c r="T17" s="468"/>
    </row>
    <row r="18" spans="2:20">
      <c r="B18" s="569"/>
      <c r="C18" s="550"/>
      <c r="D18" s="550"/>
      <c r="E18" s="550"/>
      <c r="F18" s="562"/>
      <c r="G18" s="73" t="s">
        <v>155</v>
      </c>
      <c r="H18" s="12"/>
      <c r="I18" s="12" t="s">
        <v>209</v>
      </c>
      <c r="J18" s="12" t="s">
        <v>144</v>
      </c>
      <c r="K18" s="74" t="s">
        <v>167</v>
      </c>
      <c r="L18" s="73"/>
      <c r="M18" s="12"/>
      <c r="N18" s="12"/>
      <c r="O18" s="12"/>
      <c r="P18" s="12"/>
      <c r="Q18" s="12"/>
      <c r="R18" s="12"/>
      <c r="S18" s="12"/>
      <c r="T18" s="74"/>
    </row>
    <row r="19" spans="2:20">
      <c r="B19" s="569"/>
      <c r="C19" s="551"/>
      <c r="D19" s="551"/>
      <c r="E19" s="551"/>
      <c r="F19" s="563"/>
      <c r="G19" s="73"/>
      <c r="H19" s="12"/>
      <c r="I19" s="12"/>
      <c r="J19" s="12"/>
      <c r="K19" s="74"/>
      <c r="L19" s="495" t="s">
        <v>208</v>
      </c>
      <c r="M19" s="467"/>
      <c r="N19" s="467"/>
      <c r="O19" s="467"/>
      <c r="P19" s="467"/>
      <c r="Q19" s="467"/>
      <c r="R19" s="467"/>
      <c r="S19" s="467"/>
      <c r="T19" s="468"/>
    </row>
    <row r="20" spans="2:20">
      <c r="B20" s="569"/>
      <c r="C20" s="549" t="s">
        <v>189</v>
      </c>
      <c r="D20" s="12" t="s">
        <v>148</v>
      </c>
      <c r="E20" s="12"/>
      <c r="F20" s="67"/>
      <c r="G20" s="73"/>
      <c r="H20" s="12"/>
      <c r="I20" s="12"/>
      <c r="J20" s="12"/>
      <c r="K20" s="74"/>
      <c r="L20" s="73"/>
      <c r="M20" s="12"/>
      <c r="N20" s="12"/>
      <c r="O20" s="12"/>
      <c r="P20" s="12"/>
      <c r="Q20" s="12"/>
      <c r="R20" s="12"/>
      <c r="S20" s="12"/>
      <c r="T20" s="74"/>
    </row>
    <row r="21" spans="2:20">
      <c r="B21" s="569"/>
      <c r="C21" s="550"/>
      <c r="D21" s="549" t="s">
        <v>149</v>
      </c>
      <c r="E21" s="549" t="s">
        <v>179</v>
      </c>
      <c r="F21" s="561" t="s">
        <v>211</v>
      </c>
      <c r="G21" s="73"/>
      <c r="H21" s="12"/>
      <c r="I21" s="12"/>
      <c r="J21" s="12"/>
      <c r="K21" s="74"/>
      <c r="L21" s="495" t="s">
        <v>198</v>
      </c>
      <c r="M21" s="467"/>
      <c r="N21" s="467"/>
      <c r="O21" s="467"/>
      <c r="P21" s="467"/>
      <c r="Q21" s="467"/>
      <c r="R21" s="467"/>
      <c r="S21" s="467"/>
      <c r="T21" s="468"/>
    </row>
    <row r="22" spans="2:20">
      <c r="B22" s="569"/>
      <c r="C22" s="550"/>
      <c r="D22" s="550"/>
      <c r="E22" s="550"/>
      <c r="F22" s="562"/>
      <c r="G22" s="73" t="s">
        <v>155</v>
      </c>
      <c r="H22" s="12"/>
      <c r="I22" s="12" t="s">
        <v>209</v>
      </c>
      <c r="J22" s="12" t="s">
        <v>144</v>
      </c>
      <c r="K22" s="74" t="s">
        <v>167</v>
      </c>
      <c r="L22" s="73"/>
      <c r="M22" s="12"/>
      <c r="N22" s="12"/>
      <c r="O22" s="12"/>
      <c r="P22" s="12"/>
      <c r="Q22" s="12"/>
      <c r="R22" s="12"/>
      <c r="S22" s="12"/>
      <c r="T22" s="74"/>
    </row>
    <row r="23" spans="2:20">
      <c r="B23" s="569"/>
      <c r="C23" s="551"/>
      <c r="D23" s="551"/>
      <c r="E23" s="551"/>
      <c r="F23" s="563"/>
      <c r="G23" s="73"/>
      <c r="H23" s="12"/>
      <c r="I23" s="12"/>
      <c r="J23" s="12"/>
      <c r="K23" s="74"/>
      <c r="L23" s="495" t="s">
        <v>208</v>
      </c>
      <c r="M23" s="467"/>
      <c r="N23" s="467"/>
      <c r="O23" s="467"/>
      <c r="P23" s="467"/>
      <c r="Q23" s="467"/>
      <c r="R23" s="467"/>
      <c r="S23" s="467"/>
      <c r="T23" s="468"/>
    </row>
    <row r="24" spans="2:20">
      <c r="B24" s="569"/>
      <c r="C24" s="549" t="s">
        <v>183</v>
      </c>
      <c r="D24" s="12" t="s">
        <v>148</v>
      </c>
      <c r="E24" s="12"/>
      <c r="F24" s="67"/>
      <c r="G24" s="73"/>
      <c r="H24" s="12"/>
      <c r="I24" s="12"/>
      <c r="J24" s="12"/>
      <c r="K24" s="74"/>
      <c r="L24" s="73"/>
      <c r="M24" s="12"/>
      <c r="N24" s="12"/>
      <c r="O24" s="12"/>
      <c r="P24" s="12"/>
      <c r="Q24" s="12"/>
      <c r="R24" s="12"/>
      <c r="S24" s="12"/>
      <c r="T24" s="74"/>
    </row>
    <row r="25" spans="2:20">
      <c r="B25" s="569"/>
      <c r="C25" s="550"/>
      <c r="D25" s="549" t="s">
        <v>149</v>
      </c>
      <c r="E25" s="549" t="s">
        <v>179</v>
      </c>
      <c r="F25" s="561" t="s">
        <v>211</v>
      </c>
      <c r="G25" s="73"/>
      <c r="H25" s="12"/>
      <c r="I25" s="12"/>
      <c r="J25" s="12"/>
      <c r="K25" s="74"/>
      <c r="L25" s="495" t="s">
        <v>198</v>
      </c>
      <c r="M25" s="467"/>
      <c r="N25" s="467"/>
      <c r="O25" s="467"/>
      <c r="P25" s="467"/>
      <c r="Q25" s="467"/>
      <c r="R25" s="467"/>
      <c r="S25" s="467"/>
      <c r="T25" s="468"/>
    </row>
    <row r="26" spans="2:20">
      <c r="B26" s="569"/>
      <c r="C26" s="550"/>
      <c r="D26" s="550"/>
      <c r="E26" s="550"/>
      <c r="F26" s="562"/>
      <c r="G26" s="73" t="s">
        <v>155</v>
      </c>
      <c r="H26" s="12"/>
      <c r="I26" s="12" t="s">
        <v>209</v>
      </c>
      <c r="J26" s="12" t="s">
        <v>144</v>
      </c>
      <c r="K26" s="74" t="s">
        <v>167</v>
      </c>
      <c r="L26" s="73"/>
      <c r="M26" s="12"/>
      <c r="N26" s="12"/>
      <c r="O26" s="12"/>
      <c r="P26" s="12"/>
      <c r="Q26" s="12"/>
      <c r="R26" s="12"/>
      <c r="S26" s="12"/>
      <c r="T26" s="74"/>
    </row>
    <row r="27" spans="2:20">
      <c r="B27" s="569"/>
      <c r="C27" s="551"/>
      <c r="D27" s="551"/>
      <c r="E27" s="551"/>
      <c r="F27" s="563"/>
      <c r="G27" s="73"/>
      <c r="H27" s="12"/>
      <c r="I27" s="12"/>
      <c r="J27" s="12"/>
      <c r="K27" s="74"/>
      <c r="L27" s="495" t="s">
        <v>208</v>
      </c>
      <c r="M27" s="467"/>
      <c r="N27" s="467"/>
      <c r="O27" s="467"/>
      <c r="P27" s="467"/>
      <c r="Q27" s="467"/>
      <c r="R27" s="467"/>
      <c r="S27" s="467"/>
      <c r="T27" s="468"/>
    </row>
    <row r="28" spans="2:20">
      <c r="B28" s="569"/>
      <c r="C28" s="549" t="s">
        <v>184</v>
      </c>
      <c r="D28" s="12" t="s">
        <v>148</v>
      </c>
      <c r="E28" s="12"/>
      <c r="F28" s="67"/>
      <c r="G28" s="73"/>
      <c r="H28" s="12"/>
      <c r="I28" s="12"/>
      <c r="J28" s="12"/>
      <c r="K28" s="74"/>
      <c r="L28" s="73"/>
      <c r="M28" s="12"/>
      <c r="N28" s="12"/>
      <c r="O28" s="12"/>
      <c r="P28" s="12"/>
      <c r="Q28" s="12"/>
      <c r="R28" s="12"/>
      <c r="S28" s="12"/>
      <c r="T28" s="74"/>
    </row>
    <row r="29" spans="2:20">
      <c r="B29" s="569"/>
      <c r="C29" s="550"/>
      <c r="D29" s="549" t="s">
        <v>149</v>
      </c>
      <c r="E29" s="549" t="s">
        <v>179</v>
      </c>
      <c r="F29" s="561" t="s">
        <v>211</v>
      </c>
      <c r="G29" s="73"/>
      <c r="H29" s="12"/>
      <c r="I29" s="12"/>
      <c r="J29" s="12"/>
      <c r="K29" s="74"/>
      <c r="L29" s="495" t="s">
        <v>198</v>
      </c>
      <c r="M29" s="467"/>
      <c r="N29" s="467"/>
      <c r="O29" s="467"/>
      <c r="P29" s="467"/>
      <c r="Q29" s="467"/>
      <c r="R29" s="467"/>
      <c r="S29" s="467"/>
      <c r="T29" s="468"/>
    </row>
    <row r="30" spans="2:20">
      <c r="B30" s="569"/>
      <c r="C30" s="550"/>
      <c r="D30" s="550"/>
      <c r="E30" s="550"/>
      <c r="F30" s="562"/>
      <c r="G30" s="73" t="s">
        <v>155</v>
      </c>
      <c r="H30" s="12"/>
      <c r="I30" s="12" t="s">
        <v>209</v>
      </c>
      <c r="J30" s="12" t="s">
        <v>144</v>
      </c>
      <c r="K30" s="74" t="s">
        <v>167</v>
      </c>
      <c r="L30" s="73"/>
      <c r="M30" s="12"/>
      <c r="N30" s="12"/>
      <c r="O30" s="12"/>
      <c r="P30" s="12"/>
      <c r="Q30" s="12"/>
      <c r="R30" s="12"/>
      <c r="S30" s="12"/>
      <c r="T30" s="74"/>
    </row>
    <row r="31" spans="2:20">
      <c r="B31" s="569"/>
      <c r="C31" s="551"/>
      <c r="D31" s="551"/>
      <c r="E31" s="551"/>
      <c r="F31" s="563"/>
      <c r="G31" s="73"/>
      <c r="H31" s="12"/>
      <c r="I31" s="12"/>
      <c r="J31" s="12"/>
      <c r="K31" s="74"/>
      <c r="L31" s="495" t="s">
        <v>208</v>
      </c>
      <c r="M31" s="467"/>
      <c r="N31" s="467"/>
      <c r="O31" s="467"/>
      <c r="P31" s="467"/>
      <c r="Q31" s="467"/>
      <c r="R31" s="467"/>
      <c r="S31" s="467"/>
      <c r="T31" s="468"/>
    </row>
    <row r="32" spans="2:20">
      <c r="B32" s="569"/>
      <c r="C32" s="549" t="s">
        <v>185</v>
      </c>
      <c r="D32" s="549" t="s">
        <v>149</v>
      </c>
      <c r="E32" s="549" t="s">
        <v>179</v>
      </c>
      <c r="F32" s="561" t="s">
        <v>211</v>
      </c>
      <c r="G32" s="73"/>
      <c r="H32" s="12"/>
      <c r="I32" s="12"/>
      <c r="J32" s="12"/>
      <c r="K32" s="74"/>
      <c r="L32" s="495" t="s">
        <v>198</v>
      </c>
      <c r="M32" s="467"/>
      <c r="N32" s="467"/>
      <c r="O32" s="467"/>
      <c r="P32" s="467"/>
      <c r="Q32" s="467"/>
      <c r="R32" s="467"/>
      <c r="S32" s="467"/>
      <c r="T32" s="468"/>
    </row>
    <row r="33" spans="2:20">
      <c r="B33" s="569"/>
      <c r="C33" s="550"/>
      <c r="D33" s="550"/>
      <c r="E33" s="550"/>
      <c r="F33" s="562"/>
      <c r="G33" s="73" t="s">
        <v>155</v>
      </c>
      <c r="H33" s="12"/>
      <c r="I33" s="12" t="s">
        <v>209</v>
      </c>
      <c r="J33" s="12" t="s">
        <v>144</v>
      </c>
      <c r="K33" s="74" t="s">
        <v>167</v>
      </c>
      <c r="L33" s="73"/>
      <c r="M33" s="12"/>
      <c r="N33" s="12"/>
      <c r="O33" s="12"/>
      <c r="P33" s="12"/>
      <c r="Q33" s="12"/>
      <c r="R33" s="12"/>
      <c r="S33" s="12"/>
      <c r="T33" s="74"/>
    </row>
    <row r="34" spans="2:20">
      <c r="B34" s="569"/>
      <c r="C34" s="551"/>
      <c r="D34" s="551"/>
      <c r="E34" s="551"/>
      <c r="F34" s="563"/>
      <c r="G34" s="73"/>
      <c r="H34" s="12"/>
      <c r="I34" s="12"/>
      <c r="J34" s="12"/>
      <c r="K34" s="74"/>
      <c r="L34" s="495" t="s">
        <v>208</v>
      </c>
      <c r="M34" s="467"/>
      <c r="N34" s="467"/>
      <c r="O34" s="467"/>
      <c r="P34" s="467"/>
      <c r="Q34" s="467"/>
      <c r="R34" s="467"/>
      <c r="S34" s="467"/>
      <c r="T34" s="468"/>
    </row>
    <row r="35" spans="2:20">
      <c r="B35" s="569"/>
      <c r="C35" s="565" t="s">
        <v>186</v>
      </c>
      <c r="D35" s="61" t="s">
        <v>194</v>
      </c>
      <c r="E35" s="12"/>
      <c r="F35" s="67"/>
      <c r="G35" s="73"/>
      <c r="H35" s="12"/>
      <c r="I35" s="12"/>
      <c r="J35" s="12"/>
      <c r="K35" s="74"/>
      <c r="L35" s="73"/>
      <c r="M35" s="12"/>
      <c r="N35" s="12"/>
      <c r="O35" s="12"/>
      <c r="P35" s="12"/>
      <c r="Q35" s="12"/>
      <c r="R35" s="12"/>
      <c r="S35" s="12"/>
      <c r="T35" s="74"/>
    </row>
    <row r="36" spans="2:20">
      <c r="B36" s="569"/>
      <c r="C36" s="566"/>
      <c r="D36" s="61" t="s">
        <v>195</v>
      </c>
      <c r="E36" s="12" t="s">
        <v>200</v>
      </c>
      <c r="F36" s="67"/>
      <c r="G36" s="73" t="s">
        <v>155</v>
      </c>
      <c r="H36" s="12"/>
      <c r="I36" s="12" t="s">
        <v>209</v>
      </c>
      <c r="J36" s="12" t="s">
        <v>144</v>
      </c>
      <c r="K36" s="74" t="s">
        <v>167</v>
      </c>
      <c r="L36" s="73"/>
      <c r="M36" s="12"/>
      <c r="N36" s="12"/>
      <c r="O36" s="12"/>
      <c r="P36" s="12"/>
      <c r="Q36" s="12"/>
      <c r="R36" s="12"/>
      <c r="S36" s="12"/>
      <c r="T36" s="74"/>
    </row>
    <row r="37" spans="2:20">
      <c r="B37" s="569"/>
      <c r="C37" s="566"/>
      <c r="D37" s="565" t="s">
        <v>199</v>
      </c>
      <c r="E37" s="549" t="s">
        <v>179</v>
      </c>
      <c r="F37" s="561" t="s">
        <v>211</v>
      </c>
      <c r="G37" s="73"/>
      <c r="H37" s="12"/>
      <c r="I37" s="12"/>
      <c r="J37" s="12"/>
      <c r="K37" s="74"/>
      <c r="L37" s="495" t="s">
        <v>198</v>
      </c>
      <c r="M37" s="467"/>
      <c r="N37" s="467"/>
      <c r="O37" s="467"/>
      <c r="P37" s="467"/>
      <c r="Q37" s="467"/>
      <c r="R37" s="467"/>
      <c r="S37" s="467"/>
      <c r="T37" s="468"/>
    </row>
    <row r="38" spans="2:20">
      <c r="B38" s="569"/>
      <c r="C38" s="566"/>
      <c r="D38" s="566"/>
      <c r="E38" s="550"/>
      <c r="F38" s="562"/>
      <c r="G38" s="73" t="s">
        <v>155</v>
      </c>
      <c r="H38" s="12"/>
      <c r="I38" s="12" t="s">
        <v>209</v>
      </c>
      <c r="J38" s="12" t="s">
        <v>144</v>
      </c>
      <c r="K38" s="74" t="s">
        <v>167</v>
      </c>
      <c r="L38" s="73"/>
      <c r="M38" s="12"/>
      <c r="N38" s="12"/>
      <c r="O38" s="12"/>
      <c r="P38" s="12"/>
      <c r="Q38" s="12"/>
      <c r="R38" s="12"/>
      <c r="S38" s="12"/>
      <c r="T38" s="74"/>
    </row>
    <row r="39" spans="2:20">
      <c r="B39" s="569"/>
      <c r="C39" s="567"/>
      <c r="D39" s="567"/>
      <c r="E39" s="551"/>
      <c r="F39" s="563"/>
      <c r="G39" s="73"/>
      <c r="H39" s="12"/>
      <c r="I39" s="12"/>
      <c r="J39" s="12"/>
      <c r="K39" s="74"/>
      <c r="L39" s="495" t="s">
        <v>208</v>
      </c>
      <c r="M39" s="467"/>
      <c r="N39" s="467"/>
      <c r="O39" s="467"/>
      <c r="P39" s="467"/>
      <c r="Q39" s="467"/>
      <c r="R39" s="467"/>
      <c r="S39" s="467"/>
      <c r="T39" s="468"/>
    </row>
    <row r="40" spans="2:20">
      <c r="B40" s="569"/>
      <c r="C40" s="549" t="s">
        <v>197</v>
      </c>
      <c r="D40" s="549" t="s">
        <v>199</v>
      </c>
      <c r="E40" s="549" t="s">
        <v>179</v>
      </c>
      <c r="F40" s="561" t="s">
        <v>211</v>
      </c>
      <c r="G40" s="73"/>
      <c r="H40" s="12"/>
      <c r="I40" s="12"/>
      <c r="J40" s="12"/>
      <c r="K40" s="74"/>
      <c r="L40" s="495" t="s">
        <v>198</v>
      </c>
      <c r="M40" s="467"/>
      <c r="N40" s="467"/>
      <c r="O40" s="467"/>
      <c r="P40" s="467"/>
      <c r="Q40" s="467"/>
      <c r="R40" s="467"/>
      <c r="S40" s="467"/>
      <c r="T40" s="468"/>
    </row>
    <row r="41" spans="2:20">
      <c r="B41" s="569"/>
      <c r="C41" s="550"/>
      <c r="D41" s="550"/>
      <c r="E41" s="550"/>
      <c r="F41" s="562"/>
      <c r="G41" s="73" t="s">
        <v>155</v>
      </c>
      <c r="H41" s="12"/>
      <c r="I41" s="12" t="s">
        <v>209</v>
      </c>
      <c r="J41" s="12" t="s">
        <v>144</v>
      </c>
      <c r="K41" s="74" t="s">
        <v>167</v>
      </c>
      <c r="L41" s="73"/>
      <c r="M41" s="12"/>
      <c r="N41" s="12"/>
      <c r="O41" s="12"/>
      <c r="P41" s="12"/>
      <c r="Q41" s="12"/>
      <c r="R41" s="12"/>
      <c r="S41" s="12"/>
      <c r="T41" s="74"/>
    </row>
    <row r="42" spans="2:20">
      <c r="B42" s="570"/>
      <c r="C42" s="551"/>
      <c r="D42" s="551"/>
      <c r="E42" s="551"/>
      <c r="F42" s="563"/>
      <c r="G42" s="73"/>
      <c r="H42" s="12"/>
      <c r="I42" s="12"/>
      <c r="J42" s="12"/>
      <c r="K42" s="74"/>
      <c r="L42" s="495" t="s">
        <v>208</v>
      </c>
      <c r="M42" s="467"/>
      <c r="N42" s="467"/>
      <c r="O42" s="467"/>
      <c r="P42" s="467"/>
      <c r="Q42" s="467"/>
      <c r="R42" s="467"/>
      <c r="S42" s="467"/>
      <c r="T42" s="468"/>
    </row>
    <row r="43" spans="2:20">
      <c r="B43" s="473" t="s">
        <v>196</v>
      </c>
      <c r="C43" s="467"/>
      <c r="D43" s="564"/>
      <c r="E43" s="12" t="s">
        <v>192</v>
      </c>
      <c r="F43" s="67"/>
      <c r="G43" s="73" t="s">
        <v>155</v>
      </c>
      <c r="H43" s="12"/>
      <c r="I43" s="12" t="s">
        <v>209</v>
      </c>
      <c r="J43" s="12" t="s">
        <v>144</v>
      </c>
      <c r="K43" s="74" t="s">
        <v>167</v>
      </c>
      <c r="L43" s="73"/>
      <c r="M43" s="12"/>
      <c r="N43" s="12"/>
      <c r="O43" s="12"/>
      <c r="P43" s="12"/>
      <c r="Q43" s="12"/>
      <c r="R43" s="12"/>
      <c r="S43" s="12"/>
      <c r="T43" s="74"/>
    </row>
    <row r="44" spans="2:20">
      <c r="B44" s="552" t="s">
        <v>150</v>
      </c>
      <c r="C44" s="553"/>
      <c r="D44" s="554"/>
      <c r="E44" s="66" t="s">
        <v>192</v>
      </c>
      <c r="F44" s="67" t="s">
        <v>155</v>
      </c>
      <c r="G44" s="73"/>
      <c r="H44" s="12"/>
      <c r="I44" s="12"/>
      <c r="J44" s="12"/>
      <c r="K44" s="74"/>
      <c r="L44" s="73" t="s">
        <v>165</v>
      </c>
      <c r="M44" s="12" t="s">
        <v>205</v>
      </c>
      <c r="N44" s="12" t="s">
        <v>155</v>
      </c>
      <c r="O44" s="12"/>
      <c r="P44" s="12"/>
      <c r="Q44" s="12" t="s">
        <v>172</v>
      </c>
      <c r="R44" s="12" t="s">
        <v>171</v>
      </c>
      <c r="S44" s="12" t="s">
        <v>144</v>
      </c>
      <c r="T44" s="74" t="s">
        <v>170</v>
      </c>
    </row>
    <row r="45" spans="2:20">
      <c r="B45" s="555"/>
      <c r="C45" s="556"/>
      <c r="D45" s="557"/>
      <c r="E45" s="549" t="s">
        <v>179</v>
      </c>
      <c r="F45" s="67" t="s">
        <v>155</v>
      </c>
      <c r="G45" s="73"/>
      <c r="H45" s="12"/>
      <c r="I45" s="12"/>
      <c r="J45" s="12"/>
      <c r="K45" s="74"/>
      <c r="L45" s="73" t="s">
        <v>165</v>
      </c>
      <c r="M45" s="12" t="s">
        <v>205</v>
      </c>
      <c r="N45" s="12" t="s">
        <v>155</v>
      </c>
      <c r="O45" s="12"/>
      <c r="P45" s="12"/>
      <c r="Q45" s="12" t="s">
        <v>172</v>
      </c>
      <c r="R45" s="12" t="s">
        <v>171</v>
      </c>
      <c r="S45" s="12" t="s">
        <v>144</v>
      </c>
      <c r="T45" s="74" t="s">
        <v>170</v>
      </c>
    </row>
    <row r="46" spans="2:20">
      <c r="B46" s="555"/>
      <c r="C46" s="556"/>
      <c r="D46" s="557"/>
      <c r="E46" s="550"/>
      <c r="F46" s="67" t="s">
        <v>156</v>
      </c>
      <c r="G46" s="73"/>
      <c r="H46" s="12"/>
      <c r="I46" s="12"/>
      <c r="J46" s="12"/>
      <c r="K46" s="74"/>
      <c r="L46" s="73" t="s">
        <v>165</v>
      </c>
      <c r="M46" s="12" t="s">
        <v>205</v>
      </c>
      <c r="N46" s="12" t="s">
        <v>168</v>
      </c>
      <c r="O46" s="12" t="s">
        <v>156</v>
      </c>
      <c r="P46" s="12"/>
      <c r="Q46" s="12" t="s">
        <v>172</v>
      </c>
      <c r="R46" s="12" t="s">
        <v>171</v>
      </c>
      <c r="S46" s="12" t="s">
        <v>144</v>
      </c>
      <c r="T46" s="74" t="s">
        <v>170</v>
      </c>
    </row>
    <row r="47" spans="2:20">
      <c r="B47" s="558"/>
      <c r="C47" s="559"/>
      <c r="D47" s="560"/>
      <c r="E47" s="551"/>
      <c r="F47" s="67" t="s">
        <v>157</v>
      </c>
      <c r="G47" s="73"/>
      <c r="H47" s="12"/>
      <c r="I47" s="12"/>
      <c r="J47" s="12"/>
      <c r="K47" s="74"/>
      <c r="L47" s="73" t="s">
        <v>165</v>
      </c>
      <c r="M47" s="12" t="s">
        <v>205</v>
      </c>
      <c r="N47" s="12" t="s">
        <v>155</v>
      </c>
      <c r="O47" s="12"/>
      <c r="P47" s="12" t="s">
        <v>157</v>
      </c>
      <c r="Q47" s="12" t="s">
        <v>172</v>
      </c>
      <c r="R47" s="12" t="s">
        <v>171</v>
      </c>
      <c r="S47" s="12" t="s">
        <v>144</v>
      </c>
      <c r="T47" s="74" t="s">
        <v>170</v>
      </c>
    </row>
    <row r="48" spans="2:20">
      <c r="B48" s="552" t="s">
        <v>152</v>
      </c>
      <c r="C48" s="553"/>
      <c r="D48" s="554"/>
      <c r="E48" s="549" t="s">
        <v>192</v>
      </c>
      <c r="F48" s="67"/>
      <c r="G48" s="73"/>
      <c r="H48" s="12"/>
      <c r="I48" s="12"/>
      <c r="J48" s="12"/>
      <c r="K48" s="74"/>
      <c r="L48" s="495" t="s">
        <v>175</v>
      </c>
      <c r="M48" s="467"/>
      <c r="N48" s="467"/>
      <c r="O48" s="467"/>
      <c r="P48" s="467"/>
      <c r="Q48" s="467"/>
      <c r="R48" s="467"/>
      <c r="S48" s="467"/>
      <c r="T48" s="468"/>
    </row>
    <row r="49" spans="2:20">
      <c r="B49" s="555"/>
      <c r="C49" s="556"/>
      <c r="D49" s="557"/>
      <c r="E49" s="550"/>
      <c r="F49" s="67" t="s">
        <v>155</v>
      </c>
      <c r="G49" s="73" t="s">
        <v>155</v>
      </c>
      <c r="H49" s="12" t="s">
        <v>172</v>
      </c>
      <c r="I49" s="12" t="s">
        <v>209</v>
      </c>
      <c r="J49" s="12" t="s">
        <v>144</v>
      </c>
      <c r="K49" s="75" t="s">
        <v>167</v>
      </c>
      <c r="L49" s="73"/>
      <c r="M49" s="12"/>
      <c r="N49" s="12"/>
      <c r="O49" s="12"/>
      <c r="P49" s="12"/>
      <c r="Q49" s="12"/>
      <c r="R49" s="12"/>
      <c r="S49" s="12"/>
      <c r="T49" s="74"/>
    </row>
    <row r="50" spans="2:20">
      <c r="B50" s="555"/>
      <c r="C50" s="556"/>
      <c r="D50" s="557"/>
      <c r="E50" s="550"/>
      <c r="F50" s="67" t="s">
        <v>155</v>
      </c>
      <c r="G50" s="73" t="s">
        <v>155</v>
      </c>
      <c r="H50" s="12" t="s">
        <v>171</v>
      </c>
      <c r="I50" s="12" t="s">
        <v>209</v>
      </c>
      <c r="J50" s="12" t="s">
        <v>144</v>
      </c>
      <c r="K50" s="74" t="s">
        <v>167</v>
      </c>
      <c r="L50" s="73"/>
      <c r="M50" s="12"/>
      <c r="N50" s="12"/>
      <c r="O50" s="12"/>
      <c r="P50" s="12"/>
      <c r="Q50" s="12"/>
      <c r="R50" s="12"/>
      <c r="S50" s="12"/>
      <c r="T50" s="74"/>
    </row>
    <row r="51" spans="2:20">
      <c r="B51" s="555"/>
      <c r="C51" s="556"/>
      <c r="D51" s="557"/>
      <c r="E51" s="549" t="s">
        <v>179</v>
      </c>
      <c r="F51" s="67"/>
      <c r="G51" s="73"/>
      <c r="H51" s="12"/>
      <c r="I51" s="12"/>
      <c r="J51" s="12"/>
      <c r="K51" s="74"/>
      <c r="L51" s="495" t="s">
        <v>175</v>
      </c>
      <c r="M51" s="467"/>
      <c r="N51" s="467"/>
      <c r="O51" s="467"/>
      <c r="P51" s="467"/>
      <c r="Q51" s="467"/>
      <c r="R51" s="467"/>
      <c r="S51" s="467"/>
      <c r="T51" s="468"/>
    </row>
    <row r="52" spans="2:20">
      <c r="B52" s="555"/>
      <c r="C52" s="556"/>
      <c r="D52" s="557"/>
      <c r="E52" s="550"/>
      <c r="F52" s="67" t="s">
        <v>155</v>
      </c>
      <c r="G52" s="73" t="s">
        <v>155</v>
      </c>
      <c r="H52" s="12" t="s">
        <v>172</v>
      </c>
      <c r="I52" s="12" t="s">
        <v>209</v>
      </c>
      <c r="J52" s="12" t="s">
        <v>144</v>
      </c>
      <c r="K52" s="75" t="s">
        <v>167</v>
      </c>
      <c r="L52" s="73"/>
      <c r="M52" s="12"/>
      <c r="N52" s="12"/>
      <c r="O52" s="12"/>
      <c r="P52" s="12"/>
      <c r="Q52" s="12"/>
      <c r="R52" s="12"/>
      <c r="S52" s="12"/>
      <c r="T52" s="74"/>
    </row>
    <row r="53" spans="2:20">
      <c r="B53" s="555"/>
      <c r="C53" s="556"/>
      <c r="D53" s="557"/>
      <c r="E53" s="550"/>
      <c r="F53" s="67" t="s">
        <v>155</v>
      </c>
      <c r="G53" s="73" t="s">
        <v>155</v>
      </c>
      <c r="H53" s="12" t="s">
        <v>171</v>
      </c>
      <c r="I53" s="12" t="s">
        <v>209</v>
      </c>
      <c r="J53" s="12" t="s">
        <v>144</v>
      </c>
      <c r="K53" s="74" t="s">
        <v>167</v>
      </c>
      <c r="L53" s="73"/>
      <c r="M53" s="12"/>
      <c r="N53" s="12"/>
      <c r="O53" s="12"/>
      <c r="P53" s="12"/>
      <c r="Q53" s="12"/>
      <c r="R53" s="12"/>
      <c r="S53" s="12"/>
      <c r="T53" s="74"/>
    </row>
    <row r="54" spans="2:20">
      <c r="B54" s="555"/>
      <c r="C54" s="556"/>
      <c r="D54" s="557"/>
      <c r="E54" s="550"/>
      <c r="F54" s="67" t="s">
        <v>157</v>
      </c>
      <c r="G54" s="73" t="s">
        <v>155</v>
      </c>
      <c r="H54" s="12" t="s">
        <v>172</v>
      </c>
      <c r="I54" s="12" t="s">
        <v>209</v>
      </c>
      <c r="J54" s="12" t="s">
        <v>144</v>
      </c>
      <c r="K54" s="76" t="s">
        <v>167</v>
      </c>
      <c r="L54" s="73"/>
      <c r="M54" s="12"/>
      <c r="N54" s="12"/>
      <c r="O54" s="12"/>
      <c r="P54" s="12"/>
      <c r="Q54" s="12"/>
      <c r="R54" s="12"/>
      <c r="S54" s="12"/>
      <c r="T54" s="74"/>
    </row>
    <row r="55" spans="2:20">
      <c r="B55" s="558"/>
      <c r="C55" s="559"/>
      <c r="D55" s="560"/>
      <c r="E55" s="550"/>
      <c r="F55" s="67" t="s">
        <v>157</v>
      </c>
      <c r="G55" s="73" t="s">
        <v>155</v>
      </c>
      <c r="H55" s="12" t="s">
        <v>171</v>
      </c>
      <c r="I55" s="12" t="s">
        <v>209</v>
      </c>
      <c r="J55" s="12" t="s">
        <v>144</v>
      </c>
      <c r="K55" s="74" t="s">
        <v>167</v>
      </c>
      <c r="L55" s="73"/>
      <c r="M55" s="12"/>
      <c r="N55" s="12"/>
      <c r="O55" s="12"/>
      <c r="P55" s="12"/>
      <c r="Q55" s="12"/>
      <c r="R55" s="12"/>
      <c r="S55" s="12"/>
      <c r="T55" s="74"/>
    </row>
    <row r="56" spans="2:20">
      <c r="B56" s="540" t="s">
        <v>153</v>
      </c>
      <c r="C56" s="541"/>
      <c r="D56" s="542"/>
      <c r="E56" s="549" t="s">
        <v>179</v>
      </c>
      <c r="F56" s="67"/>
      <c r="G56" s="73"/>
      <c r="H56" s="12"/>
      <c r="I56" s="12"/>
      <c r="J56" s="12"/>
      <c r="K56" s="74"/>
      <c r="L56" s="495" t="s">
        <v>174</v>
      </c>
      <c r="M56" s="467"/>
      <c r="N56" s="467"/>
      <c r="O56" s="467"/>
      <c r="P56" s="467"/>
      <c r="Q56" s="467"/>
      <c r="R56" s="467"/>
      <c r="S56" s="467"/>
      <c r="T56" s="468"/>
    </row>
    <row r="57" spans="2:20">
      <c r="B57" s="543"/>
      <c r="C57" s="544"/>
      <c r="D57" s="545"/>
      <c r="E57" s="550"/>
      <c r="F57" s="67" t="s">
        <v>155</v>
      </c>
      <c r="G57" s="73"/>
      <c r="H57" s="12"/>
      <c r="I57" s="12"/>
      <c r="J57" s="12"/>
      <c r="K57" s="74"/>
      <c r="L57" s="73" t="s">
        <v>166</v>
      </c>
      <c r="M57" s="12" t="s">
        <v>206</v>
      </c>
      <c r="N57" s="12" t="s">
        <v>155</v>
      </c>
      <c r="O57" s="12"/>
      <c r="P57" s="12"/>
      <c r="Q57" s="12" t="s">
        <v>172</v>
      </c>
      <c r="R57" s="12"/>
      <c r="S57" s="12" t="s">
        <v>144</v>
      </c>
      <c r="T57" s="74" t="s">
        <v>170</v>
      </c>
    </row>
    <row r="58" spans="2:20">
      <c r="B58" s="543"/>
      <c r="C58" s="544"/>
      <c r="D58" s="545"/>
      <c r="E58" s="550"/>
      <c r="F58" s="67" t="s">
        <v>156</v>
      </c>
      <c r="G58" s="73"/>
      <c r="H58" s="12"/>
      <c r="I58" s="12"/>
      <c r="J58" s="12"/>
      <c r="K58" s="74"/>
      <c r="L58" s="73" t="s">
        <v>166</v>
      </c>
      <c r="M58" s="12" t="s">
        <v>206</v>
      </c>
      <c r="N58" s="12" t="s">
        <v>168</v>
      </c>
      <c r="O58" s="12" t="s">
        <v>156</v>
      </c>
      <c r="P58" s="12"/>
      <c r="Q58" s="12" t="s">
        <v>172</v>
      </c>
      <c r="R58" s="12"/>
      <c r="S58" s="12" t="s">
        <v>144</v>
      </c>
      <c r="T58" s="74" t="s">
        <v>170</v>
      </c>
    </row>
    <row r="59" spans="2:20">
      <c r="B59" s="546"/>
      <c r="C59" s="547"/>
      <c r="D59" s="548"/>
      <c r="E59" s="551"/>
      <c r="F59" s="67" t="s">
        <v>157</v>
      </c>
      <c r="G59" s="73"/>
      <c r="H59" s="12"/>
      <c r="I59" s="12"/>
      <c r="J59" s="12"/>
      <c r="K59" s="74"/>
      <c r="L59" s="73" t="s">
        <v>166</v>
      </c>
      <c r="M59" s="12" t="s">
        <v>206</v>
      </c>
      <c r="N59" s="12" t="s">
        <v>155</v>
      </c>
      <c r="O59" s="12"/>
      <c r="P59" s="12" t="s">
        <v>157</v>
      </c>
      <c r="Q59" s="12" t="s">
        <v>172</v>
      </c>
      <c r="R59" s="12"/>
      <c r="S59" s="12" t="s">
        <v>144</v>
      </c>
      <c r="T59" s="74" t="s">
        <v>170</v>
      </c>
    </row>
    <row r="60" spans="2:20">
      <c r="B60" s="552" t="s">
        <v>154</v>
      </c>
      <c r="C60" s="553"/>
      <c r="D60" s="554"/>
      <c r="E60" s="550" t="s">
        <v>179</v>
      </c>
      <c r="F60" s="67"/>
      <c r="G60" s="73"/>
      <c r="H60" s="12"/>
      <c r="I60" s="12"/>
      <c r="J60" s="12"/>
      <c r="K60" s="74"/>
      <c r="L60" s="495" t="s">
        <v>176</v>
      </c>
      <c r="M60" s="467"/>
      <c r="N60" s="467"/>
      <c r="O60" s="467"/>
      <c r="P60" s="467"/>
      <c r="Q60" s="467"/>
      <c r="R60" s="467"/>
      <c r="S60" s="467"/>
      <c r="T60" s="468"/>
    </row>
    <row r="61" spans="2:20">
      <c r="B61" s="555"/>
      <c r="C61" s="556"/>
      <c r="D61" s="557"/>
      <c r="E61" s="550"/>
      <c r="F61" s="67" t="s">
        <v>155</v>
      </c>
      <c r="G61" s="73" t="s">
        <v>155</v>
      </c>
      <c r="H61" s="12"/>
      <c r="I61" s="12"/>
      <c r="J61" s="12" t="s">
        <v>144</v>
      </c>
      <c r="K61" s="75" t="s">
        <v>167</v>
      </c>
      <c r="L61" s="73"/>
      <c r="M61" s="12"/>
      <c r="N61" s="12"/>
      <c r="O61" s="12"/>
      <c r="P61" s="12"/>
      <c r="Q61" s="12"/>
      <c r="R61" s="12"/>
      <c r="S61" s="12"/>
      <c r="T61" s="74"/>
    </row>
    <row r="62" spans="2:20" ht="15" thickBot="1">
      <c r="B62" s="558"/>
      <c r="C62" s="559"/>
      <c r="D62" s="560"/>
      <c r="E62" s="551"/>
      <c r="F62" s="67" t="s">
        <v>157</v>
      </c>
      <c r="G62" s="77" t="s">
        <v>155</v>
      </c>
      <c r="H62" s="78" t="s">
        <v>157</v>
      </c>
      <c r="I62" s="78"/>
      <c r="J62" s="78" t="s">
        <v>144</v>
      </c>
      <c r="K62" s="79" t="s">
        <v>167</v>
      </c>
      <c r="L62" s="77"/>
      <c r="M62" s="78"/>
      <c r="N62" s="78"/>
      <c r="O62" s="78"/>
      <c r="P62" s="78"/>
      <c r="Q62" s="78"/>
      <c r="R62" s="78"/>
      <c r="S62" s="78"/>
      <c r="T62" s="82"/>
    </row>
    <row r="64" spans="2:20" ht="30">
      <c r="B64" s="62" t="s">
        <v>201</v>
      </c>
      <c r="C64" s="62"/>
      <c r="D64" s="62"/>
    </row>
    <row r="65" spans="2:2" ht="30">
      <c r="B65" s="62" t="s">
        <v>202</v>
      </c>
    </row>
    <row r="66" spans="2:2" ht="30">
      <c r="B66" s="62" t="s">
        <v>207</v>
      </c>
    </row>
    <row r="67" spans="2:2" ht="30">
      <c r="B67" s="62" t="s">
        <v>210</v>
      </c>
    </row>
  </sheetData>
  <mergeCells count="73">
    <mergeCell ref="B2:D3"/>
    <mergeCell ref="E2:F3"/>
    <mergeCell ref="G2:K2"/>
    <mergeCell ref="L2:T2"/>
    <mergeCell ref="B4:D6"/>
    <mergeCell ref="E4:E6"/>
    <mergeCell ref="B7:B14"/>
    <mergeCell ref="C7:D7"/>
    <mergeCell ref="C8:D8"/>
    <mergeCell ref="C9:D9"/>
    <mergeCell ref="C10:D10"/>
    <mergeCell ref="C11:D11"/>
    <mergeCell ref="C12:D12"/>
    <mergeCell ref="C13:D13"/>
    <mergeCell ref="C14:D14"/>
    <mergeCell ref="C15:D15"/>
    <mergeCell ref="B16:B42"/>
    <mergeCell ref="C16:C19"/>
    <mergeCell ref="D17:D19"/>
    <mergeCell ref="E17:E19"/>
    <mergeCell ref="C24:C27"/>
    <mergeCell ref="D25:D27"/>
    <mergeCell ref="E25:E27"/>
    <mergeCell ref="C32:C34"/>
    <mergeCell ref="D32:D34"/>
    <mergeCell ref="E32:E34"/>
    <mergeCell ref="L17:T17"/>
    <mergeCell ref="L19:T19"/>
    <mergeCell ref="C20:C23"/>
    <mergeCell ref="D21:D23"/>
    <mergeCell ref="E21:E23"/>
    <mergeCell ref="F21:F23"/>
    <mergeCell ref="L21:T21"/>
    <mergeCell ref="L23:T23"/>
    <mergeCell ref="F17:F19"/>
    <mergeCell ref="L25:T25"/>
    <mergeCell ref="L27:T27"/>
    <mergeCell ref="C28:C31"/>
    <mergeCell ref="D29:D31"/>
    <mergeCell ref="E29:E31"/>
    <mergeCell ref="F29:F31"/>
    <mergeCell ref="L29:T29"/>
    <mergeCell ref="L31:T31"/>
    <mergeCell ref="F25:F27"/>
    <mergeCell ref="F32:F34"/>
    <mergeCell ref="L32:T32"/>
    <mergeCell ref="L34:T34"/>
    <mergeCell ref="C35:C39"/>
    <mergeCell ref="D37:D39"/>
    <mergeCell ref="E37:E39"/>
    <mergeCell ref="F37:F39"/>
    <mergeCell ref="L37:T37"/>
    <mergeCell ref="L39:T39"/>
    <mergeCell ref="L48:T48"/>
    <mergeCell ref="E51:E55"/>
    <mergeCell ref="L51:T51"/>
    <mergeCell ref="C40:C42"/>
    <mergeCell ref="D40:D42"/>
    <mergeCell ref="E40:E42"/>
    <mergeCell ref="F40:F42"/>
    <mergeCell ref="L40:T40"/>
    <mergeCell ref="L42:T42"/>
    <mergeCell ref="B43:D43"/>
    <mergeCell ref="B44:D47"/>
    <mergeCell ref="E45:E47"/>
    <mergeCell ref="B48:D55"/>
    <mergeCell ref="E48:E50"/>
    <mergeCell ref="B56:D59"/>
    <mergeCell ref="E56:E59"/>
    <mergeCell ref="L56:T56"/>
    <mergeCell ref="B60:D62"/>
    <mergeCell ref="E60:E62"/>
    <mergeCell ref="L60:T60"/>
  </mergeCells>
  <phoneticPr fontId="12"/>
  <pageMargins left="0.70866141732283472" right="0.70866141732283472" top="0.74803149606299213" bottom="0.74803149606299213" header="0.31496062992125984" footer="0.31496062992125984"/>
  <pageSetup paperSize="8" scale="72" orientation="landscape" r:id="rId1"/>
  <headerFooter>
    <oddFooter>&amp;R&amp;A - &amp;P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pageSetUpPr fitToPage="1"/>
  </sheetPr>
  <dimension ref="B1:T68"/>
  <sheetViews>
    <sheetView showGridLines="0" topLeftCell="A45" zoomScaleNormal="100" workbookViewId="0"/>
  </sheetViews>
  <sheetFormatPr defaultColWidth="2.36328125" defaultRowHeight="14.4"/>
  <cols>
    <col min="2" max="2" width="13.90625" customWidth="1"/>
    <col min="3" max="3" width="4" bestFit="1" customWidth="1"/>
    <col min="4" max="4" width="7.36328125" bestFit="1" customWidth="1"/>
    <col min="5" max="5" width="5.90625" bestFit="1" customWidth="1"/>
    <col min="6" max="6" width="9.7265625" bestFit="1" customWidth="1"/>
    <col min="7" max="20" width="14.36328125" customWidth="1"/>
  </cols>
  <sheetData>
    <row r="1" spans="2:20" ht="15" thickBot="1"/>
    <row r="2" spans="2:20">
      <c r="B2" s="571" t="s">
        <v>158</v>
      </c>
      <c r="C2" s="572"/>
      <c r="D2" s="573"/>
      <c r="E2" s="575" t="s">
        <v>159</v>
      </c>
      <c r="F2" s="576"/>
      <c r="G2" s="523" t="s">
        <v>180</v>
      </c>
      <c r="H2" s="524"/>
      <c r="I2" s="524"/>
      <c r="J2" s="524"/>
      <c r="K2" s="525"/>
      <c r="L2" s="464" t="s">
        <v>181</v>
      </c>
      <c r="M2" s="465"/>
      <c r="N2" s="465"/>
      <c r="O2" s="465"/>
      <c r="P2" s="465"/>
      <c r="Q2" s="465"/>
      <c r="R2" s="465"/>
      <c r="S2" s="465"/>
      <c r="T2" s="466"/>
    </row>
    <row r="3" spans="2:20" ht="15" thickBot="1">
      <c r="B3" s="574"/>
      <c r="C3" s="534"/>
      <c r="D3" s="535"/>
      <c r="E3" s="528"/>
      <c r="F3" s="529"/>
      <c r="G3" s="69" t="s">
        <v>143</v>
      </c>
      <c r="H3" s="64" t="s">
        <v>157</v>
      </c>
      <c r="I3" s="64" t="s">
        <v>169</v>
      </c>
      <c r="J3" s="64" t="s">
        <v>144</v>
      </c>
      <c r="K3" s="70" t="s">
        <v>145</v>
      </c>
      <c r="L3" s="80" t="s">
        <v>160</v>
      </c>
      <c r="M3" s="65" t="s">
        <v>173</v>
      </c>
      <c r="N3" s="65" t="s">
        <v>143</v>
      </c>
      <c r="O3" s="65" t="s">
        <v>156</v>
      </c>
      <c r="P3" s="65" t="s">
        <v>157</v>
      </c>
      <c r="Q3" s="65" t="s">
        <v>172</v>
      </c>
      <c r="R3" s="65" t="s">
        <v>171</v>
      </c>
      <c r="S3" s="65" t="s">
        <v>144</v>
      </c>
      <c r="T3" s="81" t="s">
        <v>145</v>
      </c>
    </row>
    <row r="4" spans="2:20" ht="15" thickTop="1">
      <c r="B4" s="577" t="s">
        <v>146</v>
      </c>
      <c r="C4" s="578"/>
      <c r="D4" s="579"/>
      <c r="E4" s="580" t="s">
        <v>179</v>
      </c>
      <c r="F4" s="68" t="s">
        <v>155</v>
      </c>
      <c r="G4" s="71"/>
      <c r="H4" s="63"/>
      <c r="I4" s="63"/>
      <c r="J4" s="63"/>
      <c r="K4" s="72"/>
      <c r="L4" s="71" t="s">
        <v>161</v>
      </c>
      <c r="M4" s="63" t="s">
        <v>178</v>
      </c>
      <c r="N4" s="63" t="s">
        <v>155</v>
      </c>
      <c r="O4" s="63"/>
      <c r="P4" s="63"/>
      <c r="Q4" s="63"/>
      <c r="R4" s="63"/>
      <c r="S4" s="63" t="s">
        <v>144</v>
      </c>
      <c r="T4" s="72" t="s">
        <v>162</v>
      </c>
    </row>
    <row r="5" spans="2:20" ht="57.6">
      <c r="B5" s="555"/>
      <c r="C5" s="556"/>
      <c r="D5" s="557"/>
      <c r="E5" s="550"/>
      <c r="F5" s="67" t="s">
        <v>156</v>
      </c>
      <c r="G5" s="73"/>
      <c r="H5" s="12"/>
      <c r="I5" s="12"/>
      <c r="J5" s="12"/>
      <c r="K5" s="74"/>
      <c r="L5" s="73" t="s">
        <v>161</v>
      </c>
      <c r="M5" s="63" t="s">
        <v>178</v>
      </c>
      <c r="N5" s="83" t="s">
        <v>212</v>
      </c>
      <c r="O5" s="12" t="s">
        <v>156</v>
      </c>
      <c r="P5" s="12"/>
      <c r="Q5" s="12"/>
      <c r="R5" s="12"/>
      <c r="S5" s="12" t="s">
        <v>144</v>
      </c>
      <c r="T5" s="74" t="s">
        <v>162</v>
      </c>
    </row>
    <row r="6" spans="2:20">
      <c r="B6" s="558"/>
      <c r="C6" s="559"/>
      <c r="D6" s="560"/>
      <c r="E6" s="551"/>
      <c r="F6" s="67" t="s">
        <v>157</v>
      </c>
      <c r="G6" s="73"/>
      <c r="H6" s="12"/>
      <c r="I6" s="12"/>
      <c r="J6" s="12"/>
      <c r="K6" s="74"/>
      <c r="L6" s="73" t="s">
        <v>161</v>
      </c>
      <c r="M6" s="63" t="s">
        <v>178</v>
      </c>
      <c r="N6" s="12" t="s">
        <v>155</v>
      </c>
      <c r="O6" s="12"/>
      <c r="P6" s="12" t="s">
        <v>157</v>
      </c>
      <c r="Q6" s="12"/>
      <c r="R6" s="12"/>
      <c r="S6" s="12" t="s">
        <v>144</v>
      </c>
      <c r="T6" s="74" t="s">
        <v>162</v>
      </c>
    </row>
    <row r="7" spans="2:20">
      <c r="B7" s="12" t="s">
        <v>214</v>
      </c>
      <c r="C7" s="473" t="s">
        <v>192</v>
      </c>
      <c r="D7" s="564"/>
      <c r="E7" s="12" t="s">
        <v>192</v>
      </c>
      <c r="F7" s="68" t="s">
        <v>155</v>
      </c>
      <c r="G7" s="73" t="s">
        <v>155</v>
      </c>
      <c r="H7" s="12"/>
      <c r="I7" s="12" t="s">
        <v>215</v>
      </c>
      <c r="J7" s="12"/>
      <c r="K7" s="74" t="s">
        <v>216</v>
      </c>
      <c r="L7" s="73"/>
      <c r="M7" s="12"/>
      <c r="N7" s="12"/>
      <c r="O7" s="12"/>
      <c r="P7" s="12"/>
      <c r="Q7" s="12"/>
      <c r="R7" s="12"/>
      <c r="S7" s="12"/>
      <c r="T7" s="74"/>
    </row>
    <row r="8" spans="2:20">
      <c r="B8" s="568" t="s">
        <v>191</v>
      </c>
      <c r="C8" s="473" t="s">
        <v>188</v>
      </c>
      <c r="D8" s="564"/>
      <c r="E8" s="12" t="s">
        <v>179</v>
      </c>
      <c r="F8" s="67" t="s">
        <v>156</v>
      </c>
      <c r="G8" s="73"/>
      <c r="H8" s="12"/>
      <c r="I8" s="12"/>
      <c r="J8" s="12"/>
      <c r="K8" s="74"/>
      <c r="L8" s="73" t="s">
        <v>163</v>
      </c>
      <c r="M8" s="12" t="s">
        <v>177</v>
      </c>
      <c r="N8" s="12"/>
      <c r="O8" s="12" t="s">
        <v>156</v>
      </c>
      <c r="P8" s="12"/>
      <c r="Q8" s="12"/>
      <c r="R8" s="12"/>
      <c r="S8" s="12" t="s">
        <v>144</v>
      </c>
      <c r="T8" s="74" t="s">
        <v>182</v>
      </c>
    </row>
    <row r="9" spans="2:20">
      <c r="B9" s="569"/>
      <c r="C9" s="473" t="s">
        <v>189</v>
      </c>
      <c r="D9" s="564"/>
      <c r="E9" s="12" t="s">
        <v>179</v>
      </c>
      <c r="F9" s="67" t="s">
        <v>156</v>
      </c>
      <c r="G9" s="73"/>
      <c r="H9" s="12"/>
      <c r="I9" s="12"/>
      <c r="J9" s="12"/>
      <c r="K9" s="74"/>
      <c r="L9" s="73" t="s">
        <v>163</v>
      </c>
      <c r="M9" s="12" t="s">
        <v>177</v>
      </c>
      <c r="N9" s="12"/>
      <c r="O9" s="12" t="s">
        <v>156</v>
      </c>
      <c r="P9" s="12"/>
      <c r="Q9" s="12"/>
      <c r="R9" s="12"/>
      <c r="S9" s="12" t="s">
        <v>144</v>
      </c>
      <c r="T9" s="74" t="s">
        <v>182</v>
      </c>
    </row>
    <row r="10" spans="2:20">
      <c r="B10" s="569"/>
      <c r="C10" s="473" t="s">
        <v>183</v>
      </c>
      <c r="D10" s="564"/>
      <c r="E10" s="12" t="s">
        <v>179</v>
      </c>
      <c r="F10" s="67" t="s">
        <v>156</v>
      </c>
      <c r="G10" s="73"/>
      <c r="H10" s="12"/>
      <c r="I10" s="12"/>
      <c r="J10" s="12"/>
      <c r="K10" s="74"/>
      <c r="L10" s="73" t="s">
        <v>163</v>
      </c>
      <c r="M10" s="12" t="s">
        <v>177</v>
      </c>
      <c r="N10" s="12"/>
      <c r="O10" s="12" t="s">
        <v>156</v>
      </c>
      <c r="P10" s="12"/>
      <c r="Q10" s="12"/>
      <c r="R10" s="12"/>
      <c r="S10" s="12" t="s">
        <v>144</v>
      </c>
      <c r="T10" s="74" t="s">
        <v>182</v>
      </c>
    </row>
    <row r="11" spans="2:20">
      <c r="B11" s="569"/>
      <c r="C11" s="473" t="s">
        <v>184</v>
      </c>
      <c r="D11" s="564"/>
      <c r="E11" s="12" t="s">
        <v>179</v>
      </c>
      <c r="F11" s="67" t="s">
        <v>156</v>
      </c>
      <c r="G11" s="73"/>
      <c r="H11" s="12"/>
      <c r="I11" s="12"/>
      <c r="J11" s="12"/>
      <c r="K11" s="74"/>
      <c r="L11" s="73" t="s">
        <v>163</v>
      </c>
      <c r="M11" s="12" t="s">
        <v>177</v>
      </c>
      <c r="N11" s="12"/>
      <c r="O11" s="12" t="s">
        <v>156</v>
      </c>
      <c r="P11" s="12"/>
      <c r="Q11" s="12"/>
      <c r="R11" s="12"/>
      <c r="S11" s="12" t="s">
        <v>144</v>
      </c>
      <c r="T11" s="74" t="s">
        <v>182</v>
      </c>
    </row>
    <row r="12" spans="2:20">
      <c r="B12" s="569"/>
      <c r="C12" s="473" t="s">
        <v>185</v>
      </c>
      <c r="D12" s="564"/>
      <c r="E12" s="12" t="s">
        <v>179</v>
      </c>
      <c r="F12" s="67" t="s">
        <v>156</v>
      </c>
      <c r="G12" s="73"/>
      <c r="H12" s="12"/>
      <c r="I12" s="12"/>
      <c r="J12" s="12"/>
      <c r="K12" s="74"/>
      <c r="L12" s="73" t="s">
        <v>163</v>
      </c>
      <c r="M12" s="12" t="s">
        <v>177</v>
      </c>
      <c r="N12" s="12"/>
      <c r="O12" s="12" t="s">
        <v>156</v>
      </c>
      <c r="P12" s="12"/>
      <c r="Q12" s="12"/>
      <c r="R12" s="12"/>
      <c r="S12" s="12" t="s">
        <v>144</v>
      </c>
      <c r="T12" s="74" t="s">
        <v>182</v>
      </c>
    </row>
    <row r="13" spans="2:20">
      <c r="B13" s="569"/>
      <c r="C13" s="473" t="s">
        <v>186</v>
      </c>
      <c r="D13" s="564"/>
      <c r="E13" s="12" t="s">
        <v>179</v>
      </c>
      <c r="F13" s="67" t="s">
        <v>156</v>
      </c>
      <c r="G13" s="73"/>
      <c r="H13" s="12"/>
      <c r="I13" s="12"/>
      <c r="J13" s="12"/>
      <c r="K13" s="74"/>
      <c r="L13" s="73" t="s">
        <v>163</v>
      </c>
      <c r="M13" s="12" t="s">
        <v>177</v>
      </c>
      <c r="N13" s="12"/>
      <c r="O13" s="12" t="s">
        <v>156</v>
      </c>
      <c r="P13" s="12"/>
      <c r="Q13" s="12"/>
      <c r="R13" s="12"/>
      <c r="S13" s="12" t="s">
        <v>144</v>
      </c>
      <c r="T13" s="74" t="s">
        <v>182</v>
      </c>
    </row>
    <row r="14" spans="2:20">
      <c r="B14" s="569"/>
      <c r="C14" s="473" t="s">
        <v>197</v>
      </c>
      <c r="D14" s="564"/>
      <c r="E14" s="12" t="s">
        <v>179</v>
      </c>
      <c r="F14" s="67" t="s">
        <v>156</v>
      </c>
      <c r="G14" s="73"/>
      <c r="H14" s="12"/>
      <c r="I14" s="12"/>
      <c r="J14" s="12"/>
      <c r="K14" s="74"/>
      <c r="L14" s="73" t="s">
        <v>163</v>
      </c>
      <c r="M14" s="12" t="s">
        <v>177</v>
      </c>
      <c r="N14" s="12"/>
      <c r="O14" s="12" t="s">
        <v>156</v>
      </c>
      <c r="P14" s="12"/>
      <c r="Q14" s="12"/>
      <c r="R14" s="12"/>
      <c r="S14" s="12" t="s">
        <v>144</v>
      </c>
      <c r="T14" s="74" t="s">
        <v>182</v>
      </c>
    </row>
    <row r="15" spans="2:20">
      <c r="B15" s="570"/>
      <c r="C15" s="473" t="s">
        <v>190</v>
      </c>
      <c r="D15" s="564"/>
      <c r="E15" s="12" t="s">
        <v>179</v>
      </c>
      <c r="F15" s="67" t="s">
        <v>156</v>
      </c>
      <c r="G15" s="73"/>
      <c r="H15" s="12"/>
      <c r="I15" s="12"/>
      <c r="J15" s="12"/>
      <c r="K15" s="74"/>
      <c r="L15" s="73" t="s">
        <v>163</v>
      </c>
      <c r="M15" s="12" t="s">
        <v>177</v>
      </c>
      <c r="N15" s="12"/>
      <c r="O15" s="12" t="s">
        <v>156</v>
      </c>
      <c r="P15" s="12"/>
      <c r="Q15" s="12"/>
      <c r="R15" s="12"/>
      <c r="S15" s="12" t="s">
        <v>144</v>
      </c>
      <c r="T15" s="74" t="s">
        <v>182</v>
      </c>
    </row>
    <row r="16" spans="2:20">
      <c r="B16" s="12" t="s">
        <v>147</v>
      </c>
      <c r="C16" s="473" t="s">
        <v>192</v>
      </c>
      <c r="D16" s="564"/>
      <c r="E16" s="12" t="s">
        <v>192</v>
      </c>
      <c r="F16" s="67"/>
      <c r="G16" s="73"/>
      <c r="H16" s="12"/>
      <c r="I16" s="12"/>
      <c r="J16" s="12"/>
      <c r="K16" s="74"/>
      <c r="L16" s="73" t="s">
        <v>164</v>
      </c>
      <c r="M16" s="12" t="s">
        <v>204</v>
      </c>
      <c r="N16" s="12" t="s">
        <v>155</v>
      </c>
      <c r="O16" s="12"/>
      <c r="P16" s="12"/>
      <c r="Q16" s="12"/>
      <c r="R16" s="12"/>
      <c r="S16" s="12" t="s">
        <v>144</v>
      </c>
      <c r="T16" s="74" t="s">
        <v>182</v>
      </c>
    </row>
    <row r="17" spans="2:20">
      <c r="B17" s="568" t="s">
        <v>193</v>
      </c>
      <c r="C17" s="549" t="s">
        <v>188</v>
      </c>
      <c r="D17" s="12" t="s">
        <v>151</v>
      </c>
      <c r="E17" s="12"/>
      <c r="F17" s="67"/>
      <c r="G17" s="73"/>
      <c r="H17" s="12"/>
      <c r="I17" s="12"/>
      <c r="J17" s="12"/>
      <c r="K17" s="74"/>
      <c r="L17" s="73"/>
      <c r="M17" s="12"/>
      <c r="N17" s="12"/>
      <c r="O17" s="12"/>
      <c r="P17" s="12"/>
      <c r="Q17" s="12"/>
      <c r="R17" s="12"/>
      <c r="S17" s="12"/>
      <c r="T17" s="74"/>
    </row>
    <row r="18" spans="2:20">
      <c r="B18" s="569"/>
      <c r="C18" s="550"/>
      <c r="D18" s="549" t="s">
        <v>149</v>
      </c>
      <c r="E18" s="549" t="s">
        <v>179</v>
      </c>
      <c r="F18" s="561" t="s">
        <v>211</v>
      </c>
      <c r="G18" s="73"/>
      <c r="H18" s="12"/>
      <c r="I18" s="12"/>
      <c r="J18" s="12"/>
      <c r="K18" s="74"/>
      <c r="L18" s="495" t="s">
        <v>198</v>
      </c>
      <c r="M18" s="467"/>
      <c r="N18" s="467"/>
      <c r="O18" s="467"/>
      <c r="P18" s="467"/>
      <c r="Q18" s="467"/>
      <c r="R18" s="467"/>
      <c r="S18" s="467"/>
      <c r="T18" s="468"/>
    </row>
    <row r="19" spans="2:20">
      <c r="B19" s="569"/>
      <c r="C19" s="550"/>
      <c r="D19" s="550"/>
      <c r="E19" s="550"/>
      <c r="F19" s="562"/>
      <c r="G19" s="73" t="s">
        <v>155</v>
      </c>
      <c r="H19" s="12"/>
      <c r="I19" s="12" t="s">
        <v>209</v>
      </c>
      <c r="J19" s="12" t="s">
        <v>144</v>
      </c>
      <c r="K19" s="74" t="s">
        <v>167</v>
      </c>
      <c r="L19" s="73"/>
      <c r="M19" s="12"/>
      <c r="N19" s="12"/>
      <c r="O19" s="12"/>
      <c r="P19" s="12"/>
      <c r="Q19" s="12"/>
      <c r="R19" s="12"/>
      <c r="S19" s="12"/>
      <c r="T19" s="74"/>
    </row>
    <row r="20" spans="2:20">
      <c r="B20" s="569"/>
      <c r="C20" s="551"/>
      <c r="D20" s="551"/>
      <c r="E20" s="551"/>
      <c r="F20" s="563"/>
      <c r="G20" s="73"/>
      <c r="H20" s="12"/>
      <c r="I20" s="12"/>
      <c r="J20" s="12"/>
      <c r="K20" s="74"/>
      <c r="L20" s="495" t="s">
        <v>208</v>
      </c>
      <c r="M20" s="467"/>
      <c r="N20" s="467"/>
      <c r="O20" s="467"/>
      <c r="P20" s="467"/>
      <c r="Q20" s="467"/>
      <c r="R20" s="467"/>
      <c r="S20" s="467"/>
      <c r="T20" s="468"/>
    </row>
    <row r="21" spans="2:20">
      <c r="B21" s="569"/>
      <c r="C21" s="549" t="s">
        <v>189</v>
      </c>
      <c r="D21" s="12" t="s">
        <v>148</v>
      </c>
      <c r="E21" s="12"/>
      <c r="F21" s="67"/>
      <c r="G21" s="73"/>
      <c r="H21" s="12"/>
      <c r="I21" s="12"/>
      <c r="J21" s="12"/>
      <c r="K21" s="74"/>
      <c r="L21" s="73"/>
      <c r="M21" s="12"/>
      <c r="N21" s="12"/>
      <c r="O21" s="12"/>
      <c r="P21" s="12"/>
      <c r="Q21" s="12"/>
      <c r="R21" s="12"/>
      <c r="S21" s="12"/>
      <c r="T21" s="74"/>
    </row>
    <row r="22" spans="2:20">
      <c r="B22" s="569"/>
      <c r="C22" s="550"/>
      <c r="D22" s="549" t="s">
        <v>149</v>
      </c>
      <c r="E22" s="549" t="s">
        <v>179</v>
      </c>
      <c r="F22" s="561" t="s">
        <v>211</v>
      </c>
      <c r="G22" s="73"/>
      <c r="H22" s="12"/>
      <c r="I22" s="12"/>
      <c r="J22" s="12"/>
      <c r="K22" s="74"/>
      <c r="L22" s="495" t="s">
        <v>198</v>
      </c>
      <c r="M22" s="467"/>
      <c r="N22" s="467"/>
      <c r="O22" s="467"/>
      <c r="P22" s="467"/>
      <c r="Q22" s="467"/>
      <c r="R22" s="467"/>
      <c r="S22" s="467"/>
      <c r="T22" s="468"/>
    </row>
    <row r="23" spans="2:20">
      <c r="B23" s="569"/>
      <c r="C23" s="550"/>
      <c r="D23" s="550"/>
      <c r="E23" s="550"/>
      <c r="F23" s="562"/>
      <c r="G23" s="73" t="s">
        <v>155</v>
      </c>
      <c r="H23" s="12"/>
      <c r="I23" s="12" t="s">
        <v>209</v>
      </c>
      <c r="J23" s="12" t="s">
        <v>144</v>
      </c>
      <c r="K23" s="74" t="s">
        <v>167</v>
      </c>
      <c r="L23" s="73"/>
      <c r="M23" s="12"/>
      <c r="N23" s="12"/>
      <c r="O23" s="12"/>
      <c r="P23" s="12"/>
      <c r="Q23" s="12"/>
      <c r="R23" s="12"/>
      <c r="S23" s="12"/>
      <c r="T23" s="74"/>
    </row>
    <row r="24" spans="2:20">
      <c r="B24" s="569"/>
      <c r="C24" s="551"/>
      <c r="D24" s="551"/>
      <c r="E24" s="551"/>
      <c r="F24" s="563"/>
      <c r="G24" s="73"/>
      <c r="H24" s="12"/>
      <c r="I24" s="12"/>
      <c r="J24" s="12"/>
      <c r="K24" s="74"/>
      <c r="L24" s="495" t="s">
        <v>208</v>
      </c>
      <c r="M24" s="467"/>
      <c r="N24" s="467"/>
      <c r="O24" s="467"/>
      <c r="P24" s="467"/>
      <c r="Q24" s="467"/>
      <c r="R24" s="467"/>
      <c r="S24" s="467"/>
      <c r="T24" s="468"/>
    </row>
    <row r="25" spans="2:20">
      <c r="B25" s="569"/>
      <c r="C25" s="549" t="s">
        <v>183</v>
      </c>
      <c r="D25" s="12" t="s">
        <v>148</v>
      </c>
      <c r="E25" s="12"/>
      <c r="F25" s="67"/>
      <c r="G25" s="73"/>
      <c r="H25" s="12"/>
      <c r="I25" s="12"/>
      <c r="J25" s="12"/>
      <c r="K25" s="74"/>
      <c r="L25" s="73"/>
      <c r="M25" s="12"/>
      <c r="N25" s="12"/>
      <c r="O25" s="12"/>
      <c r="P25" s="12"/>
      <c r="Q25" s="12"/>
      <c r="R25" s="12"/>
      <c r="S25" s="12"/>
      <c r="T25" s="74"/>
    </row>
    <row r="26" spans="2:20">
      <c r="B26" s="569"/>
      <c r="C26" s="550"/>
      <c r="D26" s="549" t="s">
        <v>149</v>
      </c>
      <c r="E26" s="549" t="s">
        <v>179</v>
      </c>
      <c r="F26" s="561" t="s">
        <v>211</v>
      </c>
      <c r="G26" s="73"/>
      <c r="H26" s="12"/>
      <c r="I26" s="12"/>
      <c r="J26" s="12"/>
      <c r="K26" s="74"/>
      <c r="L26" s="495" t="s">
        <v>198</v>
      </c>
      <c r="M26" s="467"/>
      <c r="N26" s="467"/>
      <c r="O26" s="467"/>
      <c r="P26" s="467"/>
      <c r="Q26" s="467"/>
      <c r="R26" s="467"/>
      <c r="S26" s="467"/>
      <c r="T26" s="468"/>
    </row>
    <row r="27" spans="2:20">
      <c r="B27" s="569"/>
      <c r="C27" s="550"/>
      <c r="D27" s="550"/>
      <c r="E27" s="550"/>
      <c r="F27" s="562"/>
      <c r="G27" s="73" t="s">
        <v>155</v>
      </c>
      <c r="H27" s="12"/>
      <c r="I27" s="12" t="s">
        <v>209</v>
      </c>
      <c r="J27" s="12" t="s">
        <v>144</v>
      </c>
      <c r="K27" s="74" t="s">
        <v>167</v>
      </c>
      <c r="L27" s="73"/>
      <c r="M27" s="12"/>
      <c r="N27" s="12"/>
      <c r="O27" s="12"/>
      <c r="P27" s="12"/>
      <c r="Q27" s="12"/>
      <c r="R27" s="12"/>
      <c r="S27" s="12"/>
      <c r="T27" s="74"/>
    </row>
    <row r="28" spans="2:20">
      <c r="B28" s="569"/>
      <c r="C28" s="551"/>
      <c r="D28" s="551"/>
      <c r="E28" s="551"/>
      <c r="F28" s="563"/>
      <c r="G28" s="73"/>
      <c r="H28" s="12"/>
      <c r="I28" s="12"/>
      <c r="J28" s="12"/>
      <c r="K28" s="74"/>
      <c r="L28" s="495" t="s">
        <v>208</v>
      </c>
      <c r="M28" s="467"/>
      <c r="N28" s="467"/>
      <c r="O28" s="467"/>
      <c r="P28" s="467"/>
      <c r="Q28" s="467"/>
      <c r="R28" s="467"/>
      <c r="S28" s="467"/>
      <c r="T28" s="468"/>
    </row>
    <row r="29" spans="2:20">
      <c r="B29" s="569"/>
      <c r="C29" s="549" t="s">
        <v>184</v>
      </c>
      <c r="D29" s="12" t="s">
        <v>148</v>
      </c>
      <c r="E29" s="12"/>
      <c r="F29" s="67"/>
      <c r="G29" s="73"/>
      <c r="H29" s="12"/>
      <c r="I29" s="12"/>
      <c r="J29" s="12"/>
      <c r="K29" s="74"/>
      <c r="L29" s="73"/>
      <c r="M29" s="12"/>
      <c r="N29" s="12"/>
      <c r="O29" s="12"/>
      <c r="P29" s="12"/>
      <c r="Q29" s="12"/>
      <c r="R29" s="12"/>
      <c r="S29" s="12"/>
      <c r="T29" s="74"/>
    </row>
    <row r="30" spans="2:20">
      <c r="B30" s="569"/>
      <c r="C30" s="550"/>
      <c r="D30" s="549" t="s">
        <v>149</v>
      </c>
      <c r="E30" s="549" t="s">
        <v>179</v>
      </c>
      <c r="F30" s="561" t="s">
        <v>211</v>
      </c>
      <c r="G30" s="73"/>
      <c r="H30" s="12"/>
      <c r="I30" s="12"/>
      <c r="J30" s="12"/>
      <c r="K30" s="74"/>
      <c r="L30" s="495" t="s">
        <v>198</v>
      </c>
      <c r="M30" s="467"/>
      <c r="N30" s="467"/>
      <c r="O30" s="467"/>
      <c r="P30" s="467"/>
      <c r="Q30" s="467"/>
      <c r="R30" s="467"/>
      <c r="S30" s="467"/>
      <c r="T30" s="468"/>
    </row>
    <row r="31" spans="2:20">
      <c r="B31" s="569"/>
      <c r="C31" s="550"/>
      <c r="D31" s="550"/>
      <c r="E31" s="550"/>
      <c r="F31" s="562"/>
      <c r="G31" s="73" t="s">
        <v>155</v>
      </c>
      <c r="H31" s="12"/>
      <c r="I31" s="12" t="s">
        <v>209</v>
      </c>
      <c r="J31" s="12" t="s">
        <v>144</v>
      </c>
      <c r="K31" s="74" t="s">
        <v>167</v>
      </c>
      <c r="L31" s="73"/>
      <c r="M31" s="12"/>
      <c r="N31" s="12"/>
      <c r="O31" s="12"/>
      <c r="P31" s="12"/>
      <c r="Q31" s="12"/>
      <c r="R31" s="12"/>
      <c r="S31" s="12"/>
      <c r="T31" s="74"/>
    </row>
    <row r="32" spans="2:20">
      <c r="B32" s="569"/>
      <c r="C32" s="551"/>
      <c r="D32" s="551"/>
      <c r="E32" s="551"/>
      <c r="F32" s="563"/>
      <c r="G32" s="73"/>
      <c r="H32" s="12"/>
      <c r="I32" s="12"/>
      <c r="J32" s="12"/>
      <c r="K32" s="74"/>
      <c r="L32" s="495" t="s">
        <v>208</v>
      </c>
      <c r="M32" s="467"/>
      <c r="N32" s="467"/>
      <c r="O32" s="467"/>
      <c r="P32" s="467"/>
      <c r="Q32" s="467"/>
      <c r="R32" s="467"/>
      <c r="S32" s="467"/>
      <c r="T32" s="468"/>
    </row>
    <row r="33" spans="2:20">
      <c r="B33" s="569"/>
      <c r="C33" s="549" t="s">
        <v>185</v>
      </c>
      <c r="D33" s="549" t="s">
        <v>149</v>
      </c>
      <c r="E33" s="549" t="s">
        <v>179</v>
      </c>
      <c r="F33" s="561" t="s">
        <v>211</v>
      </c>
      <c r="G33" s="73"/>
      <c r="H33" s="12"/>
      <c r="I33" s="12"/>
      <c r="J33" s="12"/>
      <c r="K33" s="74"/>
      <c r="L33" s="495" t="s">
        <v>198</v>
      </c>
      <c r="M33" s="467"/>
      <c r="N33" s="467"/>
      <c r="O33" s="467"/>
      <c r="P33" s="467"/>
      <c r="Q33" s="467"/>
      <c r="R33" s="467"/>
      <c r="S33" s="467"/>
      <c r="T33" s="468"/>
    </row>
    <row r="34" spans="2:20">
      <c r="B34" s="569"/>
      <c r="C34" s="550"/>
      <c r="D34" s="550"/>
      <c r="E34" s="550"/>
      <c r="F34" s="562"/>
      <c r="G34" s="73" t="s">
        <v>155</v>
      </c>
      <c r="H34" s="12"/>
      <c r="I34" s="12" t="s">
        <v>209</v>
      </c>
      <c r="J34" s="12" t="s">
        <v>144</v>
      </c>
      <c r="K34" s="74" t="s">
        <v>167</v>
      </c>
      <c r="L34" s="73"/>
      <c r="M34" s="12"/>
      <c r="N34" s="12"/>
      <c r="O34" s="12"/>
      <c r="P34" s="12"/>
      <c r="Q34" s="12"/>
      <c r="R34" s="12"/>
      <c r="S34" s="12"/>
      <c r="T34" s="74"/>
    </row>
    <row r="35" spans="2:20">
      <c r="B35" s="569"/>
      <c r="C35" s="551"/>
      <c r="D35" s="551"/>
      <c r="E35" s="551"/>
      <c r="F35" s="563"/>
      <c r="G35" s="73"/>
      <c r="H35" s="12"/>
      <c r="I35" s="12"/>
      <c r="J35" s="12"/>
      <c r="K35" s="74"/>
      <c r="L35" s="495" t="s">
        <v>208</v>
      </c>
      <c r="M35" s="467"/>
      <c r="N35" s="467"/>
      <c r="O35" s="467"/>
      <c r="P35" s="467"/>
      <c r="Q35" s="467"/>
      <c r="R35" s="467"/>
      <c r="S35" s="467"/>
      <c r="T35" s="468"/>
    </row>
    <row r="36" spans="2:20">
      <c r="B36" s="569"/>
      <c r="C36" s="565" t="s">
        <v>186</v>
      </c>
      <c r="D36" s="61" t="s">
        <v>194</v>
      </c>
      <c r="E36" s="12"/>
      <c r="F36" s="67"/>
      <c r="G36" s="73"/>
      <c r="H36" s="12"/>
      <c r="I36" s="12"/>
      <c r="J36" s="12"/>
      <c r="K36" s="74"/>
      <c r="L36" s="73"/>
      <c r="M36" s="12"/>
      <c r="N36" s="12"/>
      <c r="O36" s="12"/>
      <c r="P36" s="12"/>
      <c r="Q36" s="12"/>
      <c r="R36" s="12"/>
      <c r="S36" s="12"/>
      <c r="T36" s="74"/>
    </row>
    <row r="37" spans="2:20">
      <c r="B37" s="569"/>
      <c r="C37" s="566"/>
      <c r="D37" s="61" t="s">
        <v>195</v>
      </c>
      <c r="E37" s="12" t="s">
        <v>200</v>
      </c>
      <c r="F37" s="67"/>
      <c r="G37" s="73" t="s">
        <v>155</v>
      </c>
      <c r="H37" s="12"/>
      <c r="I37" s="12" t="s">
        <v>209</v>
      </c>
      <c r="J37" s="12" t="s">
        <v>144</v>
      </c>
      <c r="K37" s="74" t="s">
        <v>167</v>
      </c>
      <c r="L37" s="73"/>
      <c r="M37" s="12"/>
      <c r="N37" s="12"/>
      <c r="O37" s="12"/>
      <c r="P37" s="12"/>
      <c r="Q37" s="12"/>
      <c r="R37" s="12"/>
      <c r="S37" s="12"/>
      <c r="T37" s="74"/>
    </row>
    <row r="38" spans="2:20">
      <c r="B38" s="569"/>
      <c r="C38" s="566"/>
      <c r="D38" s="565" t="s">
        <v>199</v>
      </c>
      <c r="E38" s="549" t="s">
        <v>179</v>
      </c>
      <c r="F38" s="561" t="s">
        <v>211</v>
      </c>
      <c r="G38" s="73"/>
      <c r="H38" s="12"/>
      <c r="I38" s="12"/>
      <c r="J38" s="12"/>
      <c r="K38" s="74"/>
      <c r="L38" s="495" t="s">
        <v>198</v>
      </c>
      <c r="M38" s="467"/>
      <c r="N38" s="467"/>
      <c r="O38" s="467"/>
      <c r="P38" s="467"/>
      <c r="Q38" s="467"/>
      <c r="R38" s="467"/>
      <c r="S38" s="467"/>
      <c r="T38" s="468"/>
    </row>
    <row r="39" spans="2:20">
      <c r="B39" s="569"/>
      <c r="C39" s="566"/>
      <c r="D39" s="566"/>
      <c r="E39" s="550"/>
      <c r="F39" s="562"/>
      <c r="G39" s="73" t="s">
        <v>155</v>
      </c>
      <c r="H39" s="12"/>
      <c r="I39" s="12" t="s">
        <v>209</v>
      </c>
      <c r="J39" s="12" t="s">
        <v>144</v>
      </c>
      <c r="K39" s="74" t="s">
        <v>167</v>
      </c>
      <c r="L39" s="73"/>
      <c r="M39" s="12"/>
      <c r="N39" s="12"/>
      <c r="O39" s="12"/>
      <c r="P39" s="12"/>
      <c r="Q39" s="12"/>
      <c r="R39" s="12"/>
      <c r="S39" s="12"/>
      <c r="T39" s="74"/>
    </row>
    <row r="40" spans="2:20">
      <c r="B40" s="569"/>
      <c r="C40" s="567"/>
      <c r="D40" s="567"/>
      <c r="E40" s="551"/>
      <c r="F40" s="563"/>
      <c r="G40" s="73"/>
      <c r="H40" s="12"/>
      <c r="I40" s="12"/>
      <c r="J40" s="12"/>
      <c r="K40" s="74"/>
      <c r="L40" s="495" t="s">
        <v>208</v>
      </c>
      <c r="M40" s="467"/>
      <c r="N40" s="467"/>
      <c r="O40" s="467"/>
      <c r="P40" s="467"/>
      <c r="Q40" s="467"/>
      <c r="R40" s="467"/>
      <c r="S40" s="467"/>
      <c r="T40" s="468"/>
    </row>
    <row r="41" spans="2:20">
      <c r="B41" s="569"/>
      <c r="C41" s="549" t="s">
        <v>197</v>
      </c>
      <c r="D41" s="549" t="s">
        <v>199</v>
      </c>
      <c r="E41" s="549" t="s">
        <v>179</v>
      </c>
      <c r="F41" s="561" t="s">
        <v>211</v>
      </c>
      <c r="G41" s="73"/>
      <c r="H41" s="12"/>
      <c r="I41" s="12"/>
      <c r="J41" s="12"/>
      <c r="K41" s="74"/>
      <c r="L41" s="495" t="s">
        <v>198</v>
      </c>
      <c r="M41" s="467"/>
      <c r="N41" s="467"/>
      <c r="O41" s="467"/>
      <c r="P41" s="467"/>
      <c r="Q41" s="467"/>
      <c r="R41" s="467"/>
      <c r="S41" s="467"/>
      <c r="T41" s="468"/>
    </row>
    <row r="42" spans="2:20">
      <c r="B42" s="569"/>
      <c r="C42" s="550"/>
      <c r="D42" s="550"/>
      <c r="E42" s="550"/>
      <c r="F42" s="562"/>
      <c r="G42" s="73" t="s">
        <v>155</v>
      </c>
      <c r="H42" s="12"/>
      <c r="I42" s="12" t="s">
        <v>209</v>
      </c>
      <c r="J42" s="12" t="s">
        <v>144</v>
      </c>
      <c r="K42" s="74" t="s">
        <v>167</v>
      </c>
      <c r="L42" s="73"/>
      <c r="M42" s="12"/>
      <c r="N42" s="12"/>
      <c r="O42" s="12"/>
      <c r="P42" s="12"/>
      <c r="Q42" s="12"/>
      <c r="R42" s="12"/>
      <c r="S42" s="12"/>
      <c r="T42" s="74"/>
    </row>
    <row r="43" spans="2:20">
      <c r="B43" s="570"/>
      <c r="C43" s="551"/>
      <c r="D43" s="551"/>
      <c r="E43" s="551"/>
      <c r="F43" s="563"/>
      <c r="G43" s="73"/>
      <c r="H43" s="12"/>
      <c r="I43" s="12"/>
      <c r="J43" s="12"/>
      <c r="K43" s="74"/>
      <c r="L43" s="495" t="s">
        <v>208</v>
      </c>
      <c r="M43" s="467"/>
      <c r="N43" s="467"/>
      <c r="O43" s="467"/>
      <c r="P43" s="467"/>
      <c r="Q43" s="467"/>
      <c r="R43" s="467"/>
      <c r="S43" s="467"/>
      <c r="T43" s="468"/>
    </row>
    <row r="44" spans="2:20">
      <c r="B44" s="473" t="s">
        <v>196</v>
      </c>
      <c r="C44" s="467"/>
      <c r="D44" s="564"/>
      <c r="E44" s="12" t="s">
        <v>192</v>
      </c>
      <c r="F44" s="67"/>
      <c r="G44" s="73" t="s">
        <v>155</v>
      </c>
      <c r="H44" s="12"/>
      <c r="I44" s="12" t="s">
        <v>209</v>
      </c>
      <c r="J44" s="12" t="s">
        <v>144</v>
      </c>
      <c r="K44" s="74" t="s">
        <v>167</v>
      </c>
      <c r="L44" s="73"/>
      <c r="M44" s="12"/>
      <c r="N44" s="12"/>
      <c r="O44" s="12"/>
      <c r="P44" s="12"/>
      <c r="Q44" s="12"/>
      <c r="R44" s="12"/>
      <c r="S44" s="12"/>
      <c r="T44" s="74"/>
    </row>
    <row r="45" spans="2:20">
      <c r="B45" s="552" t="s">
        <v>150</v>
      </c>
      <c r="C45" s="553"/>
      <c r="D45" s="554"/>
      <c r="E45" s="66" t="s">
        <v>192</v>
      </c>
      <c r="F45" s="67" t="s">
        <v>155</v>
      </c>
      <c r="G45" s="73"/>
      <c r="H45" s="12"/>
      <c r="I45" s="12"/>
      <c r="J45" s="12"/>
      <c r="K45" s="74"/>
      <c r="L45" s="73" t="s">
        <v>165</v>
      </c>
      <c r="M45" s="12" t="s">
        <v>205</v>
      </c>
      <c r="N45" s="12" t="s">
        <v>155</v>
      </c>
      <c r="O45" s="12"/>
      <c r="P45" s="12"/>
      <c r="Q45" s="12" t="s">
        <v>172</v>
      </c>
      <c r="R45" s="12" t="s">
        <v>171</v>
      </c>
      <c r="S45" s="12" t="s">
        <v>144</v>
      </c>
      <c r="T45" s="74" t="s">
        <v>170</v>
      </c>
    </row>
    <row r="46" spans="2:20">
      <c r="B46" s="555"/>
      <c r="C46" s="556"/>
      <c r="D46" s="557"/>
      <c r="E46" s="549" t="s">
        <v>179</v>
      </c>
      <c r="F46" s="67" t="s">
        <v>155</v>
      </c>
      <c r="G46" s="73"/>
      <c r="H46" s="12"/>
      <c r="I46" s="12"/>
      <c r="J46" s="12"/>
      <c r="K46" s="74"/>
      <c r="L46" s="73" t="s">
        <v>165</v>
      </c>
      <c r="M46" s="12" t="s">
        <v>205</v>
      </c>
      <c r="N46" s="12" t="s">
        <v>155</v>
      </c>
      <c r="O46" s="12"/>
      <c r="P46" s="12"/>
      <c r="Q46" s="12" t="s">
        <v>172</v>
      </c>
      <c r="R46" s="12" t="s">
        <v>171</v>
      </c>
      <c r="S46" s="12" t="s">
        <v>144</v>
      </c>
      <c r="T46" s="74" t="s">
        <v>170</v>
      </c>
    </row>
    <row r="47" spans="2:20" ht="57.6">
      <c r="B47" s="555"/>
      <c r="C47" s="556"/>
      <c r="D47" s="557"/>
      <c r="E47" s="550"/>
      <c r="F47" s="67" t="s">
        <v>156</v>
      </c>
      <c r="G47" s="73"/>
      <c r="H47" s="12"/>
      <c r="I47" s="12"/>
      <c r="J47" s="12"/>
      <c r="K47" s="74"/>
      <c r="L47" s="73" t="s">
        <v>165</v>
      </c>
      <c r="M47" s="12" t="s">
        <v>205</v>
      </c>
      <c r="N47" s="83" t="s">
        <v>212</v>
      </c>
      <c r="O47" s="12" t="s">
        <v>156</v>
      </c>
      <c r="P47" s="12"/>
      <c r="Q47" s="12" t="s">
        <v>172</v>
      </c>
      <c r="R47" s="12" t="s">
        <v>171</v>
      </c>
      <c r="S47" s="12" t="s">
        <v>144</v>
      </c>
      <c r="T47" s="74" t="s">
        <v>170</v>
      </c>
    </row>
    <row r="48" spans="2:20">
      <c r="B48" s="558"/>
      <c r="C48" s="559"/>
      <c r="D48" s="560"/>
      <c r="E48" s="551"/>
      <c r="F48" s="67" t="s">
        <v>157</v>
      </c>
      <c r="G48" s="73"/>
      <c r="H48" s="12"/>
      <c r="I48" s="12"/>
      <c r="J48" s="12"/>
      <c r="K48" s="74"/>
      <c r="L48" s="73" t="s">
        <v>165</v>
      </c>
      <c r="M48" s="12" t="s">
        <v>205</v>
      </c>
      <c r="N48" s="12" t="s">
        <v>155</v>
      </c>
      <c r="O48" s="12"/>
      <c r="P48" s="12" t="s">
        <v>157</v>
      </c>
      <c r="Q48" s="12" t="s">
        <v>172</v>
      </c>
      <c r="R48" s="12" t="s">
        <v>171</v>
      </c>
      <c r="S48" s="12" t="s">
        <v>144</v>
      </c>
      <c r="T48" s="74" t="s">
        <v>170</v>
      </c>
    </row>
    <row r="49" spans="2:20">
      <c r="B49" s="552" t="s">
        <v>152</v>
      </c>
      <c r="C49" s="553"/>
      <c r="D49" s="554"/>
      <c r="E49" s="549" t="s">
        <v>192</v>
      </c>
      <c r="F49" s="67"/>
      <c r="G49" s="73"/>
      <c r="H49" s="12"/>
      <c r="I49" s="12"/>
      <c r="J49" s="12"/>
      <c r="K49" s="74"/>
      <c r="L49" s="495" t="s">
        <v>175</v>
      </c>
      <c r="M49" s="467"/>
      <c r="N49" s="467"/>
      <c r="O49" s="467"/>
      <c r="P49" s="467"/>
      <c r="Q49" s="467"/>
      <c r="R49" s="467"/>
      <c r="S49" s="467"/>
      <c r="T49" s="468"/>
    </row>
    <row r="50" spans="2:20">
      <c r="B50" s="555"/>
      <c r="C50" s="556"/>
      <c r="D50" s="557"/>
      <c r="E50" s="550"/>
      <c r="F50" s="67" t="s">
        <v>155</v>
      </c>
      <c r="G50" s="73" t="s">
        <v>155</v>
      </c>
      <c r="H50" s="12" t="s">
        <v>172</v>
      </c>
      <c r="I50" s="12" t="s">
        <v>209</v>
      </c>
      <c r="J50" s="12" t="s">
        <v>144</v>
      </c>
      <c r="K50" s="75" t="s">
        <v>167</v>
      </c>
      <c r="L50" s="73"/>
      <c r="M50" s="12"/>
      <c r="N50" s="12"/>
      <c r="O50" s="12"/>
      <c r="P50" s="12"/>
      <c r="Q50" s="12"/>
      <c r="R50" s="12"/>
      <c r="S50" s="12"/>
      <c r="T50" s="74"/>
    </row>
    <row r="51" spans="2:20">
      <c r="B51" s="555"/>
      <c r="C51" s="556"/>
      <c r="D51" s="557"/>
      <c r="E51" s="550"/>
      <c r="F51" s="67" t="s">
        <v>155</v>
      </c>
      <c r="G51" s="73" t="s">
        <v>155</v>
      </c>
      <c r="H51" s="12" t="s">
        <v>171</v>
      </c>
      <c r="I51" s="12" t="s">
        <v>209</v>
      </c>
      <c r="J51" s="12" t="s">
        <v>144</v>
      </c>
      <c r="K51" s="74" t="s">
        <v>167</v>
      </c>
      <c r="L51" s="73"/>
      <c r="M51" s="12"/>
      <c r="N51" s="12"/>
      <c r="O51" s="12"/>
      <c r="P51" s="12"/>
      <c r="Q51" s="12"/>
      <c r="R51" s="12"/>
      <c r="S51" s="12"/>
      <c r="T51" s="74"/>
    </row>
    <row r="52" spans="2:20">
      <c r="B52" s="555"/>
      <c r="C52" s="556"/>
      <c r="D52" s="557"/>
      <c r="E52" s="549" t="s">
        <v>179</v>
      </c>
      <c r="F52" s="67"/>
      <c r="G52" s="73"/>
      <c r="H52" s="12"/>
      <c r="I52" s="12"/>
      <c r="J52" s="12"/>
      <c r="K52" s="74"/>
      <c r="L52" s="495" t="s">
        <v>175</v>
      </c>
      <c r="M52" s="467"/>
      <c r="N52" s="467"/>
      <c r="O52" s="467"/>
      <c r="P52" s="467"/>
      <c r="Q52" s="467"/>
      <c r="R52" s="467"/>
      <c r="S52" s="467"/>
      <c r="T52" s="468"/>
    </row>
    <row r="53" spans="2:20">
      <c r="B53" s="555"/>
      <c r="C53" s="556"/>
      <c r="D53" s="557"/>
      <c r="E53" s="550"/>
      <c r="F53" s="67" t="s">
        <v>155</v>
      </c>
      <c r="G53" s="73" t="s">
        <v>155</v>
      </c>
      <c r="H53" s="12" t="s">
        <v>172</v>
      </c>
      <c r="I53" s="12" t="s">
        <v>209</v>
      </c>
      <c r="J53" s="12" t="s">
        <v>144</v>
      </c>
      <c r="K53" s="75" t="s">
        <v>167</v>
      </c>
      <c r="L53" s="73"/>
      <c r="M53" s="12"/>
      <c r="N53" s="12"/>
      <c r="O53" s="12"/>
      <c r="P53" s="12"/>
      <c r="Q53" s="12"/>
      <c r="R53" s="12"/>
      <c r="S53" s="12"/>
      <c r="T53" s="74"/>
    </row>
    <row r="54" spans="2:20">
      <c r="B54" s="555"/>
      <c r="C54" s="556"/>
      <c r="D54" s="557"/>
      <c r="E54" s="550"/>
      <c r="F54" s="67" t="s">
        <v>155</v>
      </c>
      <c r="G54" s="73" t="s">
        <v>155</v>
      </c>
      <c r="H54" s="12" t="s">
        <v>171</v>
      </c>
      <c r="I54" s="12" t="s">
        <v>209</v>
      </c>
      <c r="J54" s="12" t="s">
        <v>144</v>
      </c>
      <c r="K54" s="74" t="s">
        <v>167</v>
      </c>
      <c r="L54" s="73"/>
      <c r="M54" s="12"/>
      <c r="N54" s="12"/>
      <c r="O54" s="12"/>
      <c r="P54" s="12"/>
      <c r="Q54" s="12"/>
      <c r="R54" s="12"/>
      <c r="S54" s="12"/>
      <c r="T54" s="74"/>
    </row>
    <row r="55" spans="2:20">
      <c r="B55" s="555"/>
      <c r="C55" s="556"/>
      <c r="D55" s="557"/>
      <c r="E55" s="550"/>
      <c r="F55" s="67" t="s">
        <v>157</v>
      </c>
      <c r="G55" s="73" t="s">
        <v>155</v>
      </c>
      <c r="H55" s="12" t="s">
        <v>172</v>
      </c>
      <c r="I55" s="12" t="s">
        <v>209</v>
      </c>
      <c r="J55" s="12" t="s">
        <v>144</v>
      </c>
      <c r="K55" s="76" t="s">
        <v>167</v>
      </c>
      <c r="L55" s="73"/>
      <c r="M55" s="12"/>
      <c r="N55" s="12"/>
      <c r="O55" s="12"/>
      <c r="P55" s="12"/>
      <c r="Q55" s="12"/>
      <c r="R55" s="12"/>
      <c r="S55" s="12"/>
      <c r="T55" s="74"/>
    </row>
    <row r="56" spans="2:20">
      <c r="B56" s="558"/>
      <c r="C56" s="559"/>
      <c r="D56" s="560"/>
      <c r="E56" s="550"/>
      <c r="F56" s="67" t="s">
        <v>157</v>
      </c>
      <c r="G56" s="73" t="s">
        <v>155</v>
      </c>
      <c r="H56" s="12" t="s">
        <v>171</v>
      </c>
      <c r="I56" s="12" t="s">
        <v>209</v>
      </c>
      <c r="J56" s="12" t="s">
        <v>144</v>
      </c>
      <c r="K56" s="74" t="s">
        <v>167</v>
      </c>
      <c r="L56" s="73"/>
      <c r="M56" s="12"/>
      <c r="N56" s="12"/>
      <c r="O56" s="12"/>
      <c r="P56" s="12"/>
      <c r="Q56" s="12"/>
      <c r="R56" s="12"/>
      <c r="S56" s="12"/>
      <c r="T56" s="74"/>
    </row>
    <row r="57" spans="2:20">
      <c r="B57" s="540" t="s">
        <v>153</v>
      </c>
      <c r="C57" s="541"/>
      <c r="D57" s="542"/>
      <c r="E57" s="549" t="s">
        <v>179</v>
      </c>
      <c r="F57" s="67"/>
      <c r="G57" s="73"/>
      <c r="H57" s="12"/>
      <c r="I57" s="12"/>
      <c r="J57" s="12"/>
      <c r="K57" s="74"/>
      <c r="L57" s="495" t="s">
        <v>174</v>
      </c>
      <c r="M57" s="467"/>
      <c r="N57" s="467"/>
      <c r="O57" s="467"/>
      <c r="P57" s="467"/>
      <c r="Q57" s="467"/>
      <c r="R57" s="467"/>
      <c r="S57" s="467"/>
      <c r="T57" s="468"/>
    </row>
    <row r="58" spans="2:20">
      <c r="B58" s="543"/>
      <c r="C58" s="544"/>
      <c r="D58" s="545"/>
      <c r="E58" s="550"/>
      <c r="F58" s="67" t="s">
        <v>155</v>
      </c>
      <c r="G58" s="73"/>
      <c r="H58" s="12"/>
      <c r="I58" s="12"/>
      <c r="J58" s="12"/>
      <c r="K58" s="74"/>
      <c r="L58" s="73" t="s">
        <v>166</v>
      </c>
      <c r="M58" s="12" t="s">
        <v>206</v>
      </c>
      <c r="N58" s="12" t="s">
        <v>155</v>
      </c>
      <c r="O58" s="12"/>
      <c r="P58" s="12"/>
      <c r="Q58" s="12" t="s">
        <v>172</v>
      </c>
      <c r="R58" s="12"/>
      <c r="S58" s="12" t="s">
        <v>144</v>
      </c>
      <c r="T58" s="74" t="s">
        <v>170</v>
      </c>
    </row>
    <row r="59" spans="2:20" ht="57.6">
      <c r="B59" s="543"/>
      <c r="C59" s="544"/>
      <c r="D59" s="545"/>
      <c r="E59" s="550"/>
      <c r="F59" s="67" t="s">
        <v>156</v>
      </c>
      <c r="G59" s="73"/>
      <c r="H59" s="12"/>
      <c r="I59" s="12"/>
      <c r="J59" s="12"/>
      <c r="K59" s="74"/>
      <c r="L59" s="73" t="s">
        <v>166</v>
      </c>
      <c r="M59" s="12" t="s">
        <v>206</v>
      </c>
      <c r="N59" s="83" t="s">
        <v>212</v>
      </c>
      <c r="O59" s="12" t="s">
        <v>156</v>
      </c>
      <c r="P59" s="12"/>
      <c r="Q59" s="12" t="s">
        <v>172</v>
      </c>
      <c r="R59" s="12"/>
      <c r="S59" s="12" t="s">
        <v>144</v>
      </c>
      <c r="T59" s="74" t="s">
        <v>170</v>
      </c>
    </row>
    <row r="60" spans="2:20">
      <c r="B60" s="546"/>
      <c r="C60" s="547"/>
      <c r="D60" s="548"/>
      <c r="E60" s="551"/>
      <c r="F60" s="67" t="s">
        <v>157</v>
      </c>
      <c r="G60" s="73"/>
      <c r="H60" s="12"/>
      <c r="I60" s="12"/>
      <c r="J60" s="12"/>
      <c r="K60" s="74"/>
      <c r="L60" s="73" t="s">
        <v>166</v>
      </c>
      <c r="M60" s="12" t="s">
        <v>206</v>
      </c>
      <c r="N60" s="12" t="s">
        <v>155</v>
      </c>
      <c r="O60" s="12"/>
      <c r="P60" s="12" t="s">
        <v>157</v>
      </c>
      <c r="Q60" s="12" t="s">
        <v>172</v>
      </c>
      <c r="R60" s="12"/>
      <c r="S60" s="12" t="s">
        <v>144</v>
      </c>
      <c r="T60" s="74" t="s">
        <v>170</v>
      </c>
    </row>
    <row r="61" spans="2:20">
      <c r="B61" s="552" t="s">
        <v>154</v>
      </c>
      <c r="C61" s="553"/>
      <c r="D61" s="554"/>
      <c r="E61" s="550" t="s">
        <v>179</v>
      </c>
      <c r="F61" s="67"/>
      <c r="G61" s="73"/>
      <c r="H61" s="12"/>
      <c r="I61" s="12"/>
      <c r="J61" s="12"/>
      <c r="K61" s="74"/>
      <c r="L61" s="495" t="s">
        <v>176</v>
      </c>
      <c r="M61" s="467"/>
      <c r="N61" s="467"/>
      <c r="O61" s="467"/>
      <c r="P61" s="467"/>
      <c r="Q61" s="467"/>
      <c r="R61" s="467"/>
      <c r="S61" s="467"/>
      <c r="T61" s="468"/>
    </row>
    <row r="62" spans="2:20">
      <c r="B62" s="555"/>
      <c r="C62" s="556"/>
      <c r="D62" s="557"/>
      <c r="E62" s="550"/>
      <c r="F62" s="67" t="s">
        <v>155</v>
      </c>
      <c r="G62" s="73" t="s">
        <v>155</v>
      </c>
      <c r="H62" s="12"/>
      <c r="I62" s="12"/>
      <c r="J62" s="12" t="s">
        <v>144</v>
      </c>
      <c r="K62" s="75" t="s">
        <v>167</v>
      </c>
      <c r="L62" s="73"/>
      <c r="M62" s="12"/>
      <c r="N62" s="12"/>
      <c r="O62" s="12"/>
      <c r="P62" s="12"/>
      <c r="Q62" s="12"/>
      <c r="R62" s="12"/>
      <c r="S62" s="12"/>
      <c r="T62" s="74"/>
    </row>
    <row r="63" spans="2:20" ht="15" thickBot="1">
      <c r="B63" s="558"/>
      <c r="C63" s="559"/>
      <c r="D63" s="560"/>
      <c r="E63" s="551"/>
      <c r="F63" s="67" t="s">
        <v>157</v>
      </c>
      <c r="G63" s="77" t="s">
        <v>155</v>
      </c>
      <c r="H63" s="78" t="s">
        <v>157</v>
      </c>
      <c r="I63" s="78"/>
      <c r="J63" s="78" t="s">
        <v>144</v>
      </c>
      <c r="K63" s="79" t="s">
        <v>167</v>
      </c>
      <c r="L63" s="77"/>
      <c r="M63" s="78"/>
      <c r="N63" s="78"/>
      <c r="O63" s="78"/>
      <c r="P63" s="78"/>
      <c r="Q63" s="78"/>
      <c r="R63" s="78"/>
      <c r="S63" s="78"/>
      <c r="T63" s="82"/>
    </row>
    <row r="65" spans="2:4" ht="30">
      <c r="B65" s="62" t="s">
        <v>201</v>
      </c>
      <c r="C65" s="62"/>
      <c r="D65" s="62"/>
    </row>
    <row r="66" spans="2:4" ht="30">
      <c r="B66" s="62" t="s">
        <v>202</v>
      </c>
    </row>
    <row r="67" spans="2:4" ht="30">
      <c r="B67" s="62" t="s">
        <v>207</v>
      </c>
    </row>
    <row r="68" spans="2:4" ht="30">
      <c r="B68" s="62" t="s">
        <v>210</v>
      </c>
    </row>
  </sheetData>
  <mergeCells count="74">
    <mergeCell ref="B2:D3"/>
    <mergeCell ref="E2:F3"/>
    <mergeCell ref="G2:K2"/>
    <mergeCell ref="L2:T2"/>
    <mergeCell ref="B4:D6"/>
    <mergeCell ref="E4:E6"/>
    <mergeCell ref="C7:D7"/>
    <mergeCell ref="B8:B15"/>
    <mergeCell ref="C8:D8"/>
    <mergeCell ref="C9:D9"/>
    <mergeCell ref="C10:D10"/>
    <mergeCell ref="C11:D11"/>
    <mergeCell ref="C12:D12"/>
    <mergeCell ref="C13:D13"/>
    <mergeCell ref="C14:D14"/>
    <mergeCell ref="C15:D15"/>
    <mergeCell ref="C16:D16"/>
    <mergeCell ref="B17:B43"/>
    <mergeCell ref="C17:C20"/>
    <mergeCell ref="D18:D20"/>
    <mergeCell ref="E18:E20"/>
    <mergeCell ref="C25:C28"/>
    <mergeCell ref="D26:D28"/>
    <mergeCell ref="E26:E28"/>
    <mergeCell ref="C33:C35"/>
    <mergeCell ref="D33:D35"/>
    <mergeCell ref="E33:E35"/>
    <mergeCell ref="L18:T18"/>
    <mergeCell ref="L20:T20"/>
    <mergeCell ref="C21:C24"/>
    <mergeCell ref="D22:D24"/>
    <mergeCell ref="E22:E24"/>
    <mergeCell ref="F22:F24"/>
    <mergeCell ref="L22:T22"/>
    <mergeCell ref="L24:T24"/>
    <mergeCell ref="F18:F20"/>
    <mergeCell ref="L26:T26"/>
    <mergeCell ref="L28:T28"/>
    <mergeCell ref="C29:C32"/>
    <mergeCell ref="D30:D32"/>
    <mergeCell ref="E30:E32"/>
    <mergeCell ref="F30:F32"/>
    <mergeCell ref="L30:T30"/>
    <mergeCell ref="L32:T32"/>
    <mergeCell ref="F26:F28"/>
    <mergeCell ref="F33:F35"/>
    <mergeCell ref="L33:T33"/>
    <mergeCell ref="L35:T35"/>
    <mergeCell ref="C36:C40"/>
    <mergeCell ref="D38:D40"/>
    <mergeCell ref="E38:E40"/>
    <mergeCell ref="F38:F40"/>
    <mergeCell ref="L38:T38"/>
    <mergeCell ref="L40:T40"/>
    <mergeCell ref="L49:T49"/>
    <mergeCell ref="E52:E56"/>
    <mergeCell ref="L52:T52"/>
    <mergeCell ref="C41:C43"/>
    <mergeCell ref="D41:D43"/>
    <mergeCell ref="E41:E43"/>
    <mergeCell ref="F41:F43"/>
    <mergeCell ref="L41:T41"/>
    <mergeCell ref="L43:T43"/>
    <mergeCell ref="B44:D44"/>
    <mergeCell ref="B45:D48"/>
    <mergeCell ref="E46:E48"/>
    <mergeCell ref="B49:D56"/>
    <mergeCell ref="E49:E51"/>
    <mergeCell ref="B57:D60"/>
    <mergeCell ref="E57:E60"/>
    <mergeCell ref="L57:T57"/>
    <mergeCell ref="B61:D63"/>
    <mergeCell ref="E61:E63"/>
    <mergeCell ref="L61:T61"/>
  </mergeCells>
  <phoneticPr fontId="12"/>
  <pageMargins left="0.70866141732283472" right="0.70866141732283472" top="0.74803149606299213" bottom="0.74803149606299213" header="0.31496062992125984" footer="0.31496062992125984"/>
  <pageSetup paperSize="8" scale="63" orientation="landscape" r:id="rId1"/>
  <headerFooter>
    <oddFooter>&amp;R&amp;A -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pageSetUpPr autoPageBreaks="0" fitToPage="1"/>
  </sheetPr>
  <dimension ref="B1:T36"/>
  <sheetViews>
    <sheetView showGridLines="0" zoomScaleNormal="100" workbookViewId="0"/>
  </sheetViews>
  <sheetFormatPr defaultColWidth="2.36328125" defaultRowHeight="14.4"/>
  <cols>
    <col min="2" max="2" width="27" bestFit="1" customWidth="1"/>
    <col min="3" max="3" width="6.08984375" customWidth="1"/>
    <col min="4" max="4" width="9.90625" customWidth="1"/>
    <col min="5" max="5" width="8.7265625" customWidth="1"/>
    <col min="6" max="6" width="9.08984375" customWidth="1"/>
    <col min="7" max="7" width="8.36328125" customWidth="1"/>
    <col min="8" max="8" width="6.90625" customWidth="1"/>
    <col min="9" max="9" width="9.08984375" customWidth="1"/>
    <col min="10" max="10" width="7.36328125" customWidth="1"/>
    <col min="11" max="11" width="14.90625" bestFit="1" customWidth="1"/>
    <col min="12" max="12" width="6.90625" customWidth="1"/>
    <col min="13" max="13" width="7.36328125" customWidth="1"/>
    <col min="14" max="14" width="14.08984375" customWidth="1"/>
    <col min="15" max="15" width="9.36328125" bestFit="1" customWidth="1"/>
    <col min="16" max="16" width="9.90625" bestFit="1" customWidth="1"/>
    <col min="17" max="17" width="9.36328125" bestFit="1" customWidth="1"/>
    <col min="18" max="18" width="6.36328125" bestFit="1" customWidth="1"/>
    <col min="19" max="19" width="8.08984375" bestFit="1" customWidth="1"/>
    <col min="20" max="20" width="160.90625" bestFit="1" customWidth="1"/>
  </cols>
  <sheetData>
    <row r="1" spans="2:20" ht="15" thickBot="1"/>
    <row r="2" spans="2:20">
      <c r="B2" s="530" t="s">
        <v>158</v>
      </c>
      <c r="C2" s="527"/>
      <c r="D2" s="583" t="s">
        <v>234</v>
      </c>
      <c r="E2" s="584"/>
      <c r="F2" s="584"/>
      <c r="G2" s="584"/>
      <c r="H2" s="584"/>
      <c r="I2" s="585"/>
      <c r="J2" s="520" t="s">
        <v>1205</v>
      </c>
      <c r="K2" s="521"/>
      <c r="L2" s="521"/>
      <c r="M2" s="586" t="s">
        <v>218</v>
      </c>
      <c r="N2" s="587"/>
      <c r="O2" s="587"/>
      <c r="P2" s="587"/>
      <c r="Q2" s="587"/>
      <c r="R2" s="587"/>
      <c r="S2" s="588"/>
      <c r="T2" s="471" t="s">
        <v>222</v>
      </c>
    </row>
    <row r="3" spans="2:20" ht="15" thickBot="1">
      <c r="B3" s="581"/>
      <c r="C3" s="582"/>
      <c r="D3" s="69" t="s">
        <v>144</v>
      </c>
      <c r="E3" s="64" t="s">
        <v>169</v>
      </c>
      <c r="F3" s="64" t="s">
        <v>244</v>
      </c>
      <c r="G3" s="64" t="s">
        <v>249</v>
      </c>
      <c r="H3" s="64" t="s">
        <v>235</v>
      </c>
      <c r="I3" s="124" t="s">
        <v>245</v>
      </c>
      <c r="J3" s="125" t="s">
        <v>242</v>
      </c>
      <c r="K3" s="126" t="s">
        <v>1206</v>
      </c>
      <c r="L3" s="126" t="s">
        <v>269</v>
      </c>
      <c r="M3" s="80" t="s">
        <v>242</v>
      </c>
      <c r="N3" s="65" t="s">
        <v>1206</v>
      </c>
      <c r="O3" s="65" t="s">
        <v>169</v>
      </c>
      <c r="P3" s="65" t="s">
        <v>144</v>
      </c>
      <c r="Q3" s="65" t="s">
        <v>240</v>
      </c>
      <c r="R3" s="65" t="s">
        <v>235</v>
      </c>
      <c r="S3" s="81" t="s">
        <v>110</v>
      </c>
      <c r="T3" s="472"/>
    </row>
    <row r="4" spans="2:20" ht="15" thickTop="1">
      <c r="B4" s="177" t="s">
        <v>217</v>
      </c>
      <c r="C4" s="178" t="s">
        <v>220</v>
      </c>
      <c r="D4" s="85"/>
      <c r="E4" s="127"/>
      <c r="F4" s="127"/>
      <c r="G4" s="127"/>
      <c r="H4" s="127"/>
      <c r="I4" s="128"/>
      <c r="J4" s="85"/>
      <c r="K4" s="127"/>
      <c r="L4" s="127"/>
      <c r="M4" s="71" t="s">
        <v>247</v>
      </c>
      <c r="N4" s="63" t="s">
        <v>237</v>
      </c>
      <c r="O4" s="63" t="s">
        <v>238</v>
      </c>
      <c r="P4" s="63" t="s">
        <v>144</v>
      </c>
      <c r="Q4" s="63" t="s">
        <v>241</v>
      </c>
      <c r="R4" s="63" t="s">
        <v>235</v>
      </c>
      <c r="S4" s="74" t="s">
        <v>239</v>
      </c>
      <c r="T4" s="84" t="s">
        <v>236</v>
      </c>
    </row>
    <row r="5" spans="2:20">
      <c r="B5" s="177" t="s">
        <v>217</v>
      </c>
      <c r="C5" s="178" t="s">
        <v>219</v>
      </c>
      <c r="D5" s="73"/>
      <c r="E5" s="12"/>
      <c r="F5" s="12"/>
      <c r="G5" s="12"/>
      <c r="H5" s="12"/>
      <c r="I5" s="74"/>
      <c r="J5" s="73"/>
      <c r="K5" s="12"/>
      <c r="L5" s="12"/>
      <c r="M5" s="71" t="s">
        <v>247</v>
      </c>
      <c r="N5" s="86" t="s">
        <v>237</v>
      </c>
      <c r="O5" s="86" t="s">
        <v>238</v>
      </c>
      <c r="P5" s="86" t="s">
        <v>144</v>
      </c>
      <c r="Q5" s="63" t="s">
        <v>241</v>
      </c>
      <c r="R5" s="86" t="s">
        <v>235</v>
      </c>
      <c r="S5" s="74" t="s">
        <v>239</v>
      </c>
      <c r="T5" s="84" t="s">
        <v>236</v>
      </c>
    </row>
    <row r="6" spans="2:20">
      <c r="B6" s="177" t="s">
        <v>1180</v>
      </c>
      <c r="C6" s="178" t="s">
        <v>220</v>
      </c>
      <c r="D6" s="73"/>
      <c r="E6" s="12"/>
      <c r="F6" s="12"/>
      <c r="G6" s="12"/>
      <c r="H6" s="12"/>
      <c r="I6" s="74"/>
      <c r="J6" s="73"/>
      <c r="K6" s="12"/>
      <c r="L6" s="12"/>
      <c r="M6" s="73" t="s">
        <v>243</v>
      </c>
      <c r="N6" s="63" t="s">
        <v>237</v>
      </c>
      <c r="O6" s="63"/>
      <c r="P6" s="63"/>
      <c r="Q6" s="63"/>
      <c r="R6" s="63"/>
      <c r="S6" s="74"/>
      <c r="T6" s="84" t="s">
        <v>236</v>
      </c>
    </row>
    <row r="7" spans="2:20">
      <c r="B7" s="177" t="s">
        <v>1181</v>
      </c>
      <c r="C7" s="178" t="s">
        <v>219</v>
      </c>
      <c r="D7" s="73"/>
      <c r="E7" s="12"/>
      <c r="F7" s="12"/>
      <c r="G7" s="12"/>
      <c r="H7" s="12"/>
      <c r="I7" s="74"/>
      <c r="J7" s="73"/>
      <c r="K7" s="12"/>
      <c r="L7" s="12"/>
      <c r="M7" s="73" t="s">
        <v>243</v>
      </c>
      <c r="N7" s="86" t="s">
        <v>237</v>
      </c>
      <c r="O7" s="86"/>
      <c r="P7" s="86"/>
      <c r="Q7" s="63"/>
      <c r="R7" s="86"/>
      <c r="S7" s="74"/>
      <c r="T7" s="84" t="s">
        <v>236</v>
      </c>
    </row>
    <row r="8" spans="2:20">
      <c r="B8" s="177" t="s">
        <v>223</v>
      </c>
      <c r="C8" s="178" t="s">
        <v>220</v>
      </c>
      <c r="D8" s="73" t="s">
        <v>144</v>
      </c>
      <c r="E8" s="12" t="s">
        <v>238</v>
      </c>
      <c r="F8" s="12" t="s">
        <v>241</v>
      </c>
      <c r="G8" s="61" t="s">
        <v>261</v>
      </c>
      <c r="H8" s="12" t="s">
        <v>235</v>
      </c>
      <c r="I8" s="119" t="s">
        <v>261</v>
      </c>
      <c r="J8" s="71" t="s">
        <v>247</v>
      </c>
      <c r="K8" s="63" t="s">
        <v>237</v>
      </c>
      <c r="L8" s="129" t="s">
        <v>1207</v>
      </c>
      <c r="M8" s="73" t="s">
        <v>243</v>
      </c>
      <c r="N8" s="63" t="s">
        <v>237</v>
      </c>
      <c r="O8" s="12"/>
      <c r="P8" s="12"/>
      <c r="Q8" s="12"/>
      <c r="R8" s="12"/>
      <c r="S8" s="74"/>
      <c r="T8" s="84"/>
    </row>
    <row r="9" spans="2:20">
      <c r="B9" s="177" t="s">
        <v>223</v>
      </c>
      <c r="C9" s="178" t="s">
        <v>219</v>
      </c>
      <c r="D9" s="73" t="s">
        <v>144</v>
      </c>
      <c r="E9" s="12" t="s">
        <v>238</v>
      </c>
      <c r="F9" s="12" t="s">
        <v>241</v>
      </c>
      <c r="G9" s="61" t="s">
        <v>261</v>
      </c>
      <c r="H9" s="12" t="s">
        <v>235</v>
      </c>
      <c r="I9" s="119" t="s">
        <v>261</v>
      </c>
      <c r="J9" s="71" t="s">
        <v>247</v>
      </c>
      <c r="K9" s="86" t="s">
        <v>237</v>
      </c>
      <c r="L9" s="130" t="s">
        <v>1207</v>
      </c>
      <c r="M9" s="73" t="s">
        <v>243</v>
      </c>
      <c r="N9" s="86" t="s">
        <v>237</v>
      </c>
      <c r="O9" s="12"/>
      <c r="P9" s="12"/>
      <c r="Q9" s="12"/>
      <c r="R9" s="12"/>
      <c r="S9" s="74"/>
      <c r="T9" s="84"/>
    </row>
    <row r="10" spans="2:20">
      <c r="B10" s="177" t="s">
        <v>1188</v>
      </c>
      <c r="C10" s="178" t="s">
        <v>220</v>
      </c>
      <c r="D10" s="73" t="s">
        <v>144</v>
      </c>
      <c r="E10" s="12" t="s">
        <v>238</v>
      </c>
      <c r="F10" s="12" t="s">
        <v>241</v>
      </c>
      <c r="G10" s="61" t="s">
        <v>261</v>
      </c>
      <c r="H10" s="117" t="s">
        <v>235</v>
      </c>
      <c r="I10" s="119" t="s">
        <v>261</v>
      </c>
      <c r="J10" s="73" t="s">
        <v>243</v>
      </c>
      <c r="K10" s="63" t="s">
        <v>237</v>
      </c>
      <c r="L10" s="117" t="s">
        <v>1207</v>
      </c>
      <c r="M10" s="71" t="s">
        <v>247</v>
      </c>
      <c r="N10" s="63" t="s">
        <v>237</v>
      </c>
      <c r="O10" s="63" t="s">
        <v>238</v>
      </c>
      <c r="P10" s="63" t="s">
        <v>144</v>
      </c>
      <c r="Q10" s="63" t="s">
        <v>241</v>
      </c>
      <c r="R10" s="86" t="s">
        <v>235</v>
      </c>
      <c r="S10" s="74"/>
      <c r="T10" s="84" t="s">
        <v>1189</v>
      </c>
    </row>
    <row r="11" spans="2:20">
      <c r="B11" s="177" t="s">
        <v>1188</v>
      </c>
      <c r="C11" s="178" t="s">
        <v>219</v>
      </c>
      <c r="D11" s="73" t="s">
        <v>144</v>
      </c>
      <c r="E11" s="12" t="s">
        <v>238</v>
      </c>
      <c r="F11" s="12" t="s">
        <v>241</v>
      </c>
      <c r="G11" s="61" t="s">
        <v>261</v>
      </c>
      <c r="H11" s="116" t="s">
        <v>235</v>
      </c>
      <c r="I11" s="119" t="s">
        <v>261</v>
      </c>
      <c r="J11" s="73" t="s">
        <v>243</v>
      </c>
      <c r="K11" s="86" t="s">
        <v>237</v>
      </c>
      <c r="L11" s="117" t="s">
        <v>1207</v>
      </c>
      <c r="M11" s="71" t="s">
        <v>247</v>
      </c>
      <c r="N11" s="86" t="s">
        <v>237</v>
      </c>
      <c r="O11" s="63" t="s">
        <v>238</v>
      </c>
      <c r="P11" s="63" t="s">
        <v>144</v>
      </c>
      <c r="Q11" s="63" t="s">
        <v>241</v>
      </c>
      <c r="R11" s="86" t="s">
        <v>235</v>
      </c>
      <c r="S11" s="74"/>
      <c r="T11" s="84" t="s">
        <v>1189</v>
      </c>
    </row>
    <row r="12" spans="2:20">
      <c r="B12" s="175" t="s">
        <v>1268</v>
      </c>
      <c r="C12" s="176"/>
      <c r="D12" s="73"/>
      <c r="E12" s="12"/>
      <c r="F12" s="12"/>
      <c r="G12" s="12"/>
      <c r="H12" s="116"/>
      <c r="I12" s="74"/>
      <c r="J12" s="71"/>
      <c r="K12" s="12"/>
      <c r="L12" s="131"/>
      <c r="M12" s="71" t="s">
        <v>247</v>
      </c>
      <c r="N12" s="12" t="s">
        <v>1269</v>
      </c>
      <c r="O12" s="12"/>
      <c r="P12" s="63" t="s">
        <v>144</v>
      </c>
      <c r="Q12" s="63" t="s">
        <v>1270</v>
      </c>
      <c r="R12" s="86" t="s">
        <v>1271</v>
      </c>
      <c r="S12" s="86" t="s">
        <v>1271</v>
      </c>
      <c r="T12" s="84"/>
    </row>
    <row r="13" spans="2:20">
      <c r="B13" s="171" t="s">
        <v>246</v>
      </c>
      <c r="C13" s="172" t="s">
        <v>220</v>
      </c>
      <c r="D13" s="73" t="s">
        <v>144</v>
      </c>
      <c r="E13" s="12" t="s">
        <v>259</v>
      </c>
      <c r="F13" s="12" t="s">
        <v>250</v>
      </c>
      <c r="G13" s="12" t="s">
        <v>251</v>
      </c>
      <c r="H13" s="116" t="s">
        <v>252</v>
      </c>
      <c r="I13" s="76" t="s">
        <v>253</v>
      </c>
      <c r="J13" s="73" t="s">
        <v>247</v>
      </c>
      <c r="K13" s="12" t="s">
        <v>1210</v>
      </c>
      <c r="L13" s="131" t="s">
        <v>1209</v>
      </c>
      <c r="M13" s="73"/>
      <c r="N13" s="12"/>
      <c r="O13" s="12"/>
      <c r="P13" s="12"/>
      <c r="Q13" s="12"/>
      <c r="R13" s="12"/>
      <c r="S13" s="74"/>
      <c r="T13" s="84" t="s">
        <v>1211</v>
      </c>
    </row>
    <row r="14" spans="2:20">
      <c r="B14" s="171" t="s">
        <v>248</v>
      </c>
      <c r="C14" s="172" t="s">
        <v>219</v>
      </c>
      <c r="D14" s="73" t="s">
        <v>144</v>
      </c>
      <c r="E14" s="12" t="s">
        <v>259</v>
      </c>
      <c r="F14" s="12" t="s">
        <v>250</v>
      </c>
      <c r="G14" s="12" t="s">
        <v>251</v>
      </c>
      <c r="H14" s="116" t="s">
        <v>254</v>
      </c>
      <c r="I14" s="76" t="s">
        <v>253</v>
      </c>
      <c r="J14" s="71" t="s">
        <v>247</v>
      </c>
      <c r="K14" s="12" t="s">
        <v>1210</v>
      </c>
      <c r="L14" s="131" t="s">
        <v>1209</v>
      </c>
      <c r="M14" s="73"/>
      <c r="N14" s="12"/>
      <c r="O14" s="12"/>
      <c r="P14" s="12"/>
      <c r="Q14" s="12"/>
      <c r="R14" s="12"/>
      <c r="S14" s="74"/>
      <c r="T14" s="84" t="s">
        <v>1211</v>
      </c>
    </row>
    <row r="15" spans="2:20">
      <c r="B15" s="171" t="s">
        <v>1272</v>
      </c>
      <c r="C15" s="172"/>
      <c r="D15" s="73" t="s">
        <v>144</v>
      </c>
      <c r="E15" s="12" t="s">
        <v>259</v>
      </c>
      <c r="F15" s="12" t="s">
        <v>250</v>
      </c>
      <c r="G15" s="12" t="s">
        <v>251</v>
      </c>
      <c r="H15" s="116" t="s">
        <v>110</v>
      </c>
      <c r="I15" s="170" t="s">
        <v>110</v>
      </c>
      <c r="J15" s="71" t="s">
        <v>247</v>
      </c>
      <c r="K15" s="12" t="s">
        <v>1210</v>
      </c>
      <c r="L15" s="131" t="s">
        <v>1209</v>
      </c>
      <c r="M15" s="73"/>
      <c r="N15" s="12"/>
      <c r="O15" s="12"/>
      <c r="P15" s="12"/>
      <c r="Q15" s="12"/>
      <c r="R15" s="12"/>
      <c r="S15" s="74"/>
      <c r="T15" s="84" t="s">
        <v>1211</v>
      </c>
    </row>
    <row r="16" spans="2:20">
      <c r="B16" s="171" t="s">
        <v>1186</v>
      </c>
      <c r="C16" s="172" t="s">
        <v>220</v>
      </c>
      <c r="D16" s="73" t="s">
        <v>144</v>
      </c>
      <c r="E16" s="12" t="s">
        <v>259</v>
      </c>
      <c r="F16" s="12" t="s">
        <v>250</v>
      </c>
      <c r="G16" s="12" t="s">
        <v>251</v>
      </c>
      <c r="H16" s="12" t="s">
        <v>235</v>
      </c>
      <c r="I16" s="74" t="s">
        <v>110</v>
      </c>
      <c r="J16" s="73" t="s">
        <v>243</v>
      </c>
      <c r="K16" s="12" t="s">
        <v>1210</v>
      </c>
      <c r="L16" s="131" t="s">
        <v>1209</v>
      </c>
      <c r="M16" s="71"/>
      <c r="N16" s="12"/>
      <c r="O16" s="12"/>
      <c r="P16" s="12"/>
      <c r="Q16" s="12"/>
      <c r="R16" s="12"/>
      <c r="S16" s="74"/>
      <c r="T16" s="84" t="s">
        <v>1211</v>
      </c>
    </row>
    <row r="17" spans="2:20">
      <c r="B17" s="171" t="s">
        <v>1187</v>
      </c>
      <c r="C17" s="172" t="s">
        <v>219</v>
      </c>
      <c r="D17" s="73" t="s">
        <v>144</v>
      </c>
      <c r="E17" s="12" t="s">
        <v>259</v>
      </c>
      <c r="F17" s="12" t="s">
        <v>250</v>
      </c>
      <c r="G17" s="12" t="s">
        <v>251</v>
      </c>
      <c r="H17" s="12" t="s">
        <v>254</v>
      </c>
      <c r="I17" s="74" t="s">
        <v>110</v>
      </c>
      <c r="J17" s="73" t="s">
        <v>243</v>
      </c>
      <c r="K17" s="12" t="s">
        <v>1210</v>
      </c>
      <c r="L17" s="131" t="s">
        <v>1209</v>
      </c>
      <c r="M17" s="73"/>
      <c r="N17" s="12"/>
      <c r="O17" s="12"/>
      <c r="P17" s="12"/>
      <c r="Q17" s="12"/>
      <c r="R17" s="12"/>
      <c r="S17" s="74"/>
      <c r="T17" s="84" t="s">
        <v>1211</v>
      </c>
    </row>
    <row r="18" spans="2:20" ht="15" thickBot="1">
      <c r="B18" s="173" t="s">
        <v>1273</v>
      </c>
      <c r="C18" s="174"/>
      <c r="D18" s="77" t="s">
        <v>144</v>
      </c>
      <c r="E18" s="78" t="s">
        <v>259</v>
      </c>
      <c r="F18" s="78" t="s">
        <v>250</v>
      </c>
      <c r="G18" s="78" t="s">
        <v>251</v>
      </c>
      <c r="H18" s="179" t="s">
        <v>110</v>
      </c>
      <c r="I18" s="180" t="s">
        <v>110</v>
      </c>
      <c r="J18" s="77" t="s">
        <v>247</v>
      </c>
      <c r="K18" s="78" t="s">
        <v>1210</v>
      </c>
      <c r="L18" s="132" t="s">
        <v>1209</v>
      </c>
      <c r="M18" s="77" t="s">
        <v>247</v>
      </c>
      <c r="N18" s="78" t="s">
        <v>1269</v>
      </c>
      <c r="O18" s="78"/>
      <c r="P18" s="78" t="s">
        <v>144</v>
      </c>
      <c r="Q18" s="78" t="s">
        <v>1270</v>
      </c>
      <c r="R18" s="78" t="s">
        <v>1271</v>
      </c>
      <c r="S18" s="82" t="s">
        <v>1271</v>
      </c>
      <c r="T18" s="84" t="s">
        <v>1211</v>
      </c>
    </row>
    <row r="20" spans="2:20" ht="30">
      <c r="B20" s="522" t="s">
        <v>257</v>
      </c>
      <c r="C20" s="522"/>
      <c r="D20" s="522"/>
      <c r="E20" s="522"/>
      <c r="F20" s="522"/>
      <c r="G20" s="522"/>
      <c r="H20" s="522"/>
      <c r="I20" s="522"/>
      <c r="J20" s="522"/>
      <c r="K20" s="522"/>
      <c r="L20" s="522"/>
      <c r="M20" s="522"/>
      <c r="N20" s="522"/>
      <c r="O20" s="522"/>
      <c r="P20" s="522"/>
      <c r="Q20" s="522"/>
      <c r="R20" s="522"/>
      <c r="S20" s="522"/>
    </row>
    <row r="21" spans="2:20" ht="30">
      <c r="B21" s="522" t="s">
        <v>256</v>
      </c>
      <c r="C21" s="522"/>
      <c r="D21" s="522"/>
      <c r="E21" s="522"/>
      <c r="F21" s="522"/>
      <c r="G21" s="522"/>
      <c r="H21" s="522"/>
      <c r="I21" s="522"/>
      <c r="J21" s="522"/>
      <c r="K21" s="522"/>
      <c r="L21" s="522"/>
      <c r="M21" s="522"/>
      <c r="N21" s="522"/>
      <c r="O21" s="522"/>
      <c r="P21" s="522"/>
      <c r="Q21" s="522"/>
      <c r="R21" s="522"/>
      <c r="S21" s="522"/>
    </row>
    <row r="22" spans="2:20" ht="30">
      <c r="B22" s="522" t="s">
        <v>255</v>
      </c>
      <c r="C22" s="522"/>
      <c r="D22" s="522"/>
      <c r="E22" s="522"/>
      <c r="F22" s="522"/>
      <c r="G22" s="522"/>
      <c r="H22" s="522"/>
      <c r="I22" s="522"/>
      <c r="J22" s="522"/>
      <c r="K22" s="522"/>
      <c r="L22" s="522"/>
      <c r="M22" s="522"/>
      <c r="N22" s="522"/>
      <c r="O22" s="522"/>
      <c r="P22" s="522"/>
      <c r="Q22" s="522"/>
      <c r="R22" s="522"/>
      <c r="S22" s="522"/>
    </row>
    <row r="23" spans="2:20" ht="30">
      <c r="B23" s="522" t="s">
        <v>207</v>
      </c>
      <c r="C23" s="522"/>
      <c r="D23" s="522"/>
      <c r="E23" s="522"/>
      <c r="F23" s="522"/>
      <c r="G23" s="522"/>
      <c r="H23" s="522"/>
      <c r="I23" s="522"/>
      <c r="J23" s="522"/>
      <c r="K23" s="522"/>
      <c r="L23" s="522"/>
      <c r="M23" s="522"/>
      <c r="N23" s="522"/>
      <c r="O23" s="522"/>
      <c r="P23" s="522"/>
      <c r="Q23" s="522"/>
      <c r="R23" s="522"/>
      <c r="S23" s="522"/>
    </row>
    <row r="24" spans="2:20" ht="30">
      <c r="B24" s="522" t="s">
        <v>210</v>
      </c>
      <c r="C24" s="522"/>
      <c r="D24" s="522"/>
      <c r="E24" s="522"/>
      <c r="F24" s="522"/>
      <c r="G24" s="522"/>
      <c r="H24" s="522"/>
      <c r="I24" s="522"/>
      <c r="J24" s="522"/>
      <c r="K24" s="522"/>
      <c r="L24" s="522"/>
      <c r="M24" s="522"/>
      <c r="N24" s="522"/>
      <c r="O24" s="522"/>
      <c r="P24" s="522"/>
      <c r="Q24" s="522"/>
      <c r="R24" s="522"/>
      <c r="S24" s="522"/>
    </row>
    <row r="25" spans="2:20" ht="30">
      <c r="B25" s="522" t="s">
        <v>264</v>
      </c>
      <c r="C25" s="522"/>
      <c r="D25" s="522"/>
      <c r="E25" s="522"/>
      <c r="F25" s="522"/>
      <c r="G25" s="522"/>
      <c r="H25" s="522"/>
      <c r="I25" s="522"/>
      <c r="J25" s="522"/>
      <c r="K25" s="522"/>
      <c r="L25" s="522"/>
      <c r="M25" s="522"/>
      <c r="N25" s="522"/>
      <c r="O25" s="522"/>
      <c r="P25" s="522"/>
      <c r="Q25" s="522"/>
      <c r="R25" s="522"/>
      <c r="S25" s="522"/>
    </row>
    <row r="26" spans="2:20" ht="30">
      <c r="B26" s="522" t="s">
        <v>258</v>
      </c>
      <c r="C26" s="522"/>
      <c r="D26" s="522"/>
      <c r="E26" s="522"/>
      <c r="F26" s="522"/>
      <c r="G26" s="522"/>
      <c r="H26" s="522"/>
      <c r="I26" s="522"/>
      <c r="J26" s="522"/>
      <c r="K26" s="522"/>
      <c r="L26" s="522"/>
      <c r="M26" s="522"/>
      <c r="N26" s="522"/>
      <c r="O26" s="522"/>
      <c r="P26" s="522"/>
      <c r="Q26" s="522"/>
      <c r="R26" s="522"/>
      <c r="S26" s="522"/>
    </row>
    <row r="27" spans="2:20" ht="30">
      <c r="B27" s="522" t="s">
        <v>262</v>
      </c>
      <c r="C27" s="522"/>
      <c r="D27" s="522"/>
      <c r="E27" s="522"/>
      <c r="F27" s="522"/>
      <c r="G27" s="522"/>
      <c r="H27" s="522"/>
      <c r="I27" s="522"/>
      <c r="J27" s="522"/>
      <c r="K27" s="522"/>
      <c r="L27" s="522"/>
      <c r="M27" s="522"/>
      <c r="N27" s="522"/>
      <c r="O27" s="522"/>
      <c r="P27" s="522"/>
      <c r="Q27" s="522"/>
      <c r="R27" s="522"/>
      <c r="S27" s="522"/>
    </row>
    <row r="28" spans="2:20" ht="30">
      <c r="B28" s="522" t="s">
        <v>263</v>
      </c>
      <c r="C28" s="522"/>
      <c r="D28" s="522"/>
      <c r="E28" s="522"/>
      <c r="F28" s="522"/>
      <c r="G28" s="522"/>
      <c r="H28" s="522"/>
      <c r="I28" s="522"/>
      <c r="J28" s="522"/>
      <c r="K28" s="522"/>
      <c r="L28" s="522"/>
      <c r="M28" s="522"/>
      <c r="N28" s="522"/>
      <c r="O28" s="522"/>
      <c r="P28" s="522"/>
      <c r="Q28" s="522"/>
      <c r="R28" s="522"/>
      <c r="S28" s="522"/>
    </row>
    <row r="29" spans="2:20" ht="30">
      <c r="B29" s="522" t="s">
        <v>1208</v>
      </c>
      <c r="C29" s="522"/>
      <c r="D29" s="522"/>
      <c r="E29" s="522"/>
      <c r="F29" s="522"/>
      <c r="G29" s="522"/>
      <c r="H29" s="522"/>
      <c r="I29" s="522"/>
      <c r="J29" s="522"/>
      <c r="K29" s="522"/>
      <c r="L29" s="522"/>
      <c r="M29" s="522"/>
      <c r="N29" s="522"/>
      <c r="O29" s="522"/>
      <c r="P29" s="522"/>
      <c r="Q29" s="522"/>
      <c r="R29" s="522"/>
      <c r="S29" s="522"/>
    </row>
    <row r="30" spans="2:20" ht="30">
      <c r="B30" s="522"/>
      <c r="C30" s="522"/>
      <c r="D30" s="522"/>
      <c r="E30" s="522"/>
      <c r="F30" s="522"/>
      <c r="G30" s="522"/>
      <c r="H30" s="522"/>
      <c r="I30" s="522"/>
      <c r="J30" s="522"/>
      <c r="K30" s="522"/>
      <c r="L30" s="522"/>
      <c r="M30" s="522"/>
      <c r="N30" s="522"/>
      <c r="O30" s="522"/>
      <c r="P30" s="522"/>
      <c r="Q30" s="522"/>
      <c r="R30" s="522"/>
      <c r="S30" s="522"/>
    </row>
    <row r="31" spans="2:20" ht="30">
      <c r="B31" s="522"/>
      <c r="C31" s="522"/>
      <c r="D31" s="522"/>
      <c r="E31" s="522"/>
      <c r="F31" s="522"/>
      <c r="G31" s="522"/>
      <c r="H31" s="522"/>
      <c r="I31" s="522"/>
      <c r="J31" s="522"/>
      <c r="K31" s="522"/>
      <c r="L31" s="522"/>
      <c r="M31" s="522"/>
      <c r="N31" s="522"/>
      <c r="O31" s="522"/>
      <c r="P31" s="522"/>
      <c r="Q31" s="522"/>
      <c r="R31" s="522"/>
      <c r="S31" s="522"/>
    </row>
    <row r="32" spans="2:20" ht="30">
      <c r="B32" s="522"/>
      <c r="C32" s="522"/>
      <c r="D32" s="522"/>
      <c r="E32" s="522"/>
      <c r="F32" s="522"/>
      <c r="G32" s="522"/>
      <c r="H32" s="522"/>
      <c r="I32" s="522"/>
      <c r="J32" s="522"/>
      <c r="K32" s="522"/>
      <c r="L32" s="522"/>
      <c r="M32" s="522"/>
      <c r="N32" s="522"/>
      <c r="O32" s="522"/>
      <c r="P32" s="522"/>
      <c r="Q32" s="522"/>
      <c r="R32" s="522"/>
      <c r="S32" s="522"/>
    </row>
    <row r="33" spans="2:19" ht="30">
      <c r="B33" s="522"/>
      <c r="C33" s="522"/>
      <c r="D33" s="522"/>
      <c r="E33" s="522"/>
      <c r="F33" s="522"/>
      <c r="G33" s="522"/>
      <c r="H33" s="522"/>
      <c r="I33" s="522"/>
      <c r="J33" s="522"/>
      <c r="K33" s="522"/>
      <c r="L33" s="522"/>
      <c r="M33" s="522"/>
      <c r="N33" s="522"/>
      <c r="O33" s="522"/>
      <c r="P33" s="522"/>
      <c r="Q33" s="522"/>
      <c r="R33" s="522"/>
      <c r="S33" s="522"/>
    </row>
    <row r="34" spans="2:19" ht="30">
      <c r="B34" s="522"/>
      <c r="C34" s="522"/>
      <c r="D34" s="522"/>
      <c r="E34" s="522"/>
      <c r="F34" s="522"/>
      <c r="G34" s="522"/>
      <c r="H34" s="522"/>
      <c r="I34" s="522"/>
      <c r="J34" s="522"/>
      <c r="K34" s="522"/>
      <c r="L34" s="522"/>
      <c r="M34" s="522"/>
      <c r="N34" s="522"/>
      <c r="O34" s="522"/>
      <c r="P34" s="522"/>
      <c r="Q34" s="522"/>
      <c r="R34" s="522"/>
      <c r="S34" s="522"/>
    </row>
    <row r="35" spans="2:19" ht="30">
      <c r="B35" s="522"/>
      <c r="C35" s="522"/>
      <c r="D35" s="522"/>
      <c r="E35" s="522"/>
      <c r="F35" s="522"/>
      <c r="G35" s="522"/>
      <c r="H35" s="522"/>
      <c r="I35" s="522"/>
      <c r="J35" s="522"/>
      <c r="K35" s="522"/>
      <c r="L35" s="522"/>
      <c r="M35" s="522"/>
      <c r="N35" s="522"/>
      <c r="O35" s="522"/>
      <c r="P35" s="522"/>
      <c r="Q35" s="522"/>
      <c r="R35" s="522"/>
      <c r="S35" s="522"/>
    </row>
    <row r="36" spans="2:19" ht="30">
      <c r="B36" s="522"/>
      <c r="C36" s="522"/>
      <c r="D36" s="522"/>
      <c r="E36" s="522"/>
      <c r="F36" s="522"/>
      <c r="G36" s="522"/>
      <c r="H36" s="522"/>
      <c r="I36" s="522"/>
      <c r="J36" s="522"/>
      <c r="K36" s="522"/>
      <c r="L36" s="522"/>
      <c r="M36" s="522"/>
      <c r="N36" s="522"/>
      <c r="O36" s="522"/>
      <c r="P36" s="522"/>
      <c r="Q36" s="522"/>
      <c r="R36" s="522"/>
      <c r="S36" s="522"/>
    </row>
  </sheetData>
  <autoFilter ref="B3:T3">
    <filterColumn colId="0" showButton="0"/>
  </autoFilter>
  <mergeCells count="23">
    <mergeCell ref="T2:T3"/>
    <mergeCell ref="B21:S21"/>
    <mergeCell ref="B22:S22"/>
    <mergeCell ref="B23:S23"/>
    <mergeCell ref="B24:S24"/>
    <mergeCell ref="B2:B3"/>
    <mergeCell ref="C2:C3"/>
    <mergeCell ref="D2:I2"/>
    <mergeCell ref="B20:S20"/>
    <mergeCell ref="M2:S2"/>
    <mergeCell ref="J2:L2"/>
    <mergeCell ref="B25:S25"/>
    <mergeCell ref="B26:S26"/>
    <mergeCell ref="B27:S27"/>
    <mergeCell ref="B28:S28"/>
    <mergeCell ref="B29:S29"/>
    <mergeCell ref="B35:S35"/>
    <mergeCell ref="B36:S36"/>
    <mergeCell ref="B30:S30"/>
    <mergeCell ref="B31:S31"/>
    <mergeCell ref="B32:S32"/>
    <mergeCell ref="B33:S33"/>
    <mergeCell ref="B34:S34"/>
  </mergeCells>
  <phoneticPr fontId="12"/>
  <pageMargins left="0.70866141732283472" right="0.70866141732283472" top="0.74803149606299213" bottom="0.74803149606299213" header="0.31496062992125984" footer="0.31496062992125984"/>
  <pageSetup paperSize="8" scale="66" orientation="landscape" r:id="rId1"/>
  <headerFooter>
    <oddFooter>&amp;C -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pageSetUpPr autoPageBreaks="0"/>
  </sheetPr>
  <dimension ref="A1:BD46"/>
  <sheetViews>
    <sheetView showGridLines="0" zoomScaleNormal="100" zoomScaleSheetLayoutView="85"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6"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6"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棚卸情報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6"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6"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
        <v>1322</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6"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6"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6" ht="14.4" customHeight="1">
      <c r="A8" s="37">
        <f>IF(B8="","",COUNTA($B$8:B8))</f>
        <v>1</v>
      </c>
      <c r="B8" s="17" t="s">
        <v>1692</v>
      </c>
      <c r="C8" s="18"/>
      <c r="D8" s="18"/>
      <c r="E8" s="18"/>
      <c r="F8" s="18"/>
      <c r="G8" s="18"/>
      <c r="H8" s="18"/>
      <c r="I8" s="19" t="s">
        <v>1317</v>
      </c>
      <c r="J8" s="20"/>
      <c r="K8" s="20"/>
      <c r="L8" s="20"/>
      <c r="M8" s="20"/>
      <c r="N8" s="20"/>
      <c r="O8" s="20"/>
      <c r="P8" s="20"/>
      <c r="Q8" s="20"/>
      <c r="R8" s="17" t="s">
        <v>1692</v>
      </c>
      <c r="S8" s="18"/>
      <c r="T8" s="18"/>
      <c r="U8" s="18"/>
      <c r="V8" s="18"/>
      <c r="W8" s="18"/>
      <c r="X8" s="18"/>
      <c r="Y8" s="17" t="s">
        <v>1618</v>
      </c>
      <c r="Z8" s="28"/>
      <c r="AA8" s="591" t="s">
        <v>1619</v>
      </c>
      <c r="AB8" s="592"/>
      <c r="AC8" s="593"/>
      <c r="AD8" s="53">
        <v>6</v>
      </c>
      <c r="AE8" s="24" t="s">
        <v>1585</v>
      </c>
      <c r="AF8" s="24" t="s">
        <v>116</v>
      </c>
      <c r="AG8" s="24" t="s">
        <v>84</v>
      </c>
      <c r="AH8" s="24"/>
      <c r="AI8" s="24"/>
      <c r="AJ8" s="24"/>
      <c r="AK8" s="24"/>
      <c r="AL8" s="24"/>
      <c r="AM8" s="24"/>
      <c r="AN8" s="24"/>
      <c r="AO8" s="25"/>
      <c r="AP8" s="25"/>
      <c r="AQ8" s="25"/>
      <c r="AR8" s="25"/>
      <c r="AS8" s="35"/>
      <c r="AT8" s="36"/>
      <c r="AU8" s="36"/>
      <c r="AV8" s="36"/>
      <c r="AW8" s="36"/>
      <c r="AX8" s="36"/>
      <c r="AY8" s="36"/>
      <c r="AZ8" s="36"/>
      <c r="BA8" s="36"/>
      <c r="BB8" s="36"/>
      <c r="BC8" s="36"/>
      <c r="BD8" s="50"/>
    </row>
    <row r="9" spans="1:56" ht="14.4" customHeight="1">
      <c r="A9" s="37">
        <f>IF(B9="","",COUNTA($B$8:B9))</f>
        <v>2</v>
      </c>
      <c r="B9" s="35" t="s">
        <v>1722</v>
      </c>
      <c r="C9" s="34"/>
      <c r="D9" s="34"/>
      <c r="E9" s="34"/>
      <c r="F9" s="34"/>
      <c r="G9" s="34"/>
      <c r="H9" s="34"/>
      <c r="I9" s="35" t="s">
        <v>1318</v>
      </c>
      <c r="J9" s="27"/>
      <c r="K9" s="27"/>
      <c r="L9" s="27"/>
      <c r="M9" s="27"/>
      <c r="N9" s="27"/>
      <c r="O9" s="27"/>
      <c r="P9" s="27"/>
      <c r="Q9" s="27"/>
      <c r="R9" s="35" t="s">
        <v>589</v>
      </c>
      <c r="S9" s="34"/>
      <c r="T9" s="34"/>
      <c r="U9" s="34"/>
      <c r="V9" s="34"/>
      <c r="W9" s="34"/>
      <c r="X9" s="34"/>
      <c r="Y9" s="589" t="s">
        <v>1618</v>
      </c>
      <c r="Z9" s="590"/>
      <c r="AA9" s="591" t="s">
        <v>1619</v>
      </c>
      <c r="AB9" s="592"/>
      <c r="AC9" s="593"/>
      <c r="AD9" s="53">
        <v>3</v>
      </c>
      <c r="AE9" s="25"/>
      <c r="AF9" s="25">
        <v>2</v>
      </c>
      <c r="AG9" s="25" t="s">
        <v>84</v>
      </c>
      <c r="AH9" s="25"/>
      <c r="AI9" s="25"/>
      <c r="AJ9" s="25"/>
      <c r="AK9" s="25"/>
      <c r="AL9" s="25"/>
      <c r="AM9" s="25"/>
      <c r="AN9" s="25"/>
      <c r="AO9" s="25"/>
      <c r="AP9" s="25"/>
      <c r="AQ9" s="25"/>
      <c r="AR9" s="25"/>
      <c r="AS9" s="35"/>
      <c r="AT9" s="36"/>
      <c r="AU9" s="36"/>
      <c r="AV9" s="36"/>
      <c r="AW9" s="36"/>
      <c r="AX9" s="36"/>
      <c r="AY9" s="36"/>
      <c r="AZ9" s="36"/>
      <c r="BA9" s="36"/>
      <c r="BB9" s="36"/>
      <c r="BC9" s="36"/>
      <c r="BD9" s="50"/>
    </row>
    <row r="10" spans="1:56" ht="14.4" customHeight="1">
      <c r="A10" s="37">
        <f>IF(B10="","",COUNTA($B$8:B10))</f>
        <v>3</v>
      </c>
      <c r="B10" s="35" t="s">
        <v>1693</v>
      </c>
      <c r="C10" s="34"/>
      <c r="D10" s="34"/>
      <c r="E10" s="34"/>
      <c r="F10" s="34"/>
      <c r="G10" s="34"/>
      <c r="H10" s="34"/>
      <c r="I10" s="35" t="s">
        <v>1319</v>
      </c>
      <c r="J10" s="27"/>
      <c r="K10" s="27"/>
      <c r="L10" s="27"/>
      <c r="M10" s="27"/>
      <c r="N10" s="27"/>
      <c r="O10" s="27"/>
      <c r="P10" s="27"/>
      <c r="Q10" s="27"/>
      <c r="R10" s="35" t="s">
        <v>1693</v>
      </c>
      <c r="S10" s="34"/>
      <c r="T10" s="34"/>
      <c r="U10" s="34"/>
      <c r="V10" s="34"/>
      <c r="W10" s="34"/>
      <c r="X10" s="34"/>
      <c r="Y10" s="589" t="s">
        <v>1618</v>
      </c>
      <c r="Z10" s="636"/>
      <c r="AA10" s="591" t="s">
        <v>1619</v>
      </c>
      <c r="AB10" s="592"/>
      <c r="AC10" s="593"/>
      <c r="AD10" s="53">
        <v>8</v>
      </c>
      <c r="AE10" s="25"/>
      <c r="AF10" s="25"/>
      <c r="AG10" s="25"/>
      <c r="AH10" s="25"/>
      <c r="AI10" s="25"/>
      <c r="AJ10" s="25"/>
      <c r="AK10" s="25"/>
      <c r="AL10" s="25"/>
      <c r="AM10" s="25"/>
      <c r="AN10" s="25"/>
      <c r="AO10" s="25"/>
      <c r="AP10" s="25"/>
      <c r="AQ10" s="25"/>
      <c r="AR10" s="25"/>
      <c r="AS10" s="35"/>
      <c r="AT10" s="36"/>
      <c r="AU10" s="36"/>
      <c r="AV10" s="36"/>
      <c r="AW10" s="36"/>
      <c r="AX10" s="36"/>
      <c r="AY10" s="36"/>
      <c r="AZ10" s="36"/>
      <c r="BA10" s="36"/>
      <c r="BB10" s="36"/>
      <c r="BC10" s="36"/>
      <c r="BD10" s="50"/>
    </row>
    <row r="11" spans="1:56" ht="14.4" customHeight="1">
      <c r="A11" s="37">
        <f>IF(B11="","",COUNTA($B$8:B11))</f>
        <v>4</v>
      </c>
      <c r="B11" s="35" t="s">
        <v>1696</v>
      </c>
      <c r="C11" s="34"/>
      <c r="D11" s="34"/>
      <c r="E11" s="34"/>
      <c r="F11" s="34"/>
      <c r="G11" s="34"/>
      <c r="H11" s="34"/>
      <c r="I11" s="35" t="s">
        <v>1320</v>
      </c>
      <c r="J11" s="27"/>
      <c r="K11" s="27"/>
      <c r="L11" s="27"/>
      <c r="M11" s="27"/>
      <c r="N11" s="27"/>
      <c r="O11" s="27"/>
      <c r="P11" s="27"/>
      <c r="Q11" s="27"/>
      <c r="R11" s="35" t="s">
        <v>1696</v>
      </c>
      <c r="S11" s="34"/>
      <c r="T11" s="34"/>
      <c r="U11" s="34"/>
      <c r="V11" s="34"/>
      <c r="W11" s="34"/>
      <c r="X11" s="34"/>
      <c r="Y11" s="589" t="s">
        <v>1618</v>
      </c>
      <c r="Z11" s="636"/>
      <c r="AA11" s="591" t="s">
        <v>1619</v>
      </c>
      <c r="AB11" s="592"/>
      <c r="AC11" s="593"/>
      <c r="AD11" s="53">
        <v>8</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6" ht="14.4" customHeight="1">
      <c r="A12" s="37">
        <f>IF(B12="","",COUNTA($B$8:B12))</f>
        <v>5</v>
      </c>
      <c r="B12" s="35" t="s">
        <v>1617</v>
      </c>
      <c r="C12" s="34"/>
      <c r="D12" s="34"/>
      <c r="E12" s="34"/>
      <c r="F12" s="34"/>
      <c r="G12" s="34"/>
      <c r="H12" s="34"/>
      <c r="I12" s="35" t="s">
        <v>1323</v>
      </c>
      <c r="J12" s="27"/>
      <c r="K12" s="27"/>
      <c r="L12" s="27"/>
      <c r="M12" s="27"/>
      <c r="N12" s="27"/>
      <c r="O12" s="27"/>
      <c r="P12" s="27"/>
      <c r="Q12" s="27"/>
      <c r="R12" s="35" t="s">
        <v>1617</v>
      </c>
      <c r="S12" s="34"/>
      <c r="T12" s="34"/>
      <c r="U12" s="34"/>
      <c r="V12" s="34"/>
      <c r="W12" s="34"/>
      <c r="X12" s="34"/>
      <c r="Y12" s="589" t="s">
        <v>1618</v>
      </c>
      <c r="Z12" s="636"/>
      <c r="AA12" s="591" t="s">
        <v>1619</v>
      </c>
      <c r="AB12" s="592"/>
      <c r="AC12" s="593"/>
      <c r="AD12" s="53">
        <v>8</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6" ht="14.4" customHeight="1">
      <c r="A13" s="37">
        <f>IF(B13="","",COUNTA($B$8:B13))</f>
        <v>6</v>
      </c>
      <c r="B13" s="35" t="s">
        <v>1695</v>
      </c>
      <c r="C13" s="34"/>
      <c r="D13" s="34"/>
      <c r="E13" s="34"/>
      <c r="F13" s="34"/>
      <c r="G13" s="34"/>
      <c r="H13" s="34"/>
      <c r="I13" s="35" t="s">
        <v>1321</v>
      </c>
      <c r="J13" s="27"/>
      <c r="K13" s="27"/>
      <c r="L13" s="27"/>
      <c r="M13" s="27"/>
      <c r="N13" s="27"/>
      <c r="O13" s="27"/>
      <c r="P13" s="27"/>
      <c r="Q13" s="27"/>
      <c r="R13" s="35" t="s">
        <v>1695</v>
      </c>
      <c r="S13" s="34"/>
      <c r="T13" s="34"/>
      <c r="U13" s="34"/>
      <c r="V13" s="34"/>
      <c r="W13" s="34"/>
      <c r="X13" s="34"/>
      <c r="Y13" s="589" t="s">
        <v>1618</v>
      </c>
      <c r="Z13" s="636"/>
      <c r="AA13" s="591" t="s">
        <v>1619</v>
      </c>
      <c r="AB13" s="592"/>
      <c r="AC13" s="593"/>
      <c r="AD13" s="53">
        <v>1</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6" ht="14.4" customHeight="1">
      <c r="A14" s="37">
        <f>IF(B14="","",COUNTA($B$8:B14))</f>
        <v>7</v>
      </c>
      <c r="B14" s="17" t="s">
        <v>1302</v>
      </c>
      <c r="C14" s="34"/>
      <c r="D14" s="34"/>
      <c r="E14" s="34"/>
      <c r="F14" s="34"/>
      <c r="G14" s="34"/>
      <c r="H14" s="34"/>
      <c r="I14" s="26" t="s">
        <v>1703</v>
      </c>
      <c r="J14" s="27"/>
      <c r="K14" s="27"/>
      <c r="L14" s="27"/>
      <c r="M14" s="27"/>
      <c r="N14" s="27"/>
      <c r="O14" s="27"/>
      <c r="P14" s="27"/>
      <c r="Q14" s="27"/>
      <c r="R14" s="17" t="s">
        <v>1704</v>
      </c>
      <c r="S14" s="34"/>
      <c r="T14" s="34"/>
      <c r="U14" s="34"/>
      <c r="V14" s="34"/>
      <c r="W14" s="34"/>
      <c r="X14" s="34"/>
      <c r="Y14" s="589" t="s">
        <v>1618</v>
      </c>
      <c r="Z14" s="590"/>
      <c r="AA14" s="591" t="s">
        <v>1619</v>
      </c>
      <c r="AB14" s="592"/>
      <c r="AC14" s="593"/>
      <c r="AD14" s="23">
        <v>10</v>
      </c>
      <c r="AE14" s="25"/>
      <c r="AF14" s="25"/>
      <c r="AG14" s="25"/>
      <c r="AH14" s="25"/>
      <c r="AI14" s="25"/>
      <c r="AJ14" s="25"/>
      <c r="AK14" s="25"/>
      <c r="AL14" s="25"/>
      <c r="AM14" s="25"/>
      <c r="AN14" s="25"/>
      <c r="AO14" s="25"/>
      <c r="AP14" s="25"/>
      <c r="AQ14" s="25"/>
      <c r="AR14" s="25"/>
      <c r="AS14" s="26"/>
      <c r="AT14" s="51"/>
      <c r="AU14" s="51"/>
      <c r="AV14" s="51"/>
      <c r="AW14" s="51"/>
      <c r="AX14" s="51"/>
      <c r="AY14" s="51"/>
      <c r="AZ14" s="51"/>
      <c r="BA14" s="51"/>
      <c r="BB14" s="51"/>
      <c r="BC14" s="51"/>
      <c r="BD14" s="52"/>
    </row>
    <row r="15" spans="1:56" ht="14.4" customHeight="1">
      <c r="A15" s="37">
        <f>IF(B15="","",COUNTA($B$8:B15))</f>
        <v>8</v>
      </c>
      <c r="B15" s="17" t="s">
        <v>1705</v>
      </c>
      <c r="C15" s="34"/>
      <c r="D15" s="34"/>
      <c r="E15" s="34"/>
      <c r="F15" s="34"/>
      <c r="G15" s="34"/>
      <c r="H15" s="34"/>
      <c r="I15" s="26" t="s">
        <v>1703</v>
      </c>
      <c r="J15" s="27"/>
      <c r="K15" s="27"/>
      <c r="L15" s="27"/>
      <c r="M15" s="27"/>
      <c r="N15" s="27"/>
      <c r="O15" s="27"/>
      <c r="P15" s="27"/>
      <c r="Q15" s="27"/>
      <c r="R15" s="17" t="s">
        <v>1705</v>
      </c>
      <c r="S15" s="34"/>
      <c r="T15" s="34"/>
      <c r="U15" s="34"/>
      <c r="V15" s="34"/>
      <c r="W15" s="34"/>
      <c r="X15" s="34"/>
      <c r="Y15" s="589" t="s">
        <v>1618</v>
      </c>
      <c r="Z15" s="590"/>
      <c r="AA15" s="591" t="s">
        <v>1619</v>
      </c>
      <c r="AB15" s="592"/>
      <c r="AC15" s="593"/>
      <c r="AD15" s="23">
        <v>10</v>
      </c>
      <c r="AE15" s="25"/>
      <c r="AF15" s="25"/>
      <c r="AG15" s="25"/>
      <c r="AH15" s="25"/>
      <c r="AI15" s="25"/>
      <c r="AJ15" s="25"/>
      <c r="AK15" s="25"/>
      <c r="AL15" s="25"/>
      <c r="AM15" s="25"/>
      <c r="AN15" s="25"/>
      <c r="AO15" s="25"/>
      <c r="AP15" s="25"/>
      <c r="AQ15" s="25"/>
      <c r="AR15" s="25"/>
      <c r="AS15" s="26"/>
      <c r="AT15" s="51"/>
      <c r="AU15" s="51"/>
      <c r="AV15" s="51"/>
      <c r="AW15" s="51"/>
      <c r="AX15" s="51"/>
      <c r="AY15" s="51"/>
      <c r="AZ15" s="51"/>
      <c r="BA15" s="51"/>
      <c r="BB15" s="51"/>
      <c r="BC15" s="51"/>
      <c r="BD15" s="52"/>
    </row>
    <row r="16" spans="1:56" ht="14.4" customHeight="1">
      <c r="A16" s="37">
        <f>IF(B16="","",COUNTA($B$8:B16))</f>
        <v>9</v>
      </c>
      <c r="B16" s="17" t="s">
        <v>1706</v>
      </c>
      <c r="C16" s="34"/>
      <c r="D16" s="34"/>
      <c r="E16" s="34"/>
      <c r="F16" s="34"/>
      <c r="G16" s="34"/>
      <c r="H16" s="34"/>
      <c r="I16" s="26" t="s">
        <v>1707</v>
      </c>
      <c r="J16" s="27"/>
      <c r="K16" s="27"/>
      <c r="L16" s="27"/>
      <c r="M16" s="27"/>
      <c r="N16" s="27"/>
      <c r="O16" s="27"/>
      <c r="P16" s="27"/>
      <c r="Q16" s="27"/>
      <c r="R16" s="17" t="s">
        <v>1706</v>
      </c>
      <c r="S16" s="34"/>
      <c r="T16" s="34"/>
      <c r="U16" s="34"/>
      <c r="V16" s="34"/>
      <c r="W16" s="34"/>
      <c r="X16" s="34"/>
      <c r="Y16" s="589" t="s">
        <v>1639</v>
      </c>
      <c r="Z16" s="590"/>
      <c r="AA16" s="591" t="s">
        <v>1640</v>
      </c>
      <c r="AB16" s="592"/>
      <c r="AC16" s="593"/>
      <c r="AD16" s="38"/>
      <c r="AE16" s="25"/>
      <c r="AF16" s="25"/>
      <c r="AG16" s="25"/>
      <c r="AH16" s="25"/>
      <c r="AI16" s="25"/>
      <c r="AJ16" s="25"/>
      <c r="AK16" s="25"/>
      <c r="AL16" s="25"/>
      <c r="AM16" s="25"/>
      <c r="AN16" s="25"/>
      <c r="AO16" s="25"/>
      <c r="AP16" s="25"/>
      <c r="AQ16" s="25"/>
      <c r="AR16" s="25"/>
      <c r="AS16" s="26"/>
      <c r="AT16" s="51"/>
      <c r="AU16" s="51"/>
      <c r="AV16" s="51"/>
      <c r="AW16" s="51"/>
      <c r="AX16" s="51"/>
      <c r="AY16" s="51"/>
      <c r="AZ16" s="51"/>
      <c r="BA16" s="51"/>
      <c r="BB16" s="51"/>
      <c r="BC16" s="51"/>
      <c r="BD16" s="52"/>
    </row>
    <row r="17" spans="1:56" ht="14.4" customHeight="1">
      <c r="A17" s="37">
        <f>IF(B17="","",COUNTA($B$8:B17))</f>
        <v>10</v>
      </c>
      <c r="B17" s="17" t="s">
        <v>1306</v>
      </c>
      <c r="C17" s="34"/>
      <c r="D17" s="34"/>
      <c r="E17" s="34"/>
      <c r="F17" s="34"/>
      <c r="G17" s="34"/>
      <c r="H17" s="34"/>
      <c r="I17" s="26" t="s">
        <v>1633</v>
      </c>
      <c r="J17" s="27"/>
      <c r="K17" s="27"/>
      <c r="L17" s="27"/>
      <c r="M17" s="27"/>
      <c r="N17" s="27"/>
      <c r="O17" s="27"/>
      <c r="P17" s="27"/>
      <c r="Q17" s="27"/>
      <c r="R17" s="17" t="s">
        <v>1634</v>
      </c>
      <c r="S17" s="34"/>
      <c r="T17" s="34"/>
      <c r="U17" s="34"/>
      <c r="V17" s="34"/>
      <c r="W17" s="34"/>
      <c r="X17" s="34"/>
      <c r="Y17" s="589" t="s">
        <v>1618</v>
      </c>
      <c r="Z17" s="590"/>
      <c r="AA17" s="591" t="s">
        <v>1619</v>
      </c>
      <c r="AB17" s="592"/>
      <c r="AC17" s="593"/>
      <c r="AD17" s="23">
        <v>10</v>
      </c>
      <c r="AE17" s="25"/>
      <c r="AF17" s="25"/>
      <c r="AG17" s="25"/>
      <c r="AH17" s="25"/>
      <c r="AI17" s="25"/>
      <c r="AJ17" s="25"/>
      <c r="AK17" s="25"/>
      <c r="AL17" s="25"/>
      <c r="AM17" s="25"/>
      <c r="AN17" s="25"/>
      <c r="AO17" s="25"/>
      <c r="AP17" s="25"/>
      <c r="AQ17" s="25"/>
      <c r="AR17" s="25"/>
      <c r="AS17" s="26"/>
      <c r="AT17" s="51"/>
      <c r="AU17" s="51"/>
      <c r="AV17" s="51"/>
      <c r="AW17" s="51"/>
      <c r="AX17" s="51"/>
      <c r="AY17" s="51"/>
      <c r="AZ17" s="51"/>
      <c r="BA17" s="51"/>
      <c r="BB17" s="51"/>
      <c r="BC17" s="51"/>
      <c r="BD17" s="52"/>
    </row>
    <row r="18" spans="1:56" ht="14.4" customHeight="1">
      <c r="A18" s="37">
        <f>IF(B18="","",COUNTA($B$8:B18))</f>
        <v>11</v>
      </c>
      <c r="B18" s="17" t="s">
        <v>1635</v>
      </c>
      <c r="C18" s="18"/>
      <c r="D18" s="18"/>
      <c r="E18" s="18"/>
      <c r="F18" s="18"/>
      <c r="G18" s="18"/>
      <c r="H18" s="18"/>
      <c r="I18" s="26" t="s">
        <v>1636</v>
      </c>
      <c r="J18" s="20"/>
      <c r="K18" s="20"/>
      <c r="L18" s="20"/>
      <c r="M18" s="20"/>
      <c r="N18" s="20"/>
      <c r="O18" s="20"/>
      <c r="P18" s="20"/>
      <c r="Q18" s="20"/>
      <c r="R18" s="17" t="s">
        <v>1635</v>
      </c>
      <c r="S18" s="18"/>
      <c r="T18" s="18"/>
      <c r="U18" s="18"/>
      <c r="V18" s="18"/>
      <c r="W18" s="18"/>
      <c r="X18" s="18"/>
      <c r="Y18" s="589" t="s">
        <v>1618</v>
      </c>
      <c r="Z18" s="590"/>
      <c r="AA18" s="591" t="s">
        <v>1619</v>
      </c>
      <c r="AB18" s="592"/>
      <c r="AC18" s="593"/>
      <c r="AD18" s="38">
        <v>10</v>
      </c>
      <c r="AE18" s="30" t="s">
        <v>1585</v>
      </c>
      <c r="AF18" s="30"/>
      <c r="AG18" s="30"/>
      <c r="AH18" s="30"/>
      <c r="AI18" s="30"/>
      <c r="AJ18" s="30"/>
      <c r="AK18" s="30"/>
      <c r="AL18" s="30"/>
      <c r="AM18" s="30"/>
      <c r="AN18" s="30"/>
      <c r="AO18" s="31"/>
      <c r="AP18" s="31"/>
      <c r="AQ18" s="31"/>
      <c r="AR18" s="31"/>
      <c r="AS18" s="32"/>
      <c r="AT18" s="33"/>
      <c r="AU18" s="51"/>
      <c r="AV18" s="51"/>
      <c r="AW18" s="51"/>
      <c r="AX18" s="51"/>
      <c r="AY18" s="51"/>
      <c r="AZ18" s="51"/>
      <c r="BA18" s="51"/>
      <c r="BB18" s="51"/>
      <c r="BC18" s="51"/>
      <c r="BD18" s="52"/>
    </row>
    <row r="19" spans="1:56" ht="14.4" customHeight="1">
      <c r="A19" s="37">
        <f>IF(B19="","",COUNTA($B$8:B19))</f>
        <v>12</v>
      </c>
      <c r="B19" s="17" t="s">
        <v>1637</v>
      </c>
      <c r="C19" s="18"/>
      <c r="D19" s="18"/>
      <c r="E19" s="18"/>
      <c r="F19" s="18"/>
      <c r="G19" s="18"/>
      <c r="H19" s="18"/>
      <c r="I19" s="26" t="s">
        <v>1638</v>
      </c>
      <c r="J19" s="20"/>
      <c r="K19" s="20"/>
      <c r="L19" s="20"/>
      <c r="M19" s="20"/>
      <c r="N19" s="20"/>
      <c r="O19" s="20"/>
      <c r="P19" s="20"/>
      <c r="Q19" s="20"/>
      <c r="R19" s="17" t="s">
        <v>1637</v>
      </c>
      <c r="S19" s="18"/>
      <c r="T19" s="18"/>
      <c r="U19" s="18"/>
      <c r="V19" s="18"/>
      <c r="W19" s="18"/>
      <c r="X19" s="18"/>
      <c r="Y19" s="589" t="s">
        <v>1639</v>
      </c>
      <c r="Z19" s="590"/>
      <c r="AA19" s="591" t="s">
        <v>1640</v>
      </c>
      <c r="AB19" s="592"/>
      <c r="AC19" s="593"/>
      <c r="AD19" s="38"/>
      <c r="AE19" s="30" t="s">
        <v>1585</v>
      </c>
      <c r="AF19" s="30"/>
      <c r="AG19" s="30"/>
      <c r="AH19" s="30"/>
      <c r="AI19" s="30"/>
      <c r="AJ19" s="30"/>
      <c r="AK19" s="30"/>
      <c r="AL19" s="30"/>
      <c r="AM19" s="30"/>
      <c r="AN19" s="30"/>
      <c r="AO19" s="31"/>
      <c r="AP19" s="31"/>
      <c r="AQ19" s="31"/>
      <c r="AR19" s="31"/>
      <c r="AS19" s="32"/>
      <c r="AT19" s="33"/>
      <c r="AU19" s="51"/>
      <c r="AV19" s="51"/>
      <c r="AW19" s="51"/>
      <c r="AX19" s="51"/>
      <c r="AY19" s="51"/>
      <c r="AZ19" s="51"/>
      <c r="BA19" s="51"/>
      <c r="BB19" s="51"/>
      <c r="BC19" s="51"/>
      <c r="BD19" s="52"/>
    </row>
    <row r="20" spans="1:56" ht="14.4" customHeight="1">
      <c r="A20" s="37" t="str">
        <f>IF(B20="","",COUNTA($B$8:B20))</f>
        <v/>
      </c>
      <c r="B20" s="17"/>
      <c r="C20" s="18"/>
      <c r="D20" s="18"/>
      <c r="E20" s="18"/>
      <c r="F20" s="18"/>
      <c r="G20" s="18"/>
      <c r="H20" s="18"/>
      <c r="I20" s="19"/>
      <c r="J20" s="20"/>
      <c r="K20" s="20"/>
      <c r="L20" s="20"/>
      <c r="M20" s="20"/>
      <c r="N20" s="20"/>
      <c r="O20" s="20"/>
      <c r="P20" s="20"/>
      <c r="Q20" s="20"/>
      <c r="R20" s="17"/>
      <c r="S20" s="18"/>
      <c r="T20" s="18"/>
      <c r="U20" s="18"/>
      <c r="V20" s="18"/>
      <c r="W20" s="18"/>
      <c r="X20" s="18"/>
      <c r="Y20" s="17"/>
      <c r="Z20" s="28"/>
      <c r="AA20" s="21"/>
      <c r="AB20" s="22"/>
      <c r="AC20" s="29"/>
      <c r="AD20" s="38"/>
      <c r="AE20" s="30"/>
      <c r="AF20" s="30"/>
      <c r="AG20" s="30"/>
      <c r="AH20" s="30"/>
      <c r="AI20" s="30"/>
      <c r="AJ20" s="30"/>
      <c r="AK20" s="30"/>
      <c r="AL20" s="30"/>
      <c r="AM20" s="30"/>
      <c r="AN20" s="30"/>
      <c r="AO20" s="31"/>
      <c r="AP20" s="31"/>
      <c r="AQ20" s="31"/>
      <c r="AR20" s="31"/>
      <c r="AS20" s="32"/>
      <c r="AT20" s="33"/>
      <c r="AU20" s="51"/>
      <c r="AV20" s="51"/>
      <c r="AW20" s="51"/>
      <c r="AX20" s="51"/>
      <c r="AY20" s="51"/>
      <c r="AZ20" s="51"/>
      <c r="BA20" s="51"/>
      <c r="BB20" s="51"/>
      <c r="BC20" s="51"/>
      <c r="BD20" s="52"/>
    </row>
    <row r="21" spans="1:56" ht="14.4" customHeight="1">
      <c r="A21" s="37" t="str">
        <f>IF(B21="","",COUNTA($B$8:B21))</f>
        <v/>
      </c>
      <c r="B21" s="17"/>
      <c r="C21" s="18"/>
      <c r="D21" s="18"/>
      <c r="E21" s="18"/>
      <c r="F21" s="18"/>
      <c r="G21" s="18"/>
      <c r="H21" s="18"/>
      <c r="I21" s="19"/>
      <c r="J21" s="20"/>
      <c r="K21" s="20"/>
      <c r="L21" s="20"/>
      <c r="M21" s="20"/>
      <c r="N21" s="20"/>
      <c r="O21" s="20"/>
      <c r="P21" s="20"/>
      <c r="Q21" s="20"/>
      <c r="R21" s="17"/>
      <c r="S21" s="18"/>
      <c r="T21" s="18"/>
      <c r="U21" s="18"/>
      <c r="V21" s="18"/>
      <c r="W21" s="18"/>
      <c r="X21" s="18"/>
      <c r="Y21" s="17"/>
      <c r="Z21" s="28"/>
      <c r="AA21" s="21"/>
      <c r="AB21" s="22"/>
      <c r="AC21" s="29"/>
      <c r="AD21" s="38"/>
      <c r="AE21" s="30"/>
      <c r="AF21" s="30"/>
      <c r="AG21" s="30"/>
      <c r="AH21" s="30"/>
      <c r="AI21" s="30"/>
      <c r="AJ21" s="30"/>
      <c r="AK21" s="30"/>
      <c r="AL21" s="30"/>
      <c r="AM21" s="30"/>
      <c r="AN21" s="30"/>
      <c r="AO21" s="31"/>
      <c r="AP21" s="31"/>
      <c r="AQ21" s="31"/>
      <c r="AR21" s="31"/>
      <c r="AS21" s="32"/>
      <c r="AT21" s="33"/>
      <c r="AU21" s="51"/>
      <c r="AV21" s="51"/>
      <c r="AW21" s="51"/>
      <c r="AX21" s="51"/>
      <c r="AY21" s="51"/>
      <c r="AZ21" s="51"/>
      <c r="BA21" s="51"/>
      <c r="BB21" s="51"/>
      <c r="BC21" s="51"/>
      <c r="BD21" s="52"/>
    </row>
    <row r="22" spans="1:56" ht="14.4" customHeight="1">
      <c r="A22" s="37" t="str">
        <f>IF(B22="","",COUNTA($B$8:B22))</f>
        <v/>
      </c>
      <c r="B22" s="17"/>
      <c r="C22" s="18"/>
      <c r="D22" s="18"/>
      <c r="E22" s="18"/>
      <c r="F22" s="18"/>
      <c r="G22" s="18"/>
      <c r="H22" s="18"/>
      <c r="I22" s="19"/>
      <c r="J22" s="20"/>
      <c r="K22" s="20"/>
      <c r="L22" s="20"/>
      <c r="M22" s="20"/>
      <c r="N22" s="20"/>
      <c r="O22" s="20"/>
      <c r="P22" s="20"/>
      <c r="Q22" s="20"/>
      <c r="R22" s="17"/>
      <c r="S22" s="18"/>
      <c r="T22" s="18"/>
      <c r="U22" s="18"/>
      <c r="V22" s="18"/>
      <c r="W22" s="18"/>
      <c r="X22" s="18"/>
      <c r="Y22" s="17"/>
      <c r="Z22" s="28"/>
      <c r="AA22" s="21"/>
      <c r="AB22" s="22"/>
      <c r="AC22" s="29"/>
      <c r="AD22" s="38"/>
      <c r="AE22" s="30"/>
      <c r="AF22" s="30"/>
      <c r="AG22" s="30"/>
      <c r="AH22" s="30"/>
      <c r="AI22" s="30"/>
      <c r="AJ22" s="30"/>
      <c r="AK22" s="30"/>
      <c r="AL22" s="30"/>
      <c r="AM22" s="30"/>
      <c r="AN22" s="30"/>
      <c r="AO22" s="31"/>
      <c r="AP22" s="31"/>
      <c r="AQ22" s="31"/>
      <c r="AR22" s="31"/>
      <c r="AS22" s="32"/>
      <c r="AT22" s="33"/>
      <c r="AU22" s="51"/>
      <c r="AV22" s="51"/>
      <c r="AW22" s="51"/>
      <c r="AX22" s="51"/>
      <c r="AY22" s="51"/>
      <c r="AZ22" s="51"/>
      <c r="BA22" s="51"/>
      <c r="BB22" s="51"/>
      <c r="BC22" s="51"/>
      <c r="BD22" s="52"/>
    </row>
    <row r="23" spans="1:56" ht="14.4" customHeight="1">
      <c r="A23" s="37" t="str">
        <f>IF(B23="","",COUNTA($B$8:B23))</f>
        <v/>
      </c>
      <c r="B23" s="17"/>
      <c r="C23" s="18"/>
      <c r="D23" s="18"/>
      <c r="E23" s="18"/>
      <c r="F23" s="18"/>
      <c r="G23" s="18"/>
      <c r="H23" s="18"/>
      <c r="I23" s="19"/>
      <c r="J23" s="20"/>
      <c r="K23" s="20"/>
      <c r="L23" s="20"/>
      <c r="M23" s="20"/>
      <c r="N23" s="20"/>
      <c r="O23" s="20"/>
      <c r="P23" s="20"/>
      <c r="Q23" s="20"/>
      <c r="R23" s="17"/>
      <c r="S23" s="18"/>
      <c r="T23" s="18"/>
      <c r="U23" s="18"/>
      <c r="V23" s="18"/>
      <c r="W23" s="18"/>
      <c r="X23" s="18"/>
      <c r="Y23" s="17"/>
      <c r="Z23" s="28"/>
      <c r="AA23" s="21"/>
      <c r="AB23" s="22"/>
      <c r="AC23" s="29"/>
      <c r="AD23" s="38"/>
      <c r="AE23" s="30"/>
      <c r="AF23" s="30"/>
      <c r="AG23" s="30"/>
      <c r="AH23" s="30"/>
      <c r="AI23" s="30"/>
      <c r="AJ23" s="30"/>
      <c r="AK23" s="30"/>
      <c r="AL23" s="30"/>
      <c r="AM23" s="30"/>
      <c r="AN23" s="30"/>
      <c r="AO23" s="31"/>
      <c r="AP23" s="31"/>
      <c r="AQ23" s="31"/>
      <c r="AR23" s="31"/>
      <c r="AS23" s="32"/>
      <c r="AT23" s="33"/>
      <c r="AU23" s="51"/>
      <c r="AV23" s="51"/>
      <c r="AW23" s="51"/>
      <c r="AX23" s="51"/>
      <c r="AY23" s="51"/>
      <c r="AZ23" s="51"/>
      <c r="BA23" s="51"/>
      <c r="BB23" s="51"/>
      <c r="BC23" s="51"/>
      <c r="BD23" s="52"/>
    </row>
    <row r="24" spans="1:56" ht="14.4" customHeight="1">
      <c r="A24" s="37" t="str">
        <f>IF(B24="","",COUNTA($B$8:B24))</f>
        <v/>
      </c>
      <c r="B24" s="17"/>
      <c r="C24" s="18"/>
      <c r="D24" s="18"/>
      <c r="E24" s="18"/>
      <c r="F24" s="18"/>
      <c r="G24" s="18"/>
      <c r="H24" s="18"/>
      <c r="I24" s="19"/>
      <c r="J24" s="20"/>
      <c r="K24" s="20"/>
      <c r="L24" s="20"/>
      <c r="M24" s="20"/>
      <c r="N24" s="20"/>
      <c r="O24" s="20"/>
      <c r="P24" s="20"/>
      <c r="Q24" s="20"/>
      <c r="R24" s="17"/>
      <c r="S24" s="18"/>
      <c r="T24" s="18"/>
      <c r="U24" s="18"/>
      <c r="V24" s="18"/>
      <c r="W24" s="18"/>
      <c r="X24" s="18"/>
      <c r="Y24" s="17"/>
      <c r="Z24" s="28"/>
      <c r="AA24" s="21"/>
      <c r="AB24" s="22"/>
      <c r="AC24" s="29"/>
      <c r="AD24" s="38"/>
      <c r="AE24" s="30"/>
      <c r="AF24" s="30"/>
      <c r="AG24" s="30"/>
      <c r="AH24" s="30"/>
      <c r="AI24" s="30"/>
      <c r="AJ24" s="30"/>
      <c r="AK24" s="30"/>
      <c r="AL24" s="30"/>
      <c r="AM24" s="30"/>
      <c r="AN24" s="30"/>
      <c r="AO24" s="31"/>
      <c r="AP24" s="31"/>
      <c r="AQ24" s="31"/>
      <c r="AR24" s="31"/>
      <c r="AS24" s="32"/>
      <c r="AT24" s="33"/>
      <c r="AU24" s="51"/>
      <c r="AV24" s="51"/>
      <c r="AW24" s="51"/>
      <c r="AX24" s="51"/>
      <c r="AY24" s="51"/>
      <c r="AZ24" s="51"/>
      <c r="BA24" s="51"/>
      <c r="BB24" s="51"/>
      <c r="BC24" s="51"/>
      <c r="BD24" s="52"/>
    </row>
    <row r="25" spans="1:56" ht="14.4" customHeight="1">
      <c r="A25" s="37" t="str">
        <f>IF(B25="","",COUNTA($B$8:B25))</f>
        <v/>
      </c>
      <c r="B25" s="17"/>
      <c r="C25" s="18"/>
      <c r="D25" s="18"/>
      <c r="E25" s="18"/>
      <c r="F25" s="18"/>
      <c r="G25" s="18"/>
      <c r="H25" s="18"/>
      <c r="I25" s="19"/>
      <c r="J25" s="20"/>
      <c r="K25" s="20"/>
      <c r="L25" s="20"/>
      <c r="M25" s="20"/>
      <c r="N25" s="20"/>
      <c r="O25" s="20"/>
      <c r="P25" s="20"/>
      <c r="Q25" s="20"/>
      <c r="R25" s="17"/>
      <c r="S25" s="18"/>
      <c r="T25" s="18"/>
      <c r="U25" s="18"/>
      <c r="V25" s="18"/>
      <c r="W25" s="18"/>
      <c r="X25" s="18"/>
      <c r="Y25" s="17"/>
      <c r="Z25" s="28"/>
      <c r="AA25" s="21"/>
      <c r="AB25" s="22"/>
      <c r="AC25" s="29"/>
      <c r="AD25" s="38"/>
      <c r="AE25" s="30"/>
      <c r="AF25" s="30"/>
      <c r="AG25" s="30"/>
      <c r="AH25" s="30"/>
      <c r="AI25" s="30"/>
      <c r="AJ25" s="30"/>
      <c r="AK25" s="30"/>
      <c r="AL25" s="30"/>
      <c r="AM25" s="30"/>
      <c r="AN25" s="30"/>
      <c r="AO25" s="31"/>
      <c r="AP25" s="31"/>
      <c r="AQ25" s="31"/>
      <c r="AR25" s="31"/>
      <c r="AS25" s="32"/>
      <c r="AT25" s="33"/>
      <c r="AU25" s="51"/>
      <c r="AV25" s="51"/>
      <c r="AW25" s="51"/>
      <c r="AX25" s="51"/>
      <c r="AY25" s="51"/>
      <c r="AZ25" s="51"/>
      <c r="BA25" s="51"/>
      <c r="BB25" s="51"/>
      <c r="BC25" s="51"/>
      <c r="BD25" s="52"/>
    </row>
    <row r="26" spans="1:56" ht="14.4" customHeight="1">
      <c r="A26" s="37" t="str">
        <f>IF(B26="","",COUNTA($B$8:B26))</f>
        <v/>
      </c>
      <c r="B26" s="17"/>
      <c r="C26" s="18"/>
      <c r="D26" s="18"/>
      <c r="E26" s="18"/>
      <c r="F26" s="18"/>
      <c r="G26" s="18"/>
      <c r="H26" s="18"/>
      <c r="I26" s="19"/>
      <c r="J26" s="20"/>
      <c r="K26" s="20"/>
      <c r="L26" s="20"/>
      <c r="M26" s="20"/>
      <c r="N26" s="20"/>
      <c r="O26" s="20"/>
      <c r="P26" s="20"/>
      <c r="Q26" s="20"/>
      <c r="R26" s="17"/>
      <c r="S26" s="18"/>
      <c r="T26" s="18"/>
      <c r="U26" s="18"/>
      <c r="V26" s="18"/>
      <c r="W26" s="18"/>
      <c r="X26" s="18"/>
      <c r="Y26" s="17"/>
      <c r="Z26" s="28"/>
      <c r="AA26" s="21"/>
      <c r="AB26" s="22"/>
      <c r="AC26" s="29"/>
      <c r="AD26" s="38"/>
      <c r="AE26" s="30"/>
      <c r="AF26" s="30"/>
      <c r="AG26" s="30"/>
      <c r="AH26" s="30"/>
      <c r="AI26" s="30"/>
      <c r="AJ26" s="30"/>
      <c r="AK26" s="30"/>
      <c r="AL26" s="30"/>
      <c r="AM26" s="30"/>
      <c r="AN26" s="30"/>
      <c r="AO26" s="31"/>
      <c r="AP26" s="31"/>
      <c r="AQ26" s="31"/>
      <c r="AR26" s="31"/>
      <c r="AS26" s="32"/>
      <c r="AT26" s="33"/>
      <c r="AU26" s="51"/>
      <c r="AV26" s="51"/>
      <c r="AW26" s="51"/>
      <c r="AX26" s="51"/>
      <c r="AY26" s="51"/>
      <c r="AZ26" s="51"/>
      <c r="BA26" s="51"/>
      <c r="BB26" s="51"/>
      <c r="BC26" s="51"/>
      <c r="BD26" s="52"/>
    </row>
    <row r="27" spans="1:56" ht="14.4" customHeight="1">
      <c r="A27" s="37" t="str">
        <f>IF(B27="","",COUNTA($B$8:B27))</f>
        <v/>
      </c>
      <c r="B27" s="17"/>
      <c r="C27" s="18"/>
      <c r="D27" s="18"/>
      <c r="E27" s="18"/>
      <c r="F27" s="18"/>
      <c r="G27" s="18"/>
      <c r="H27" s="18"/>
      <c r="I27" s="19"/>
      <c r="J27" s="20"/>
      <c r="K27" s="20"/>
      <c r="L27" s="20"/>
      <c r="M27" s="20"/>
      <c r="N27" s="20"/>
      <c r="O27" s="20"/>
      <c r="P27" s="20"/>
      <c r="Q27" s="20"/>
      <c r="R27" s="17"/>
      <c r="S27" s="18"/>
      <c r="T27" s="18"/>
      <c r="U27" s="18"/>
      <c r="V27" s="18"/>
      <c r="W27" s="18"/>
      <c r="X27" s="18"/>
      <c r="Y27" s="17"/>
      <c r="Z27" s="28"/>
      <c r="AA27" s="21"/>
      <c r="AB27" s="22"/>
      <c r="AC27" s="29"/>
      <c r="AD27" s="38"/>
      <c r="AE27" s="30"/>
      <c r="AF27" s="30"/>
      <c r="AG27" s="30"/>
      <c r="AH27" s="30"/>
      <c r="AI27" s="30"/>
      <c r="AJ27" s="30"/>
      <c r="AK27" s="30"/>
      <c r="AL27" s="30"/>
      <c r="AM27" s="30"/>
      <c r="AN27" s="30"/>
      <c r="AO27" s="31"/>
      <c r="AP27" s="31"/>
      <c r="AQ27" s="31"/>
      <c r="AR27" s="31"/>
      <c r="AS27" s="32"/>
      <c r="AT27" s="33"/>
      <c r="AU27" s="51"/>
      <c r="AV27" s="51"/>
      <c r="AW27" s="51"/>
      <c r="AX27" s="51"/>
      <c r="AY27" s="51"/>
      <c r="AZ27" s="51"/>
      <c r="BA27" s="51"/>
      <c r="BB27" s="51"/>
      <c r="BC27" s="51"/>
      <c r="BD27" s="52"/>
    </row>
    <row r="28" spans="1:56" ht="14.4" customHeight="1">
      <c r="A28" s="37" t="str">
        <f>IF(B28="","",COUNTA($B$8:B28))</f>
        <v/>
      </c>
      <c r="B28" s="17"/>
      <c r="C28" s="18"/>
      <c r="D28" s="18"/>
      <c r="E28" s="18"/>
      <c r="F28" s="18"/>
      <c r="G28" s="18"/>
      <c r="H28" s="18"/>
      <c r="I28" s="19"/>
      <c r="J28" s="20"/>
      <c r="K28" s="20"/>
      <c r="L28" s="20"/>
      <c r="M28" s="20"/>
      <c r="N28" s="20"/>
      <c r="O28" s="20"/>
      <c r="P28" s="20"/>
      <c r="Q28" s="20"/>
      <c r="R28" s="17"/>
      <c r="S28" s="18"/>
      <c r="T28" s="18"/>
      <c r="U28" s="18"/>
      <c r="V28" s="18"/>
      <c r="W28" s="18"/>
      <c r="X28" s="18"/>
      <c r="Y28" s="17"/>
      <c r="Z28" s="28"/>
      <c r="AA28" s="21"/>
      <c r="AB28" s="22"/>
      <c r="AC28" s="29"/>
      <c r="AD28" s="38"/>
      <c r="AE28" s="30"/>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6" ht="14.4" customHeight="1">
      <c r="A29" s="37" t="str">
        <f>IF(B29="","",COUNTA($B$8:B29))</f>
        <v/>
      </c>
      <c r="B29" s="17"/>
      <c r="C29" s="18"/>
      <c r="D29" s="18"/>
      <c r="E29" s="18"/>
      <c r="F29" s="18"/>
      <c r="G29" s="18"/>
      <c r="H29" s="18"/>
      <c r="I29" s="19"/>
      <c r="J29" s="20"/>
      <c r="K29" s="20"/>
      <c r="L29" s="20"/>
      <c r="M29" s="20"/>
      <c r="N29" s="20"/>
      <c r="O29" s="20"/>
      <c r="P29" s="20"/>
      <c r="Q29" s="20"/>
      <c r="R29" s="17"/>
      <c r="S29" s="18"/>
      <c r="T29" s="18"/>
      <c r="U29" s="18"/>
      <c r="V29" s="18"/>
      <c r="W29" s="18"/>
      <c r="X29" s="18"/>
      <c r="Y29" s="17"/>
      <c r="Z29" s="28"/>
      <c r="AA29" s="21"/>
      <c r="AB29" s="22"/>
      <c r="AC29" s="29"/>
      <c r="AD29" s="38"/>
      <c r="AE29" s="30"/>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6" ht="14.4" customHeight="1">
      <c r="A30" s="37" t="str">
        <f>IF(B30="","",COUNTA($B$8:B30))</f>
        <v/>
      </c>
      <c r="B30" s="17"/>
      <c r="C30" s="18"/>
      <c r="D30" s="18"/>
      <c r="E30" s="18"/>
      <c r="F30" s="18"/>
      <c r="G30" s="18"/>
      <c r="H30" s="18"/>
      <c r="I30" s="19"/>
      <c r="J30" s="20"/>
      <c r="K30" s="20"/>
      <c r="L30" s="20"/>
      <c r="M30" s="20"/>
      <c r="N30" s="20"/>
      <c r="O30" s="20"/>
      <c r="P30" s="20"/>
      <c r="Q30" s="20"/>
      <c r="R30" s="17"/>
      <c r="S30" s="18"/>
      <c r="T30" s="18"/>
      <c r="U30" s="18"/>
      <c r="V30" s="18"/>
      <c r="W30" s="18"/>
      <c r="X30" s="18"/>
      <c r="Y30" s="17"/>
      <c r="Z30" s="28"/>
      <c r="AA30" s="21"/>
      <c r="AB30" s="22"/>
      <c r="AC30" s="29"/>
      <c r="AD30" s="38"/>
      <c r="AE30" s="30"/>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6" ht="14.4" customHeight="1">
      <c r="A31" s="37" t="str">
        <f>IF(B31="","",COUNTA($B$8:B31))</f>
        <v/>
      </c>
      <c r="B31" s="26"/>
      <c r="C31" s="34"/>
      <c r="D31" s="34"/>
      <c r="E31" s="34"/>
      <c r="F31" s="34"/>
      <c r="G31" s="34"/>
      <c r="H31" s="34"/>
      <c r="I31" s="19"/>
      <c r="J31" s="27"/>
      <c r="K31" s="27"/>
      <c r="L31" s="27"/>
      <c r="M31" s="27"/>
      <c r="N31" s="27"/>
      <c r="O31" s="27"/>
      <c r="P31" s="27"/>
      <c r="Q31" s="27"/>
      <c r="R31" s="26"/>
      <c r="S31" s="34"/>
      <c r="T31" s="34"/>
      <c r="U31" s="34"/>
      <c r="V31" s="34"/>
      <c r="W31" s="34"/>
      <c r="X31" s="34"/>
      <c r="Y31" s="589"/>
      <c r="Z31" s="590"/>
      <c r="AA31" s="591"/>
      <c r="AB31" s="592"/>
      <c r="AC31" s="593"/>
      <c r="AD31" s="38"/>
      <c r="AE31" s="25"/>
      <c r="AF31" s="25"/>
      <c r="AG31" s="25"/>
      <c r="AH31" s="25"/>
      <c r="AI31" s="25"/>
      <c r="AJ31" s="25"/>
      <c r="AK31" s="25"/>
      <c r="AL31" s="25"/>
      <c r="AM31" s="25"/>
      <c r="AN31" s="25"/>
      <c r="AO31" s="25"/>
      <c r="AP31" s="25"/>
      <c r="AQ31" s="25"/>
      <c r="AR31" s="25"/>
      <c r="AS31" s="26"/>
      <c r="AT31" s="51"/>
      <c r="AU31" s="51"/>
      <c r="AV31" s="51"/>
      <c r="AW31" s="51"/>
      <c r="AX31" s="51"/>
      <c r="AY31" s="51"/>
      <c r="AZ31" s="51"/>
      <c r="BA31" s="51"/>
      <c r="BB31" s="51"/>
      <c r="BC31" s="51"/>
      <c r="BD31" s="52"/>
    </row>
    <row r="32" spans="1:56" ht="14.4" customHeight="1">
      <c r="A32" s="37" t="str">
        <f>IF(B32="","",COUNTA($B$8:B32))</f>
        <v/>
      </c>
      <c r="B32" s="26"/>
      <c r="C32" s="34"/>
      <c r="D32" s="34"/>
      <c r="E32" s="34"/>
      <c r="F32" s="34"/>
      <c r="G32" s="34"/>
      <c r="H32" s="34"/>
      <c r="I32" s="19"/>
      <c r="J32" s="27"/>
      <c r="K32" s="27"/>
      <c r="L32" s="27"/>
      <c r="M32" s="27"/>
      <c r="N32" s="27"/>
      <c r="O32" s="27"/>
      <c r="P32" s="27"/>
      <c r="Q32" s="27"/>
      <c r="R32" s="26"/>
      <c r="S32" s="34"/>
      <c r="T32" s="34"/>
      <c r="U32" s="34"/>
      <c r="V32" s="34"/>
      <c r="W32" s="34"/>
      <c r="X32" s="34"/>
      <c r="Y32" s="589"/>
      <c r="Z32" s="590"/>
      <c r="AA32" s="591"/>
      <c r="AB32" s="592"/>
      <c r="AC32" s="593"/>
      <c r="AD32" s="38"/>
      <c r="AE32" s="25"/>
      <c r="AF32" s="25"/>
      <c r="AG32" s="25"/>
      <c r="AH32" s="25"/>
      <c r="AI32" s="25"/>
      <c r="AJ32" s="25"/>
      <c r="AK32" s="25"/>
      <c r="AL32" s="25"/>
      <c r="AM32" s="25"/>
      <c r="AN32" s="25"/>
      <c r="AO32" s="25"/>
      <c r="AP32" s="25"/>
      <c r="AQ32" s="25"/>
      <c r="AR32" s="25"/>
      <c r="AS32" s="26"/>
      <c r="AT32" s="51"/>
      <c r="AU32" s="51"/>
      <c r="AV32" s="51"/>
      <c r="AW32" s="51"/>
      <c r="AX32" s="51"/>
      <c r="AY32" s="51"/>
      <c r="AZ32" s="51"/>
      <c r="BA32" s="51"/>
      <c r="BB32" s="51"/>
      <c r="BC32" s="51"/>
      <c r="BD32" s="52"/>
    </row>
    <row r="33" spans="1:56" ht="14.4" customHeight="1">
      <c r="A33" s="37" t="str">
        <f>IF(B33="","",COUNTA($B$8:B33))</f>
        <v/>
      </c>
      <c r="B33" s="26"/>
      <c r="C33" s="34"/>
      <c r="D33" s="34"/>
      <c r="E33" s="34"/>
      <c r="F33" s="34"/>
      <c r="G33" s="34"/>
      <c r="H33" s="34"/>
      <c r="I33" s="19"/>
      <c r="J33" s="27"/>
      <c r="K33" s="27"/>
      <c r="L33" s="27"/>
      <c r="M33" s="27"/>
      <c r="N33" s="27"/>
      <c r="O33" s="27"/>
      <c r="P33" s="27"/>
      <c r="Q33" s="27"/>
      <c r="R33" s="26"/>
      <c r="S33" s="34"/>
      <c r="T33" s="34"/>
      <c r="U33" s="34"/>
      <c r="V33" s="34"/>
      <c r="W33" s="34"/>
      <c r="X33" s="34"/>
      <c r="Y33" s="589"/>
      <c r="Z33" s="590"/>
      <c r="AA33" s="591"/>
      <c r="AB33" s="592"/>
      <c r="AC33" s="593"/>
      <c r="AD33" s="38"/>
      <c r="AE33" s="25"/>
      <c r="AF33" s="25"/>
      <c r="AG33" s="25"/>
      <c r="AH33" s="25"/>
      <c r="AI33" s="25"/>
      <c r="AJ33" s="25"/>
      <c r="AK33" s="25"/>
      <c r="AL33" s="25"/>
      <c r="AM33" s="25"/>
      <c r="AN33" s="25"/>
      <c r="AO33" s="25"/>
      <c r="AP33" s="25"/>
      <c r="AQ33" s="25"/>
      <c r="AR33" s="25"/>
      <c r="AS33" s="26"/>
      <c r="AT33" s="51"/>
      <c r="AU33" s="51"/>
      <c r="AV33" s="51"/>
      <c r="AW33" s="51"/>
      <c r="AX33" s="51"/>
      <c r="AY33" s="51"/>
      <c r="AZ33" s="51"/>
      <c r="BA33" s="51"/>
      <c r="BB33" s="51"/>
      <c r="BC33" s="51"/>
      <c r="BD33" s="52"/>
    </row>
    <row r="34" spans="1:56" ht="14.4" customHeight="1">
      <c r="A34" s="37" t="str">
        <f>IF(B34="","",COUNTA($B$8:B34))</f>
        <v/>
      </c>
      <c r="B34" s="26"/>
      <c r="C34" s="34"/>
      <c r="D34" s="34"/>
      <c r="E34" s="34"/>
      <c r="F34" s="34"/>
      <c r="G34" s="34"/>
      <c r="H34" s="34"/>
      <c r="I34" s="19"/>
      <c r="J34" s="27"/>
      <c r="K34" s="27"/>
      <c r="L34" s="27"/>
      <c r="M34" s="27"/>
      <c r="N34" s="27"/>
      <c r="O34" s="27"/>
      <c r="P34" s="27"/>
      <c r="Q34" s="27"/>
      <c r="R34" s="26"/>
      <c r="S34" s="34"/>
      <c r="T34" s="34"/>
      <c r="U34" s="34"/>
      <c r="V34" s="34"/>
      <c r="W34" s="34"/>
      <c r="X34" s="34"/>
      <c r="Y34" s="589"/>
      <c r="Z34" s="590"/>
      <c r="AA34" s="591"/>
      <c r="AB34" s="592"/>
      <c r="AC34" s="593"/>
      <c r="AD34" s="38"/>
      <c r="AE34" s="25"/>
      <c r="AF34" s="25"/>
      <c r="AG34" s="25"/>
      <c r="AH34" s="25"/>
      <c r="AI34" s="25"/>
      <c r="AJ34" s="25"/>
      <c r="AK34" s="25"/>
      <c r="AL34" s="25"/>
      <c r="AM34" s="25"/>
      <c r="AN34" s="25"/>
      <c r="AO34" s="25"/>
      <c r="AP34" s="25"/>
      <c r="AQ34" s="25"/>
      <c r="AR34" s="25"/>
      <c r="AS34" s="26"/>
      <c r="AT34" s="51"/>
      <c r="AU34" s="51"/>
      <c r="AV34" s="51"/>
      <c r="AW34" s="51"/>
      <c r="AX34" s="51"/>
      <c r="AY34" s="51"/>
      <c r="AZ34" s="51"/>
      <c r="BA34" s="51"/>
      <c r="BB34" s="51"/>
      <c r="BC34" s="51"/>
      <c r="BD34" s="52"/>
    </row>
    <row r="35" spans="1:56" ht="14.4" customHeight="1">
      <c r="A35" s="37" t="str">
        <f>IF(B35="","",COUNTA($B$8:B35))</f>
        <v/>
      </c>
      <c r="B35" s="26"/>
      <c r="C35" s="34"/>
      <c r="D35" s="34"/>
      <c r="E35" s="34"/>
      <c r="F35" s="34"/>
      <c r="G35" s="34"/>
      <c r="H35" s="34"/>
      <c r="I35" s="19"/>
      <c r="J35" s="27"/>
      <c r="K35" s="27"/>
      <c r="L35" s="27"/>
      <c r="M35" s="27"/>
      <c r="N35" s="27"/>
      <c r="O35" s="27"/>
      <c r="P35" s="27"/>
      <c r="Q35" s="27"/>
      <c r="R35" s="26"/>
      <c r="S35" s="34"/>
      <c r="T35" s="34"/>
      <c r="U35" s="34"/>
      <c r="V35" s="34"/>
      <c r="W35" s="34"/>
      <c r="X35" s="34"/>
      <c r="Y35" s="589"/>
      <c r="Z35" s="590"/>
      <c r="AA35" s="591"/>
      <c r="AB35" s="592"/>
      <c r="AC35" s="593"/>
      <c r="AD35" s="38"/>
      <c r="AE35" s="25"/>
      <c r="AF35" s="25"/>
      <c r="AG35" s="25"/>
      <c r="AH35" s="25"/>
      <c r="AI35" s="25"/>
      <c r="AJ35" s="25"/>
      <c r="AK35" s="25"/>
      <c r="AL35" s="25"/>
      <c r="AM35" s="25"/>
      <c r="AN35" s="25"/>
      <c r="AO35" s="25"/>
      <c r="AP35" s="25"/>
      <c r="AQ35" s="25"/>
      <c r="AR35" s="25"/>
      <c r="AS35" s="26"/>
      <c r="AT35" s="51"/>
      <c r="AU35" s="51"/>
      <c r="AV35" s="51"/>
      <c r="AW35" s="51"/>
      <c r="AX35" s="51"/>
      <c r="AY35" s="51"/>
      <c r="AZ35" s="51"/>
      <c r="BA35" s="51"/>
      <c r="BB35" s="51"/>
      <c r="BC35" s="51"/>
      <c r="BD35" s="52"/>
    </row>
    <row r="36" spans="1:56" ht="14.4" customHeight="1">
      <c r="A36" s="37" t="str">
        <f>IF(B36="","",COUNTA($B$8:B36))</f>
        <v/>
      </c>
      <c r="B36" s="26"/>
      <c r="C36" s="34"/>
      <c r="D36" s="34"/>
      <c r="E36" s="34"/>
      <c r="F36" s="34"/>
      <c r="G36" s="34"/>
      <c r="H36" s="34"/>
      <c r="I36" s="19"/>
      <c r="J36" s="27"/>
      <c r="K36" s="27"/>
      <c r="L36" s="27"/>
      <c r="M36" s="27"/>
      <c r="N36" s="27"/>
      <c r="O36" s="27"/>
      <c r="P36" s="27"/>
      <c r="Q36" s="27"/>
      <c r="R36" s="26"/>
      <c r="S36" s="34"/>
      <c r="T36" s="34"/>
      <c r="U36" s="34"/>
      <c r="V36" s="34"/>
      <c r="W36" s="34"/>
      <c r="X36" s="34"/>
      <c r="Y36" s="589"/>
      <c r="Z36" s="590"/>
      <c r="AA36" s="591"/>
      <c r="AB36" s="592"/>
      <c r="AC36" s="593"/>
      <c r="AD36" s="38"/>
      <c r="AE36" s="25"/>
      <c r="AF36" s="25"/>
      <c r="AG36" s="25"/>
      <c r="AH36" s="25"/>
      <c r="AI36" s="25"/>
      <c r="AJ36" s="25"/>
      <c r="AK36" s="25"/>
      <c r="AL36" s="25"/>
      <c r="AM36" s="25"/>
      <c r="AN36" s="25"/>
      <c r="AO36" s="25"/>
      <c r="AP36" s="25"/>
      <c r="AQ36" s="25"/>
      <c r="AR36" s="25"/>
      <c r="AS36" s="26"/>
      <c r="AT36" s="51"/>
      <c r="AU36" s="51"/>
      <c r="AV36" s="51"/>
      <c r="AW36" s="51"/>
      <c r="AX36" s="51"/>
      <c r="AY36" s="51"/>
      <c r="AZ36" s="51"/>
      <c r="BA36" s="51"/>
      <c r="BB36" s="51"/>
      <c r="BC36" s="51"/>
      <c r="BD36" s="52"/>
    </row>
    <row r="37" spans="1:56" ht="14.4" customHeight="1">
      <c r="A37" s="37" t="str">
        <f>IF(B37="","",COUNTA($B$8:B37))</f>
        <v/>
      </c>
      <c r="B37" s="26"/>
      <c r="C37" s="34"/>
      <c r="D37" s="34"/>
      <c r="E37" s="34"/>
      <c r="F37" s="34"/>
      <c r="G37" s="34"/>
      <c r="H37" s="34"/>
      <c r="I37" s="19"/>
      <c r="J37" s="27"/>
      <c r="K37" s="27"/>
      <c r="L37" s="27"/>
      <c r="M37" s="27"/>
      <c r="N37" s="27"/>
      <c r="O37" s="27"/>
      <c r="P37" s="27"/>
      <c r="Q37" s="27"/>
      <c r="R37" s="26"/>
      <c r="S37" s="34"/>
      <c r="T37" s="34"/>
      <c r="U37" s="34"/>
      <c r="V37" s="34"/>
      <c r="W37" s="34"/>
      <c r="X37" s="34"/>
      <c r="Y37" s="589"/>
      <c r="Z37" s="590"/>
      <c r="AA37" s="591"/>
      <c r="AB37" s="592"/>
      <c r="AC37" s="593"/>
      <c r="AD37" s="38"/>
      <c r="AE37" s="25"/>
      <c r="AF37" s="25"/>
      <c r="AG37" s="25"/>
      <c r="AH37" s="25"/>
      <c r="AI37" s="25"/>
      <c r="AJ37" s="25"/>
      <c r="AK37" s="25"/>
      <c r="AL37" s="25"/>
      <c r="AM37" s="25"/>
      <c r="AN37" s="25"/>
      <c r="AO37" s="25"/>
      <c r="AP37" s="25"/>
      <c r="AQ37" s="25"/>
      <c r="AR37" s="25"/>
      <c r="AS37" s="26"/>
      <c r="AT37" s="51"/>
      <c r="AU37" s="51"/>
      <c r="AV37" s="51"/>
      <c r="AW37" s="51"/>
      <c r="AX37" s="51"/>
      <c r="AY37" s="51"/>
      <c r="AZ37" s="51"/>
      <c r="BA37" s="51"/>
      <c r="BB37" s="51"/>
      <c r="BC37" s="51"/>
      <c r="BD37" s="52"/>
    </row>
    <row r="38" spans="1:56" ht="14.4" customHeight="1">
      <c r="A38" s="37" t="str">
        <f>IF(B38="","",COUNTA($B$8:B38))</f>
        <v/>
      </c>
      <c r="B38" s="26"/>
      <c r="C38" s="34"/>
      <c r="D38" s="34"/>
      <c r="E38" s="34"/>
      <c r="F38" s="34"/>
      <c r="G38" s="34"/>
      <c r="H38" s="34"/>
      <c r="I38" s="19"/>
      <c r="J38" s="27"/>
      <c r="K38" s="27"/>
      <c r="L38" s="27"/>
      <c r="M38" s="27"/>
      <c r="N38" s="27"/>
      <c r="O38" s="27"/>
      <c r="P38" s="27"/>
      <c r="Q38" s="27"/>
      <c r="R38" s="26"/>
      <c r="S38" s="34"/>
      <c r="T38" s="34"/>
      <c r="U38" s="34"/>
      <c r="V38" s="34"/>
      <c r="W38" s="34"/>
      <c r="X38" s="34"/>
      <c r="Y38" s="589"/>
      <c r="Z38" s="590"/>
      <c r="AA38" s="591"/>
      <c r="AB38" s="592"/>
      <c r="AC38" s="593"/>
      <c r="AD38" s="38"/>
      <c r="AE38" s="25"/>
      <c r="AF38" s="25"/>
      <c r="AG38" s="25"/>
      <c r="AH38" s="25"/>
      <c r="AI38" s="25"/>
      <c r="AJ38" s="25"/>
      <c r="AK38" s="25"/>
      <c r="AL38" s="25"/>
      <c r="AM38" s="25"/>
      <c r="AN38" s="25"/>
      <c r="AO38" s="25"/>
      <c r="AP38" s="25"/>
      <c r="AQ38" s="25"/>
      <c r="AR38" s="25"/>
      <c r="AS38" s="26"/>
      <c r="AT38" s="51"/>
      <c r="AU38" s="51"/>
      <c r="AV38" s="51"/>
      <c r="AW38" s="51"/>
      <c r="AX38" s="51"/>
      <c r="AY38" s="51"/>
      <c r="AZ38" s="51"/>
      <c r="BA38" s="51"/>
      <c r="BB38" s="51"/>
      <c r="BC38" s="51"/>
      <c r="BD38" s="52"/>
    </row>
    <row r="39" spans="1:56" ht="14.4" customHeight="1">
      <c r="A39" s="37" t="str">
        <f>IF(B39="","",COUNTA($B$8:B39))</f>
        <v/>
      </c>
      <c r="B39" s="26"/>
      <c r="C39" s="34"/>
      <c r="D39" s="34"/>
      <c r="E39" s="34"/>
      <c r="F39" s="34"/>
      <c r="G39" s="34"/>
      <c r="H39" s="34"/>
      <c r="I39" s="19"/>
      <c r="J39" s="27"/>
      <c r="K39" s="27"/>
      <c r="L39" s="27"/>
      <c r="M39" s="27"/>
      <c r="N39" s="27"/>
      <c r="O39" s="27"/>
      <c r="P39" s="27"/>
      <c r="Q39" s="27"/>
      <c r="R39" s="26"/>
      <c r="S39" s="34"/>
      <c r="T39" s="34"/>
      <c r="U39" s="34"/>
      <c r="V39" s="34"/>
      <c r="W39" s="34"/>
      <c r="X39" s="34"/>
      <c r="Y39" s="589"/>
      <c r="Z39" s="590"/>
      <c r="AA39" s="591"/>
      <c r="AB39" s="592"/>
      <c r="AC39" s="593"/>
      <c r="AD39" s="38"/>
      <c r="AE39" s="25"/>
      <c r="AF39" s="25"/>
      <c r="AG39" s="25"/>
      <c r="AH39" s="25"/>
      <c r="AI39" s="25"/>
      <c r="AJ39" s="25"/>
      <c r="AK39" s="25"/>
      <c r="AL39" s="25"/>
      <c r="AM39" s="25"/>
      <c r="AN39" s="25"/>
      <c r="AO39" s="25"/>
      <c r="AP39" s="25"/>
      <c r="AQ39" s="25"/>
      <c r="AR39" s="25"/>
      <c r="AS39" s="26"/>
      <c r="AT39" s="51"/>
      <c r="AU39" s="51"/>
      <c r="AV39" s="51"/>
      <c r="AW39" s="51"/>
      <c r="AX39" s="51"/>
      <c r="AY39" s="51"/>
      <c r="AZ39" s="51"/>
      <c r="BA39" s="51"/>
      <c r="BB39" s="51"/>
      <c r="BC39" s="51"/>
      <c r="BD39" s="52"/>
    </row>
    <row r="40" spans="1:56" ht="14.4" customHeight="1">
      <c r="A40" s="37" t="str">
        <f>IF(B40="","",COUNTA($B$8:B40))</f>
        <v/>
      </c>
      <c r="B40" s="26"/>
      <c r="C40" s="34"/>
      <c r="D40" s="34"/>
      <c r="E40" s="34"/>
      <c r="F40" s="34"/>
      <c r="G40" s="34"/>
      <c r="H40" s="34"/>
      <c r="I40" s="19"/>
      <c r="J40" s="27"/>
      <c r="K40" s="27"/>
      <c r="L40" s="27"/>
      <c r="M40" s="27"/>
      <c r="N40" s="27"/>
      <c r="O40" s="27"/>
      <c r="P40" s="27"/>
      <c r="Q40" s="27"/>
      <c r="R40" s="26"/>
      <c r="S40" s="34"/>
      <c r="T40" s="34"/>
      <c r="U40" s="34"/>
      <c r="V40" s="34"/>
      <c r="W40" s="34"/>
      <c r="X40" s="34"/>
      <c r="Y40" s="589"/>
      <c r="Z40" s="590"/>
      <c r="AA40" s="591"/>
      <c r="AB40" s="592"/>
      <c r="AC40" s="593"/>
      <c r="AD40" s="38"/>
      <c r="AE40" s="25"/>
      <c r="AF40" s="25"/>
      <c r="AG40" s="25"/>
      <c r="AH40" s="25"/>
      <c r="AI40" s="25"/>
      <c r="AJ40" s="25"/>
      <c r="AK40" s="25"/>
      <c r="AL40" s="25"/>
      <c r="AM40" s="25"/>
      <c r="AN40" s="25"/>
      <c r="AO40" s="25"/>
      <c r="AP40" s="25"/>
      <c r="AQ40" s="25"/>
      <c r="AR40" s="25"/>
      <c r="AS40" s="26"/>
      <c r="AT40" s="51"/>
      <c r="AU40" s="51"/>
      <c r="AV40" s="51"/>
      <c r="AW40" s="51"/>
      <c r="AX40" s="51"/>
      <c r="AY40" s="51"/>
      <c r="AZ40" s="51"/>
      <c r="BA40" s="51"/>
      <c r="BB40" s="51"/>
      <c r="BC40" s="51"/>
      <c r="BD40" s="52"/>
    </row>
    <row r="41" spans="1:56" ht="14.4" customHeight="1">
      <c r="A41" s="37" t="str">
        <f>IF(B41="","",COUNTA($B$8:B41))</f>
        <v/>
      </c>
      <c r="B41" s="26"/>
      <c r="C41" s="34"/>
      <c r="D41" s="34"/>
      <c r="E41" s="34"/>
      <c r="F41" s="34"/>
      <c r="G41" s="34"/>
      <c r="H41" s="34"/>
      <c r="I41" s="19"/>
      <c r="J41" s="27"/>
      <c r="K41" s="27"/>
      <c r="L41" s="27"/>
      <c r="M41" s="27"/>
      <c r="N41" s="27"/>
      <c r="O41" s="27"/>
      <c r="P41" s="27"/>
      <c r="Q41" s="27"/>
      <c r="R41" s="26"/>
      <c r="S41" s="34"/>
      <c r="T41" s="34"/>
      <c r="U41" s="34"/>
      <c r="V41" s="34"/>
      <c r="W41" s="34"/>
      <c r="X41" s="34"/>
      <c r="Y41" s="589"/>
      <c r="Z41" s="590"/>
      <c r="AA41" s="591"/>
      <c r="AB41" s="592"/>
      <c r="AC41" s="593"/>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 customHeight="1">
      <c r="A42" s="37" t="str">
        <f>IF(B42="","",COUNTA($B$8:B42))</f>
        <v/>
      </c>
      <c r="B42" s="26"/>
      <c r="C42" s="34"/>
      <c r="D42" s="34"/>
      <c r="E42" s="34"/>
      <c r="F42" s="34"/>
      <c r="G42" s="34"/>
      <c r="H42" s="34"/>
      <c r="I42" s="19"/>
      <c r="J42" s="27"/>
      <c r="K42" s="27"/>
      <c r="L42" s="27"/>
      <c r="M42" s="27"/>
      <c r="N42" s="27"/>
      <c r="O42" s="27"/>
      <c r="P42" s="27"/>
      <c r="Q42" s="27"/>
      <c r="R42" s="26"/>
      <c r="S42" s="34"/>
      <c r="T42" s="34"/>
      <c r="U42" s="34"/>
      <c r="V42" s="34"/>
      <c r="W42" s="34"/>
      <c r="X42" s="34"/>
      <c r="Y42" s="589"/>
      <c r="Z42" s="590"/>
      <c r="AA42" s="591"/>
      <c r="AB42" s="592"/>
      <c r="AC42" s="593"/>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 customHeight="1">
      <c r="A43" s="37" t="str">
        <f>IF(B43="","",COUNTA($B$8:B43))</f>
        <v/>
      </c>
      <c r="B43" s="26"/>
      <c r="C43" s="34"/>
      <c r="D43" s="34"/>
      <c r="E43" s="34"/>
      <c r="F43" s="34"/>
      <c r="G43" s="34"/>
      <c r="H43" s="34"/>
      <c r="I43" s="19"/>
      <c r="J43" s="27"/>
      <c r="K43" s="27"/>
      <c r="L43" s="27"/>
      <c r="M43" s="27"/>
      <c r="N43" s="27"/>
      <c r="O43" s="27"/>
      <c r="P43" s="27"/>
      <c r="Q43" s="27"/>
      <c r="R43" s="26"/>
      <c r="S43" s="34"/>
      <c r="T43" s="34"/>
      <c r="U43" s="34"/>
      <c r="V43" s="34"/>
      <c r="W43" s="34"/>
      <c r="X43" s="34"/>
      <c r="Y43" s="589"/>
      <c r="Z43" s="590"/>
      <c r="AA43" s="591"/>
      <c r="AB43" s="592"/>
      <c r="AC43" s="593"/>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 customHeight="1">
      <c r="A44" s="37" t="str">
        <f>IF(B44="","",COUNTA($B$8:B44))</f>
        <v/>
      </c>
      <c r="B44" s="26"/>
      <c r="C44" s="34"/>
      <c r="D44" s="34"/>
      <c r="E44" s="34"/>
      <c r="F44" s="34"/>
      <c r="G44" s="34"/>
      <c r="H44" s="34"/>
      <c r="I44" s="19"/>
      <c r="J44" s="27"/>
      <c r="K44" s="27"/>
      <c r="L44" s="27"/>
      <c r="M44" s="27"/>
      <c r="N44" s="27"/>
      <c r="O44" s="27"/>
      <c r="P44" s="27"/>
      <c r="Q44" s="27"/>
      <c r="R44" s="26"/>
      <c r="S44" s="34"/>
      <c r="T44" s="34"/>
      <c r="U44" s="34"/>
      <c r="V44" s="34"/>
      <c r="W44" s="34"/>
      <c r="X44" s="34"/>
      <c r="Y44" s="589"/>
      <c r="Z44" s="590"/>
      <c r="AA44" s="591"/>
      <c r="AB44" s="592"/>
      <c r="AC44" s="593"/>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 customHeight="1">
      <c r="A45" s="37" t="str">
        <f>IF(B45="","",COUNTA($B$8:B45))</f>
        <v/>
      </c>
      <c r="B45" s="26"/>
      <c r="C45" s="34"/>
      <c r="D45" s="34"/>
      <c r="E45" s="34"/>
      <c r="F45" s="34"/>
      <c r="G45" s="34"/>
      <c r="H45" s="34"/>
      <c r="I45" s="19"/>
      <c r="J45" s="27"/>
      <c r="K45" s="27"/>
      <c r="L45" s="27"/>
      <c r="M45" s="27"/>
      <c r="N45" s="27"/>
      <c r="O45" s="27"/>
      <c r="P45" s="27"/>
      <c r="Q45" s="27"/>
      <c r="R45" s="26"/>
      <c r="S45" s="34"/>
      <c r="T45" s="34"/>
      <c r="U45" s="34"/>
      <c r="V45" s="34"/>
      <c r="W45" s="34"/>
      <c r="X45" s="34"/>
      <c r="Y45" s="589"/>
      <c r="Z45" s="590"/>
      <c r="AA45" s="591"/>
      <c r="AB45" s="592"/>
      <c r="AC45" s="593"/>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 customHeight="1">
      <c r="A46" s="37" t="str">
        <f>IF(B46="","",COUNTA($B$8:B46))</f>
        <v/>
      </c>
      <c r="B46" s="26"/>
      <c r="C46" s="34"/>
      <c r="D46" s="34"/>
      <c r="E46" s="34"/>
      <c r="F46" s="34"/>
      <c r="G46" s="34"/>
      <c r="H46" s="34"/>
      <c r="I46" s="19"/>
      <c r="J46" s="27"/>
      <c r="K46" s="27"/>
      <c r="L46" s="27"/>
      <c r="M46" s="27"/>
      <c r="N46" s="27"/>
      <c r="O46" s="27"/>
      <c r="P46" s="27"/>
      <c r="Q46" s="27"/>
      <c r="R46" s="26"/>
      <c r="S46" s="34"/>
      <c r="T46" s="34"/>
      <c r="U46" s="34"/>
      <c r="V46" s="34"/>
      <c r="W46" s="34"/>
      <c r="X46" s="34"/>
      <c r="Y46" s="589"/>
      <c r="Z46" s="590"/>
      <c r="AA46" s="591"/>
      <c r="AB46" s="592"/>
      <c r="AC46" s="593"/>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87">
    <mergeCell ref="Y31:Z31"/>
    <mergeCell ref="AA31:AC31"/>
    <mergeCell ref="Y16:Z16"/>
    <mergeCell ref="AA16:AC16"/>
    <mergeCell ref="Y17:Z17"/>
    <mergeCell ref="AA17:AC17"/>
    <mergeCell ref="Y18:Z18"/>
    <mergeCell ref="AA18:AC18"/>
    <mergeCell ref="Y14:Z14"/>
    <mergeCell ref="AA14:AC14"/>
    <mergeCell ref="Y15:Z15"/>
    <mergeCell ref="AA15:AC15"/>
    <mergeCell ref="Y19:Z19"/>
    <mergeCell ref="AA19:AC19"/>
    <mergeCell ref="Y11:Z11"/>
    <mergeCell ref="AA11:AC11"/>
    <mergeCell ref="Y13:Z13"/>
    <mergeCell ref="AA13:AC13"/>
    <mergeCell ref="Y12:Z12"/>
    <mergeCell ref="AA12:AC12"/>
    <mergeCell ref="AA8:AC8"/>
    <mergeCell ref="Y9:Z9"/>
    <mergeCell ref="AA9:AC9"/>
    <mergeCell ref="Y10:Z10"/>
    <mergeCell ref="AA10:AC10"/>
    <mergeCell ref="AG6:AG7"/>
    <mergeCell ref="AH6:AH7"/>
    <mergeCell ref="AZ1:BD1"/>
    <mergeCell ref="I2:Q4"/>
    <mergeCell ref="AI6:AR6"/>
    <mergeCell ref="AS6:BD7"/>
    <mergeCell ref="AA6:AC7"/>
    <mergeCell ref="AD6:AD7"/>
    <mergeCell ref="AE6:AE7"/>
    <mergeCell ref="AF6:AF7"/>
    <mergeCell ref="Y6:Z7"/>
    <mergeCell ref="Y2:AO3"/>
    <mergeCell ref="AP2:AT2"/>
    <mergeCell ref="AZ2:BD2"/>
    <mergeCell ref="AP3:AT3"/>
    <mergeCell ref="AU3:AY3"/>
    <mergeCell ref="A1:H4"/>
    <mergeCell ref="A6:A7"/>
    <mergeCell ref="B6:H7"/>
    <mergeCell ref="I6:Q7"/>
    <mergeCell ref="R6:X7"/>
    <mergeCell ref="R2:X4"/>
    <mergeCell ref="I1:Q1"/>
    <mergeCell ref="R1:X1"/>
    <mergeCell ref="Y1:AO1"/>
    <mergeCell ref="AP1:AT1"/>
    <mergeCell ref="AU1:AY1"/>
    <mergeCell ref="AZ3:BD3"/>
    <mergeCell ref="Y4:AO4"/>
    <mergeCell ref="AP4:AT4"/>
    <mergeCell ref="AZ4:BD4"/>
    <mergeCell ref="AU4:AY4"/>
    <mergeCell ref="Y32:Z32"/>
    <mergeCell ref="AA32:AC32"/>
    <mergeCell ref="Y33:Z33"/>
    <mergeCell ref="AA33:AC33"/>
    <mergeCell ref="Y34:Z34"/>
    <mergeCell ref="AA34:AC34"/>
    <mergeCell ref="Y35:Z35"/>
    <mergeCell ref="AA35:AC35"/>
    <mergeCell ref="Y36:Z36"/>
    <mergeCell ref="AA36:AC36"/>
    <mergeCell ref="Y37:Z37"/>
    <mergeCell ref="AA37:AC37"/>
    <mergeCell ref="Y38:Z38"/>
    <mergeCell ref="AA38:AC38"/>
    <mergeCell ref="Y39:Z39"/>
    <mergeCell ref="AA39:AC39"/>
    <mergeCell ref="Y40:Z40"/>
    <mergeCell ref="AA40:AC40"/>
    <mergeCell ref="Y41:Z41"/>
    <mergeCell ref="AA41:AC41"/>
    <mergeCell ref="Y42:Z42"/>
    <mergeCell ref="AA42:AC42"/>
    <mergeCell ref="Y43:Z43"/>
    <mergeCell ref="AA43:AC43"/>
    <mergeCell ref="Y45:Z45"/>
    <mergeCell ref="AA45:AC45"/>
    <mergeCell ref="Y46:Z46"/>
    <mergeCell ref="AA46:AC46"/>
    <mergeCell ref="Y44:Z44"/>
    <mergeCell ref="AA44:AC44"/>
  </mergeCells>
  <phoneticPr fontId="12"/>
  <dataValidations count="3">
    <dataValidation imeMode="hiragana" allowBlank="1" showInputMessage="1" showErrorMessage="1" sqref="JG65498:JR65500 TC65498:TN65500 ACY65498:ADJ65500 AMU65498:ANF65500 AWQ65498:AXB65500 BGM65498:BGX65500 BQI65498:BQT65500 CAE65498:CAP65500 CKA65498:CKL65500 CTW65498:CUH65500 DDS65498:DED65500 DNO65498:DNZ65500 DXK65498:DXV65500 EHG65498:EHR65500 ERC65498:ERN65500 FAY65498:FBJ65500 FKU65498:FLF65500 FUQ65498:FVB65500 GEM65498:GEX65500 GOI65498:GOT65500 GYE65498:GYP65500 HIA65498:HIL65500 HRW65498:HSH65500 IBS65498:ICD65500 ILO65498:ILZ65500 IVK65498:IVV65500 JFG65498:JFR65500 JPC65498:JPN65500 JYY65498:JZJ65500 KIU65498:KJF65500 KSQ65498:KTB65500 LCM65498:LCX65500 LMI65498:LMT65500 LWE65498:LWP65500 MGA65498:MGL65500 MPW65498:MQH65500 MZS65498:NAD65500 NJO65498:NJZ65500 NTK65498:NTV65500 ODG65498:ODR65500 ONC65498:ONN65500 OWY65498:OXJ65500 PGU65498:PHF65500 PQQ65498:PRB65500 QAM65498:QAX65500 QKI65498:QKT65500 QUE65498:QUP65500 REA65498:REL65500 RNW65498:ROH65500 RXS65498:RYD65500 SHO65498:SHZ65500 SRK65498:SRV65500 TBG65498:TBR65500 TLC65498:TLN65500 TUY65498:TVJ65500 UEU65498:UFF65500 UOQ65498:UPB65500 UYM65498:UYX65500 VII65498:VIT65500 VSE65498:VSP65500 WCA65498:WCL65500 WLW65498:WMH65500 WVS65498:WWD65500 JG131034:JR131036 TC131034:TN131036 ACY131034:ADJ131036 AMU131034:ANF131036 AWQ131034:AXB131036 BGM131034:BGX131036 BQI131034:BQT131036 CAE131034:CAP131036 CKA131034:CKL131036 CTW131034:CUH131036 DDS131034:DED131036 DNO131034:DNZ131036 DXK131034:DXV131036 EHG131034:EHR131036 ERC131034:ERN131036 FAY131034:FBJ131036 FKU131034:FLF131036 FUQ131034:FVB131036 GEM131034:GEX131036 GOI131034:GOT131036 GYE131034:GYP131036 HIA131034:HIL131036 HRW131034:HSH131036 IBS131034:ICD131036 ILO131034:ILZ131036 IVK131034:IVV131036 JFG131034:JFR131036 JPC131034:JPN131036 JYY131034:JZJ131036 KIU131034:KJF131036 KSQ131034:KTB131036 LCM131034:LCX131036 LMI131034:LMT131036 LWE131034:LWP131036 MGA131034:MGL131036 MPW131034:MQH131036 MZS131034:NAD131036 NJO131034:NJZ131036 NTK131034:NTV131036 ODG131034:ODR131036 ONC131034:ONN131036 OWY131034:OXJ131036 PGU131034:PHF131036 PQQ131034:PRB131036 QAM131034:QAX131036 QKI131034:QKT131036 QUE131034:QUP131036 REA131034:REL131036 RNW131034:ROH131036 RXS131034:RYD131036 SHO131034:SHZ131036 SRK131034:SRV131036 TBG131034:TBR131036 TLC131034:TLN131036 TUY131034:TVJ131036 UEU131034:UFF131036 UOQ131034:UPB131036 UYM131034:UYX131036 VII131034:VIT131036 VSE131034:VSP131036 WCA131034:WCL131036 WLW131034:WMH131036 WVS131034:WWD131036 JG196570:JR196572 TC196570:TN196572 ACY196570:ADJ196572 AMU196570:ANF196572 AWQ196570:AXB196572 BGM196570:BGX196572 BQI196570:BQT196572 CAE196570:CAP196572 CKA196570:CKL196572 CTW196570:CUH196572 DDS196570:DED196572 DNO196570:DNZ196572 DXK196570:DXV196572 EHG196570:EHR196572 ERC196570:ERN196572 FAY196570:FBJ196572 FKU196570:FLF196572 FUQ196570:FVB196572 GEM196570:GEX196572 GOI196570:GOT196572 GYE196570:GYP196572 HIA196570:HIL196572 HRW196570:HSH196572 IBS196570:ICD196572 ILO196570:ILZ196572 IVK196570:IVV196572 JFG196570:JFR196572 JPC196570:JPN196572 JYY196570:JZJ196572 KIU196570:KJF196572 KSQ196570:KTB196572 LCM196570:LCX196572 LMI196570:LMT196572 LWE196570:LWP196572 MGA196570:MGL196572 MPW196570:MQH196572 MZS196570:NAD196572 NJO196570:NJZ196572 NTK196570:NTV196572 ODG196570:ODR196572 ONC196570:ONN196572 OWY196570:OXJ196572 PGU196570:PHF196572 PQQ196570:PRB196572 QAM196570:QAX196572 QKI196570:QKT196572 QUE196570:QUP196572 REA196570:REL196572 RNW196570:ROH196572 RXS196570:RYD196572 SHO196570:SHZ196572 SRK196570:SRV196572 TBG196570:TBR196572 TLC196570:TLN196572 TUY196570:TVJ196572 UEU196570:UFF196572 UOQ196570:UPB196572 UYM196570:UYX196572 VII196570:VIT196572 VSE196570:VSP196572 WCA196570:WCL196572 WLW196570:WMH196572 WVS196570:WWD196572 JG262106:JR262108 TC262106:TN262108 ACY262106:ADJ262108 AMU262106:ANF262108 AWQ262106:AXB262108 BGM262106:BGX262108 BQI262106:BQT262108 CAE262106:CAP262108 CKA262106:CKL262108 CTW262106:CUH262108 DDS262106:DED262108 DNO262106:DNZ262108 DXK262106:DXV262108 EHG262106:EHR262108 ERC262106:ERN262108 FAY262106:FBJ262108 FKU262106:FLF262108 FUQ262106:FVB262108 GEM262106:GEX262108 GOI262106:GOT262108 GYE262106:GYP262108 HIA262106:HIL262108 HRW262106:HSH262108 IBS262106:ICD262108 ILO262106:ILZ262108 IVK262106:IVV262108 JFG262106:JFR262108 JPC262106:JPN262108 JYY262106:JZJ262108 KIU262106:KJF262108 KSQ262106:KTB262108 LCM262106:LCX262108 LMI262106:LMT262108 LWE262106:LWP262108 MGA262106:MGL262108 MPW262106:MQH262108 MZS262106:NAD262108 NJO262106:NJZ262108 NTK262106:NTV262108 ODG262106:ODR262108 ONC262106:ONN262108 OWY262106:OXJ262108 PGU262106:PHF262108 PQQ262106:PRB262108 QAM262106:QAX262108 QKI262106:QKT262108 QUE262106:QUP262108 REA262106:REL262108 RNW262106:ROH262108 RXS262106:RYD262108 SHO262106:SHZ262108 SRK262106:SRV262108 TBG262106:TBR262108 TLC262106:TLN262108 TUY262106:TVJ262108 UEU262106:UFF262108 UOQ262106:UPB262108 UYM262106:UYX262108 VII262106:VIT262108 VSE262106:VSP262108 WCA262106:WCL262108 WLW262106:WMH262108 WVS262106:WWD262108 JG327642:JR327644 TC327642:TN327644 ACY327642:ADJ327644 AMU327642:ANF327644 AWQ327642:AXB327644 BGM327642:BGX327644 BQI327642:BQT327644 CAE327642:CAP327644 CKA327642:CKL327644 CTW327642:CUH327644 DDS327642:DED327644 DNO327642:DNZ327644 DXK327642:DXV327644 EHG327642:EHR327644 ERC327642:ERN327644 FAY327642:FBJ327644 FKU327642:FLF327644 FUQ327642:FVB327644 GEM327642:GEX327644 GOI327642:GOT327644 GYE327642:GYP327644 HIA327642:HIL327644 HRW327642:HSH327644 IBS327642:ICD327644 ILO327642:ILZ327644 IVK327642:IVV327644 JFG327642:JFR327644 JPC327642:JPN327644 JYY327642:JZJ327644 KIU327642:KJF327644 KSQ327642:KTB327644 LCM327642:LCX327644 LMI327642:LMT327644 LWE327642:LWP327644 MGA327642:MGL327644 MPW327642:MQH327644 MZS327642:NAD327644 NJO327642:NJZ327644 NTK327642:NTV327644 ODG327642:ODR327644 ONC327642:ONN327644 OWY327642:OXJ327644 PGU327642:PHF327644 PQQ327642:PRB327644 QAM327642:QAX327644 QKI327642:QKT327644 QUE327642:QUP327644 REA327642:REL327644 RNW327642:ROH327644 RXS327642:RYD327644 SHO327642:SHZ327644 SRK327642:SRV327644 TBG327642:TBR327644 TLC327642:TLN327644 TUY327642:TVJ327644 UEU327642:UFF327644 UOQ327642:UPB327644 UYM327642:UYX327644 VII327642:VIT327644 VSE327642:VSP327644 WCA327642:WCL327644 WLW327642:WMH327644 WVS327642:WWD327644 JG393178:JR393180 TC393178:TN393180 ACY393178:ADJ393180 AMU393178:ANF393180 AWQ393178:AXB393180 BGM393178:BGX393180 BQI393178:BQT393180 CAE393178:CAP393180 CKA393178:CKL393180 CTW393178:CUH393180 DDS393178:DED393180 DNO393178:DNZ393180 DXK393178:DXV393180 EHG393178:EHR393180 ERC393178:ERN393180 FAY393178:FBJ393180 FKU393178:FLF393180 FUQ393178:FVB393180 GEM393178:GEX393180 GOI393178:GOT393180 GYE393178:GYP393180 HIA393178:HIL393180 HRW393178:HSH393180 IBS393178:ICD393180 ILO393178:ILZ393180 IVK393178:IVV393180 JFG393178:JFR393180 JPC393178:JPN393180 JYY393178:JZJ393180 KIU393178:KJF393180 KSQ393178:KTB393180 LCM393178:LCX393180 LMI393178:LMT393180 LWE393178:LWP393180 MGA393178:MGL393180 MPW393178:MQH393180 MZS393178:NAD393180 NJO393178:NJZ393180 NTK393178:NTV393180 ODG393178:ODR393180 ONC393178:ONN393180 OWY393178:OXJ393180 PGU393178:PHF393180 PQQ393178:PRB393180 QAM393178:QAX393180 QKI393178:QKT393180 QUE393178:QUP393180 REA393178:REL393180 RNW393178:ROH393180 RXS393178:RYD393180 SHO393178:SHZ393180 SRK393178:SRV393180 TBG393178:TBR393180 TLC393178:TLN393180 TUY393178:TVJ393180 UEU393178:UFF393180 UOQ393178:UPB393180 UYM393178:UYX393180 VII393178:VIT393180 VSE393178:VSP393180 WCA393178:WCL393180 WLW393178:WMH393180 WVS393178:WWD393180 JG458714:JR458716 TC458714:TN458716 ACY458714:ADJ458716 AMU458714:ANF458716 AWQ458714:AXB458716 BGM458714:BGX458716 BQI458714:BQT458716 CAE458714:CAP458716 CKA458714:CKL458716 CTW458714:CUH458716 DDS458714:DED458716 DNO458714:DNZ458716 DXK458714:DXV458716 EHG458714:EHR458716 ERC458714:ERN458716 FAY458714:FBJ458716 FKU458714:FLF458716 FUQ458714:FVB458716 GEM458714:GEX458716 GOI458714:GOT458716 GYE458714:GYP458716 HIA458714:HIL458716 HRW458714:HSH458716 IBS458714:ICD458716 ILO458714:ILZ458716 IVK458714:IVV458716 JFG458714:JFR458716 JPC458714:JPN458716 JYY458714:JZJ458716 KIU458714:KJF458716 KSQ458714:KTB458716 LCM458714:LCX458716 LMI458714:LMT458716 LWE458714:LWP458716 MGA458714:MGL458716 MPW458714:MQH458716 MZS458714:NAD458716 NJO458714:NJZ458716 NTK458714:NTV458716 ODG458714:ODR458716 ONC458714:ONN458716 OWY458714:OXJ458716 PGU458714:PHF458716 PQQ458714:PRB458716 QAM458714:QAX458716 QKI458714:QKT458716 QUE458714:QUP458716 REA458714:REL458716 RNW458714:ROH458716 RXS458714:RYD458716 SHO458714:SHZ458716 SRK458714:SRV458716 TBG458714:TBR458716 TLC458714:TLN458716 TUY458714:TVJ458716 UEU458714:UFF458716 UOQ458714:UPB458716 UYM458714:UYX458716 VII458714:VIT458716 VSE458714:VSP458716 WCA458714:WCL458716 WLW458714:WMH458716 WVS458714:WWD458716 JG524250:JR524252 TC524250:TN524252 ACY524250:ADJ524252 AMU524250:ANF524252 AWQ524250:AXB524252 BGM524250:BGX524252 BQI524250:BQT524252 CAE524250:CAP524252 CKA524250:CKL524252 CTW524250:CUH524252 DDS524250:DED524252 DNO524250:DNZ524252 DXK524250:DXV524252 EHG524250:EHR524252 ERC524250:ERN524252 FAY524250:FBJ524252 FKU524250:FLF524252 FUQ524250:FVB524252 GEM524250:GEX524252 GOI524250:GOT524252 GYE524250:GYP524252 HIA524250:HIL524252 HRW524250:HSH524252 IBS524250:ICD524252 ILO524250:ILZ524252 IVK524250:IVV524252 JFG524250:JFR524252 JPC524250:JPN524252 JYY524250:JZJ524252 KIU524250:KJF524252 KSQ524250:KTB524252 LCM524250:LCX524252 LMI524250:LMT524252 LWE524250:LWP524252 MGA524250:MGL524252 MPW524250:MQH524252 MZS524250:NAD524252 NJO524250:NJZ524252 NTK524250:NTV524252 ODG524250:ODR524252 ONC524250:ONN524252 OWY524250:OXJ524252 PGU524250:PHF524252 PQQ524250:PRB524252 QAM524250:QAX524252 QKI524250:QKT524252 QUE524250:QUP524252 REA524250:REL524252 RNW524250:ROH524252 RXS524250:RYD524252 SHO524250:SHZ524252 SRK524250:SRV524252 TBG524250:TBR524252 TLC524250:TLN524252 TUY524250:TVJ524252 UEU524250:UFF524252 UOQ524250:UPB524252 UYM524250:UYX524252 VII524250:VIT524252 VSE524250:VSP524252 WCA524250:WCL524252 WLW524250:WMH524252 WVS524250:WWD524252 JG589786:JR589788 TC589786:TN589788 ACY589786:ADJ589788 AMU589786:ANF589788 AWQ589786:AXB589788 BGM589786:BGX589788 BQI589786:BQT589788 CAE589786:CAP589788 CKA589786:CKL589788 CTW589786:CUH589788 DDS589786:DED589788 DNO589786:DNZ589788 DXK589786:DXV589788 EHG589786:EHR589788 ERC589786:ERN589788 FAY589786:FBJ589788 FKU589786:FLF589788 FUQ589786:FVB589788 GEM589786:GEX589788 GOI589786:GOT589788 GYE589786:GYP589788 HIA589786:HIL589788 HRW589786:HSH589788 IBS589786:ICD589788 ILO589786:ILZ589788 IVK589786:IVV589788 JFG589786:JFR589788 JPC589786:JPN589788 JYY589786:JZJ589788 KIU589786:KJF589788 KSQ589786:KTB589788 LCM589786:LCX589788 LMI589786:LMT589788 LWE589786:LWP589788 MGA589786:MGL589788 MPW589786:MQH589788 MZS589786:NAD589788 NJO589786:NJZ589788 NTK589786:NTV589788 ODG589786:ODR589788 ONC589786:ONN589788 OWY589786:OXJ589788 PGU589786:PHF589788 PQQ589786:PRB589788 QAM589786:QAX589788 QKI589786:QKT589788 QUE589786:QUP589788 REA589786:REL589788 RNW589786:ROH589788 RXS589786:RYD589788 SHO589786:SHZ589788 SRK589786:SRV589788 TBG589786:TBR589788 TLC589786:TLN589788 TUY589786:TVJ589788 UEU589786:UFF589788 UOQ589786:UPB589788 UYM589786:UYX589788 VII589786:VIT589788 VSE589786:VSP589788 WCA589786:WCL589788 WLW589786:WMH589788 WVS589786:WWD589788 JG655322:JR655324 TC655322:TN655324 ACY655322:ADJ655324 AMU655322:ANF655324 AWQ655322:AXB655324 BGM655322:BGX655324 BQI655322:BQT655324 CAE655322:CAP655324 CKA655322:CKL655324 CTW655322:CUH655324 DDS655322:DED655324 DNO655322:DNZ655324 DXK655322:DXV655324 EHG655322:EHR655324 ERC655322:ERN655324 FAY655322:FBJ655324 FKU655322:FLF655324 FUQ655322:FVB655324 GEM655322:GEX655324 GOI655322:GOT655324 GYE655322:GYP655324 HIA655322:HIL655324 HRW655322:HSH655324 IBS655322:ICD655324 ILO655322:ILZ655324 IVK655322:IVV655324 JFG655322:JFR655324 JPC655322:JPN655324 JYY655322:JZJ655324 KIU655322:KJF655324 KSQ655322:KTB655324 LCM655322:LCX655324 LMI655322:LMT655324 LWE655322:LWP655324 MGA655322:MGL655324 MPW655322:MQH655324 MZS655322:NAD655324 NJO655322:NJZ655324 NTK655322:NTV655324 ODG655322:ODR655324 ONC655322:ONN655324 OWY655322:OXJ655324 PGU655322:PHF655324 PQQ655322:PRB655324 QAM655322:QAX655324 QKI655322:QKT655324 QUE655322:QUP655324 REA655322:REL655324 RNW655322:ROH655324 RXS655322:RYD655324 SHO655322:SHZ655324 SRK655322:SRV655324 TBG655322:TBR655324 TLC655322:TLN655324 TUY655322:TVJ655324 UEU655322:UFF655324 UOQ655322:UPB655324 UYM655322:UYX655324 VII655322:VIT655324 VSE655322:VSP655324 WCA655322:WCL655324 WLW655322:WMH655324 WVS655322:WWD655324 JG720858:JR720860 TC720858:TN720860 ACY720858:ADJ720860 AMU720858:ANF720860 AWQ720858:AXB720860 BGM720858:BGX720860 BQI720858:BQT720860 CAE720858:CAP720860 CKA720858:CKL720860 CTW720858:CUH720860 DDS720858:DED720860 DNO720858:DNZ720860 DXK720858:DXV720860 EHG720858:EHR720860 ERC720858:ERN720860 FAY720858:FBJ720860 FKU720858:FLF720860 FUQ720858:FVB720860 GEM720858:GEX720860 GOI720858:GOT720860 GYE720858:GYP720860 HIA720858:HIL720860 HRW720858:HSH720860 IBS720858:ICD720860 ILO720858:ILZ720860 IVK720858:IVV720860 JFG720858:JFR720860 JPC720858:JPN720860 JYY720858:JZJ720860 KIU720858:KJF720860 KSQ720858:KTB720860 LCM720858:LCX720860 LMI720858:LMT720860 LWE720858:LWP720860 MGA720858:MGL720860 MPW720858:MQH720860 MZS720858:NAD720860 NJO720858:NJZ720860 NTK720858:NTV720860 ODG720858:ODR720860 ONC720858:ONN720860 OWY720858:OXJ720860 PGU720858:PHF720860 PQQ720858:PRB720860 QAM720858:QAX720860 QKI720858:QKT720860 QUE720858:QUP720860 REA720858:REL720860 RNW720858:ROH720860 RXS720858:RYD720860 SHO720858:SHZ720860 SRK720858:SRV720860 TBG720858:TBR720860 TLC720858:TLN720860 TUY720858:TVJ720860 UEU720858:UFF720860 UOQ720858:UPB720860 UYM720858:UYX720860 VII720858:VIT720860 VSE720858:VSP720860 WCA720858:WCL720860 WLW720858:WMH720860 WVS720858:WWD720860 JG786394:JR786396 TC786394:TN786396 ACY786394:ADJ786396 AMU786394:ANF786396 AWQ786394:AXB786396 BGM786394:BGX786396 BQI786394:BQT786396 CAE786394:CAP786396 CKA786394:CKL786396 CTW786394:CUH786396 DDS786394:DED786396 DNO786394:DNZ786396 DXK786394:DXV786396 EHG786394:EHR786396 ERC786394:ERN786396 FAY786394:FBJ786396 FKU786394:FLF786396 FUQ786394:FVB786396 GEM786394:GEX786396 GOI786394:GOT786396 GYE786394:GYP786396 HIA786394:HIL786396 HRW786394:HSH786396 IBS786394:ICD786396 ILO786394:ILZ786396 IVK786394:IVV786396 JFG786394:JFR786396 JPC786394:JPN786396 JYY786394:JZJ786396 KIU786394:KJF786396 KSQ786394:KTB786396 LCM786394:LCX786396 LMI786394:LMT786396 LWE786394:LWP786396 MGA786394:MGL786396 MPW786394:MQH786396 MZS786394:NAD786396 NJO786394:NJZ786396 NTK786394:NTV786396 ODG786394:ODR786396 ONC786394:ONN786396 OWY786394:OXJ786396 PGU786394:PHF786396 PQQ786394:PRB786396 QAM786394:QAX786396 QKI786394:QKT786396 QUE786394:QUP786396 REA786394:REL786396 RNW786394:ROH786396 RXS786394:RYD786396 SHO786394:SHZ786396 SRK786394:SRV786396 TBG786394:TBR786396 TLC786394:TLN786396 TUY786394:TVJ786396 UEU786394:UFF786396 UOQ786394:UPB786396 UYM786394:UYX786396 VII786394:VIT786396 VSE786394:VSP786396 WCA786394:WCL786396 WLW786394:WMH786396 WVS786394:WWD786396 JG851930:JR851932 TC851930:TN851932 ACY851930:ADJ851932 AMU851930:ANF851932 AWQ851930:AXB851932 BGM851930:BGX851932 BQI851930:BQT851932 CAE851930:CAP851932 CKA851930:CKL851932 CTW851930:CUH851932 DDS851930:DED851932 DNO851930:DNZ851932 DXK851930:DXV851932 EHG851930:EHR851932 ERC851930:ERN851932 FAY851930:FBJ851932 FKU851930:FLF851932 FUQ851930:FVB851932 GEM851930:GEX851932 GOI851930:GOT851932 GYE851930:GYP851932 HIA851930:HIL851932 HRW851930:HSH851932 IBS851930:ICD851932 ILO851930:ILZ851932 IVK851930:IVV851932 JFG851930:JFR851932 JPC851930:JPN851932 JYY851930:JZJ851932 KIU851930:KJF851932 KSQ851930:KTB851932 LCM851930:LCX851932 LMI851930:LMT851932 LWE851930:LWP851932 MGA851930:MGL851932 MPW851930:MQH851932 MZS851930:NAD851932 NJO851930:NJZ851932 NTK851930:NTV851932 ODG851930:ODR851932 ONC851930:ONN851932 OWY851930:OXJ851932 PGU851930:PHF851932 PQQ851930:PRB851932 QAM851930:QAX851932 QKI851930:QKT851932 QUE851930:QUP851932 REA851930:REL851932 RNW851930:ROH851932 RXS851930:RYD851932 SHO851930:SHZ851932 SRK851930:SRV851932 TBG851930:TBR851932 TLC851930:TLN851932 TUY851930:TVJ851932 UEU851930:UFF851932 UOQ851930:UPB851932 UYM851930:UYX851932 VII851930:VIT851932 VSE851930:VSP851932 WCA851930:WCL851932 WLW851930:WMH851932 WVS851930:WWD851932 JG917466:JR917468 TC917466:TN917468 ACY917466:ADJ917468 AMU917466:ANF917468 AWQ917466:AXB917468 BGM917466:BGX917468 BQI917466:BQT917468 CAE917466:CAP917468 CKA917466:CKL917468 CTW917466:CUH917468 DDS917466:DED917468 DNO917466:DNZ917468 DXK917466:DXV917468 EHG917466:EHR917468 ERC917466:ERN917468 FAY917466:FBJ917468 FKU917466:FLF917468 FUQ917466:FVB917468 GEM917466:GEX917468 GOI917466:GOT917468 GYE917466:GYP917468 HIA917466:HIL917468 HRW917466:HSH917468 IBS917466:ICD917468 ILO917466:ILZ917468 IVK917466:IVV917468 JFG917466:JFR917468 JPC917466:JPN917468 JYY917466:JZJ917468 KIU917466:KJF917468 KSQ917466:KTB917468 LCM917466:LCX917468 LMI917466:LMT917468 LWE917466:LWP917468 MGA917466:MGL917468 MPW917466:MQH917468 MZS917466:NAD917468 NJO917466:NJZ917468 NTK917466:NTV917468 ODG917466:ODR917468 ONC917466:ONN917468 OWY917466:OXJ917468 PGU917466:PHF917468 PQQ917466:PRB917468 QAM917466:QAX917468 QKI917466:QKT917468 QUE917466:QUP917468 REA917466:REL917468 RNW917466:ROH917468 RXS917466:RYD917468 SHO917466:SHZ917468 SRK917466:SRV917468 TBG917466:TBR917468 TLC917466:TLN917468 TUY917466:TVJ917468 UEU917466:UFF917468 UOQ917466:UPB917468 UYM917466:UYX917468 VII917466:VIT917468 VSE917466:VSP917468 WCA917466:WCL917468 WLW917466:WMH917468 WVS917466:WWD917468 JG983002:JR983004 TC983002:TN983004 ACY983002:ADJ983004 AMU983002:ANF983004 AWQ983002:AXB983004 BGM983002:BGX983004 BQI983002:BQT983004 CAE983002:CAP983004 CKA983002:CKL983004 CTW983002:CUH983004 DDS983002:DED983004 DNO983002:DNZ983004 DXK983002:DXV983004 EHG983002:EHR983004 ERC983002:ERN983004 FAY983002:FBJ983004 FKU983002:FLF983004 FUQ983002:FVB983004 GEM983002:GEX983004 GOI983002:GOT983004 GYE983002:GYP983004 HIA983002:HIL983004 HRW983002:HSH983004 IBS983002:ICD983004 ILO983002:ILZ983004 IVK983002:IVV983004 JFG983002:JFR983004 JPC983002:JPN983004 JYY983002:JZJ983004 KIU983002:KJF983004 KSQ983002:KTB983004 LCM983002:LCX983004 LMI983002:LMT983004 LWE983002:LWP983004 MGA983002:MGL983004 MPW983002:MQH983004 MZS983002:NAD983004 NJO983002:NJZ983004 NTK983002:NTV983004 ODG983002:ODR983004 ONC983002:ONN983004 OWY983002:OXJ983004 PGU983002:PHF983004 PQQ983002:PRB983004 QAM983002:QAX983004 QKI983002:QKT983004 QUE983002:QUP983004 REA983002:REL983004 RNW983002:ROH983004 RXS983002:RYD983004 SHO983002:SHZ983004 SRK983002:SRV983004 TBG983002:TBR983004 TLC983002:TLN983004 TUY983002:TVJ983004 UEU983002:UFF983004 UOQ983002:UPB983004 UYM983002:UYX983004 VII983002:VIT983004 VSE983002:VSP983004 WCA983002:WCL983004 WLW983002:WMH983004 WVS983002:WWD983004 WVS983007:WWD983009 JG65503:JR65505 TC65503:TN65505 ACY65503:ADJ65505 AMU65503:ANF65505 AWQ65503:AXB65505 BGM65503:BGX65505 BQI65503:BQT65505 CAE65503:CAP65505 CKA65503:CKL65505 CTW65503:CUH65505 DDS65503:DED65505 DNO65503:DNZ65505 DXK65503:DXV65505 EHG65503:EHR65505 ERC65503:ERN65505 FAY65503:FBJ65505 FKU65503:FLF65505 FUQ65503:FVB65505 GEM65503:GEX65505 GOI65503:GOT65505 GYE65503:GYP65505 HIA65503:HIL65505 HRW65503:HSH65505 IBS65503:ICD65505 ILO65503:ILZ65505 IVK65503:IVV65505 JFG65503:JFR65505 JPC65503:JPN65505 JYY65503:JZJ65505 KIU65503:KJF65505 KSQ65503:KTB65505 LCM65503:LCX65505 LMI65503:LMT65505 LWE65503:LWP65505 MGA65503:MGL65505 MPW65503:MQH65505 MZS65503:NAD65505 NJO65503:NJZ65505 NTK65503:NTV65505 ODG65503:ODR65505 ONC65503:ONN65505 OWY65503:OXJ65505 PGU65503:PHF65505 PQQ65503:PRB65505 QAM65503:QAX65505 QKI65503:QKT65505 QUE65503:QUP65505 REA65503:REL65505 RNW65503:ROH65505 RXS65503:RYD65505 SHO65503:SHZ65505 SRK65503:SRV65505 TBG65503:TBR65505 TLC65503:TLN65505 TUY65503:TVJ65505 UEU65503:UFF65505 UOQ65503:UPB65505 UYM65503:UYX65505 VII65503:VIT65505 VSE65503:VSP65505 WCA65503:WCL65505 WLW65503:WMH65505 WVS65503:WWD65505 JG131039:JR131041 TC131039:TN131041 ACY131039:ADJ131041 AMU131039:ANF131041 AWQ131039:AXB131041 BGM131039:BGX131041 BQI131039:BQT131041 CAE131039:CAP131041 CKA131039:CKL131041 CTW131039:CUH131041 DDS131039:DED131041 DNO131039:DNZ131041 DXK131039:DXV131041 EHG131039:EHR131041 ERC131039:ERN131041 FAY131039:FBJ131041 FKU131039:FLF131041 FUQ131039:FVB131041 GEM131039:GEX131041 GOI131039:GOT131041 GYE131039:GYP131041 HIA131039:HIL131041 HRW131039:HSH131041 IBS131039:ICD131041 ILO131039:ILZ131041 IVK131039:IVV131041 JFG131039:JFR131041 JPC131039:JPN131041 JYY131039:JZJ131041 KIU131039:KJF131041 KSQ131039:KTB131041 LCM131039:LCX131041 LMI131039:LMT131041 LWE131039:LWP131041 MGA131039:MGL131041 MPW131039:MQH131041 MZS131039:NAD131041 NJO131039:NJZ131041 NTK131039:NTV131041 ODG131039:ODR131041 ONC131039:ONN131041 OWY131039:OXJ131041 PGU131039:PHF131041 PQQ131039:PRB131041 QAM131039:QAX131041 QKI131039:QKT131041 QUE131039:QUP131041 REA131039:REL131041 RNW131039:ROH131041 RXS131039:RYD131041 SHO131039:SHZ131041 SRK131039:SRV131041 TBG131039:TBR131041 TLC131039:TLN131041 TUY131039:TVJ131041 UEU131039:UFF131041 UOQ131039:UPB131041 UYM131039:UYX131041 VII131039:VIT131041 VSE131039:VSP131041 WCA131039:WCL131041 WLW131039:WMH131041 WVS131039:WWD131041 JG196575:JR196577 TC196575:TN196577 ACY196575:ADJ196577 AMU196575:ANF196577 AWQ196575:AXB196577 BGM196575:BGX196577 BQI196575:BQT196577 CAE196575:CAP196577 CKA196575:CKL196577 CTW196575:CUH196577 DDS196575:DED196577 DNO196575:DNZ196577 DXK196575:DXV196577 EHG196575:EHR196577 ERC196575:ERN196577 FAY196575:FBJ196577 FKU196575:FLF196577 FUQ196575:FVB196577 GEM196575:GEX196577 GOI196575:GOT196577 GYE196575:GYP196577 HIA196575:HIL196577 HRW196575:HSH196577 IBS196575:ICD196577 ILO196575:ILZ196577 IVK196575:IVV196577 JFG196575:JFR196577 JPC196575:JPN196577 JYY196575:JZJ196577 KIU196575:KJF196577 KSQ196575:KTB196577 LCM196575:LCX196577 LMI196575:LMT196577 LWE196575:LWP196577 MGA196575:MGL196577 MPW196575:MQH196577 MZS196575:NAD196577 NJO196575:NJZ196577 NTK196575:NTV196577 ODG196575:ODR196577 ONC196575:ONN196577 OWY196575:OXJ196577 PGU196575:PHF196577 PQQ196575:PRB196577 QAM196575:QAX196577 QKI196575:QKT196577 QUE196575:QUP196577 REA196575:REL196577 RNW196575:ROH196577 RXS196575:RYD196577 SHO196575:SHZ196577 SRK196575:SRV196577 TBG196575:TBR196577 TLC196575:TLN196577 TUY196575:TVJ196577 UEU196575:UFF196577 UOQ196575:UPB196577 UYM196575:UYX196577 VII196575:VIT196577 VSE196575:VSP196577 WCA196575:WCL196577 WLW196575:WMH196577 WVS196575:WWD196577 JG262111:JR262113 TC262111:TN262113 ACY262111:ADJ262113 AMU262111:ANF262113 AWQ262111:AXB262113 BGM262111:BGX262113 BQI262111:BQT262113 CAE262111:CAP262113 CKA262111:CKL262113 CTW262111:CUH262113 DDS262111:DED262113 DNO262111:DNZ262113 DXK262111:DXV262113 EHG262111:EHR262113 ERC262111:ERN262113 FAY262111:FBJ262113 FKU262111:FLF262113 FUQ262111:FVB262113 GEM262111:GEX262113 GOI262111:GOT262113 GYE262111:GYP262113 HIA262111:HIL262113 HRW262111:HSH262113 IBS262111:ICD262113 ILO262111:ILZ262113 IVK262111:IVV262113 JFG262111:JFR262113 JPC262111:JPN262113 JYY262111:JZJ262113 KIU262111:KJF262113 KSQ262111:KTB262113 LCM262111:LCX262113 LMI262111:LMT262113 LWE262111:LWP262113 MGA262111:MGL262113 MPW262111:MQH262113 MZS262111:NAD262113 NJO262111:NJZ262113 NTK262111:NTV262113 ODG262111:ODR262113 ONC262111:ONN262113 OWY262111:OXJ262113 PGU262111:PHF262113 PQQ262111:PRB262113 QAM262111:QAX262113 QKI262111:QKT262113 QUE262111:QUP262113 REA262111:REL262113 RNW262111:ROH262113 RXS262111:RYD262113 SHO262111:SHZ262113 SRK262111:SRV262113 TBG262111:TBR262113 TLC262111:TLN262113 TUY262111:TVJ262113 UEU262111:UFF262113 UOQ262111:UPB262113 UYM262111:UYX262113 VII262111:VIT262113 VSE262111:VSP262113 WCA262111:WCL262113 WLW262111:WMH262113 WVS262111:WWD262113 JG327647:JR327649 TC327647:TN327649 ACY327647:ADJ327649 AMU327647:ANF327649 AWQ327647:AXB327649 BGM327647:BGX327649 BQI327647:BQT327649 CAE327647:CAP327649 CKA327647:CKL327649 CTW327647:CUH327649 DDS327647:DED327649 DNO327647:DNZ327649 DXK327647:DXV327649 EHG327647:EHR327649 ERC327647:ERN327649 FAY327647:FBJ327649 FKU327647:FLF327649 FUQ327647:FVB327649 GEM327647:GEX327649 GOI327647:GOT327649 GYE327647:GYP327649 HIA327647:HIL327649 HRW327647:HSH327649 IBS327647:ICD327649 ILO327647:ILZ327649 IVK327647:IVV327649 JFG327647:JFR327649 JPC327647:JPN327649 JYY327647:JZJ327649 KIU327647:KJF327649 KSQ327647:KTB327649 LCM327647:LCX327649 LMI327647:LMT327649 LWE327647:LWP327649 MGA327647:MGL327649 MPW327647:MQH327649 MZS327647:NAD327649 NJO327647:NJZ327649 NTK327647:NTV327649 ODG327647:ODR327649 ONC327647:ONN327649 OWY327647:OXJ327649 PGU327647:PHF327649 PQQ327647:PRB327649 QAM327647:QAX327649 QKI327647:QKT327649 QUE327647:QUP327649 REA327647:REL327649 RNW327647:ROH327649 RXS327647:RYD327649 SHO327647:SHZ327649 SRK327647:SRV327649 TBG327647:TBR327649 TLC327647:TLN327649 TUY327647:TVJ327649 UEU327647:UFF327649 UOQ327647:UPB327649 UYM327647:UYX327649 VII327647:VIT327649 VSE327647:VSP327649 WCA327647:WCL327649 WLW327647:WMH327649 WVS327647:WWD327649 JG393183:JR393185 TC393183:TN393185 ACY393183:ADJ393185 AMU393183:ANF393185 AWQ393183:AXB393185 BGM393183:BGX393185 BQI393183:BQT393185 CAE393183:CAP393185 CKA393183:CKL393185 CTW393183:CUH393185 DDS393183:DED393185 DNO393183:DNZ393185 DXK393183:DXV393185 EHG393183:EHR393185 ERC393183:ERN393185 FAY393183:FBJ393185 FKU393183:FLF393185 FUQ393183:FVB393185 GEM393183:GEX393185 GOI393183:GOT393185 GYE393183:GYP393185 HIA393183:HIL393185 HRW393183:HSH393185 IBS393183:ICD393185 ILO393183:ILZ393185 IVK393183:IVV393185 JFG393183:JFR393185 JPC393183:JPN393185 JYY393183:JZJ393185 KIU393183:KJF393185 KSQ393183:KTB393185 LCM393183:LCX393185 LMI393183:LMT393185 LWE393183:LWP393185 MGA393183:MGL393185 MPW393183:MQH393185 MZS393183:NAD393185 NJO393183:NJZ393185 NTK393183:NTV393185 ODG393183:ODR393185 ONC393183:ONN393185 OWY393183:OXJ393185 PGU393183:PHF393185 PQQ393183:PRB393185 QAM393183:QAX393185 QKI393183:QKT393185 QUE393183:QUP393185 REA393183:REL393185 RNW393183:ROH393185 RXS393183:RYD393185 SHO393183:SHZ393185 SRK393183:SRV393185 TBG393183:TBR393185 TLC393183:TLN393185 TUY393183:TVJ393185 UEU393183:UFF393185 UOQ393183:UPB393185 UYM393183:UYX393185 VII393183:VIT393185 VSE393183:VSP393185 WCA393183:WCL393185 WLW393183:WMH393185 WVS393183:WWD393185 JG458719:JR458721 TC458719:TN458721 ACY458719:ADJ458721 AMU458719:ANF458721 AWQ458719:AXB458721 BGM458719:BGX458721 BQI458719:BQT458721 CAE458719:CAP458721 CKA458719:CKL458721 CTW458719:CUH458721 DDS458719:DED458721 DNO458719:DNZ458721 DXK458719:DXV458721 EHG458719:EHR458721 ERC458719:ERN458721 FAY458719:FBJ458721 FKU458719:FLF458721 FUQ458719:FVB458721 GEM458719:GEX458721 GOI458719:GOT458721 GYE458719:GYP458721 HIA458719:HIL458721 HRW458719:HSH458721 IBS458719:ICD458721 ILO458719:ILZ458721 IVK458719:IVV458721 JFG458719:JFR458721 JPC458719:JPN458721 JYY458719:JZJ458721 KIU458719:KJF458721 KSQ458719:KTB458721 LCM458719:LCX458721 LMI458719:LMT458721 LWE458719:LWP458721 MGA458719:MGL458721 MPW458719:MQH458721 MZS458719:NAD458721 NJO458719:NJZ458721 NTK458719:NTV458721 ODG458719:ODR458721 ONC458719:ONN458721 OWY458719:OXJ458721 PGU458719:PHF458721 PQQ458719:PRB458721 QAM458719:QAX458721 QKI458719:QKT458721 QUE458719:QUP458721 REA458719:REL458721 RNW458719:ROH458721 RXS458719:RYD458721 SHO458719:SHZ458721 SRK458719:SRV458721 TBG458719:TBR458721 TLC458719:TLN458721 TUY458719:TVJ458721 UEU458719:UFF458721 UOQ458719:UPB458721 UYM458719:UYX458721 VII458719:VIT458721 VSE458719:VSP458721 WCA458719:WCL458721 WLW458719:WMH458721 WVS458719:WWD458721 JG524255:JR524257 TC524255:TN524257 ACY524255:ADJ524257 AMU524255:ANF524257 AWQ524255:AXB524257 BGM524255:BGX524257 BQI524255:BQT524257 CAE524255:CAP524257 CKA524255:CKL524257 CTW524255:CUH524257 DDS524255:DED524257 DNO524255:DNZ524257 DXK524255:DXV524257 EHG524255:EHR524257 ERC524255:ERN524257 FAY524255:FBJ524257 FKU524255:FLF524257 FUQ524255:FVB524257 GEM524255:GEX524257 GOI524255:GOT524257 GYE524255:GYP524257 HIA524255:HIL524257 HRW524255:HSH524257 IBS524255:ICD524257 ILO524255:ILZ524257 IVK524255:IVV524257 JFG524255:JFR524257 JPC524255:JPN524257 JYY524255:JZJ524257 KIU524255:KJF524257 KSQ524255:KTB524257 LCM524255:LCX524257 LMI524255:LMT524257 LWE524255:LWP524257 MGA524255:MGL524257 MPW524255:MQH524257 MZS524255:NAD524257 NJO524255:NJZ524257 NTK524255:NTV524257 ODG524255:ODR524257 ONC524255:ONN524257 OWY524255:OXJ524257 PGU524255:PHF524257 PQQ524255:PRB524257 QAM524255:QAX524257 QKI524255:QKT524257 QUE524255:QUP524257 REA524255:REL524257 RNW524255:ROH524257 RXS524255:RYD524257 SHO524255:SHZ524257 SRK524255:SRV524257 TBG524255:TBR524257 TLC524255:TLN524257 TUY524255:TVJ524257 UEU524255:UFF524257 UOQ524255:UPB524257 UYM524255:UYX524257 VII524255:VIT524257 VSE524255:VSP524257 WCA524255:WCL524257 WLW524255:WMH524257 WVS524255:WWD524257 JG589791:JR589793 TC589791:TN589793 ACY589791:ADJ589793 AMU589791:ANF589793 AWQ589791:AXB589793 BGM589791:BGX589793 BQI589791:BQT589793 CAE589791:CAP589793 CKA589791:CKL589793 CTW589791:CUH589793 DDS589791:DED589793 DNO589791:DNZ589793 DXK589791:DXV589793 EHG589791:EHR589793 ERC589791:ERN589793 FAY589791:FBJ589793 FKU589791:FLF589793 FUQ589791:FVB589793 GEM589791:GEX589793 GOI589791:GOT589793 GYE589791:GYP589793 HIA589791:HIL589793 HRW589791:HSH589793 IBS589791:ICD589793 ILO589791:ILZ589793 IVK589791:IVV589793 JFG589791:JFR589793 JPC589791:JPN589793 JYY589791:JZJ589793 KIU589791:KJF589793 KSQ589791:KTB589793 LCM589791:LCX589793 LMI589791:LMT589793 LWE589791:LWP589793 MGA589791:MGL589793 MPW589791:MQH589793 MZS589791:NAD589793 NJO589791:NJZ589793 NTK589791:NTV589793 ODG589791:ODR589793 ONC589791:ONN589793 OWY589791:OXJ589793 PGU589791:PHF589793 PQQ589791:PRB589793 QAM589791:QAX589793 QKI589791:QKT589793 QUE589791:QUP589793 REA589791:REL589793 RNW589791:ROH589793 RXS589791:RYD589793 SHO589791:SHZ589793 SRK589791:SRV589793 TBG589791:TBR589793 TLC589791:TLN589793 TUY589791:TVJ589793 UEU589791:UFF589793 UOQ589791:UPB589793 UYM589791:UYX589793 VII589791:VIT589793 VSE589791:VSP589793 WCA589791:WCL589793 WLW589791:WMH589793 WVS589791:WWD589793 JG655327:JR655329 TC655327:TN655329 ACY655327:ADJ655329 AMU655327:ANF655329 AWQ655327:AXB655329 BGM655327:BGX655329 BQI655327:BQT655329 CAE655327:CAP655329 CKA655327:CKL655329 CTW655327:CUH655329 DDS655327:DED655329 DNO655327:DNZ655329 DXK655327:DXV655329 EHG655327:EHR655329 ERC655327:ERN655329 FAY655327:FBJ655329 FKU655327:FLF655329 FUQ655327:FVB655329 GEM655327:GEX655329 GOI655327:GOT655329 GYE655327:GYP655329 HIA655327:HIL655329 HRW655327:HSH655329 IBS655327:ICD655329 ILO655327:ILZ655329 IVK655327:IVV655329 JFG655327:JFR655329 JPC655327:JPN655329 JYY655327:JZJ655329 KIU655327:KJF655329 KSQ655327:KTB655329 LCM655327:LCX655329 LMI655327:LMT655329 LWE655327:LWP655329 MGA655327:MGL655329 MPW655327:MQH655329 MZS655327:NAD655329 NJO655327:NJZ655329 NTK655327:NTV655329 ODG655327:ODR655329 ONC655327:ONN655329 OWY655327:OXJ655329 PGU655327:PHF655329 PQQ655327:PRB655329 QAM655327:QAX655329 QKI655327:QKT655329 QUE655327:QUP655329 REA655327:REL655329 RNW655327:ROH655329 RXS655327:RYD655329 SHO655327:SHZ655329 SRK655327:SRV655329 TBG655327:TBR655329 TLC655327:TLN655329 TUY655327:TVJ655329 UEU655327:UFF655329 UOQ655327:UPB655329 UYM655327:UYX655329 VII655327:VIT655329 VSE655327:VSP655329 WCA655327:WCL655329 WLW655327:WMH655329 WVS655327:WWD655329 JG720863:JR720865 TC720863:TN720865 ACY720863:ADJ720865 AMU720863:ANF720865 AWQ720863:AXB720865 BGM720863:BGX720865 BQI720863:BQT720865 CAE720863:CAP720865 CKA720863:CKL720865 CTW720863:CUH720865 DDS720863:DED720865 DNO720863:DNZ720865 DXK720863:DXV720865 EHG720863:EHR720865 ERC720863:ERN720865 FAY720863:FBJ720865 FKU720863:FLF720865 FUQ720863:FVB720865 GEM720863:GEX720865 GOI720863:GOT720865 GYE720863:GYP720865 HIA720863:HIL720865 HRW720863:HSH720865 IBS720863:ICD720865 ILO720863:ILZ720865 IVK720863:IVV720865 JFG720863:JFR720865 JPC720863:JPN720865 JYY720863:JZJ720865 KIU720863:KJF720865 KSQ720863:KTB720865 LCM720863:LCX720865 LMI720863:LMT720865 LWE720863:LWP720865 MGA720863:MGL720865 MPW720863:MQH720865 MZS720863:NAD720865 NJO720863:NJZ720865 NTK720863:NTV720865 ODG720863:ODR720865 ONC720863:ONN720865 OWY720863:OXJ720865 PGU720863:PHF720865 PQQ720863:PRB720865 QAM720863:QAX720865 QKI720863:QKT720865 QUE720863:QUP720865 REA720863:REL720865 RNW720863:ROH720865 RXS720863:RYD720865 SHO720863:SHZ720865 SRK720863:SRV720865 TBG720863:TBR720865 TLC720863:TLN720865 TUY720863:TVJ720865 UEU720863:UFF720865 UOQ720863:UPB720865 UYM720863:UYX720865 VII720863:VIT720865 VSE720863:VSP720865 WCA720863:WCL720865 WLW720863:WMH720865 WVS720863:WWD720865 JG786399:JR786401 TC786399:TN786401 ACY786399:ADJ786401 AMU786399:ANF786401 AWQ786399:AXB786401 BGM786399:BGX786401 BQI786399:BQT786401 CAE786399:CAP786401 CKA786399:CKL786401 CTW786399:CUH786401 DDS786399:DED786401 DNO786399:DNZ786401 DXK786399:DXV786401 EHG786399:EHR786401 ERC786399:ERN786401 FAY786399:FBJ786401 FKU786399:FLF786401 FUQ786399:FVB786401 GEM786399:GEX786401 GOI786399:GOT786401 GYE786399:GYP786401 HIA786399:HIL786401 HRW786399:HSH786401 IBS786399:ICD786401 ILO786399:ILZ786401 IVK786399:IVV786401 JFG786399:JFR786401 JPC786399:JPN786401 JYY786399:JZJ786401 KIU786399:KJF786401 KSQ786399:KTB786401 LCM786399:LCX786401 LMI786399:LMT786401 LWE786399:LWP786401 MGA786399:MGL786401 MPW786399:MQH786401 MZS786399:NAD786401 NJO786399:NJZ786401 NTK786399:NTV786401 ODG786399:ODR786401 ONC786399:ONN786401 OWY786399:OXJ786401 PGU786399:PHF786401 PQQ786399:PRB786401 QAM786399:QAX786401 QKI786399:QKT786401 QUE786399:QUP786401 REA786399:REL786401 RNW786399:ROH786401 RXS786399:RYD786401 SHO786399:SHZ786401 SRK786399:SRV786401 TBG786399:TBR786401 TLC786399:TLN786401 TUY786399:TVJ786401 UEU786399:UFF786401 UOQ786399:UPB786401 UYM786399:UYX786401 VII786399:VIT786401 VSE786399:VSP786401 WCA786399:WCL786401 WLW786399:WMH786401 WVS786399:WWD786401 JG851935:JR851937 TC851935:TN851937 ACY851935:ADJ851937 AMU851935:ANF851937 AWQ851935:AXB851937 BGM851935:BGX851937 BQI851935:BQT851937 CAE851935:CAP851937 CKA851935:CKL851937 CTW851935:CUH851937 DDS851935:DED851937 DNO851935:DNZ851937 DXK851935:DXV851937 EHG851935:EHR851937 ERC851935:ERN851937 FAY851935:FBJ851937 FKU851935:FLF851937 FUQ851935:FVB851937 GEM851935:GEX851937 GOI851935:GOT851937 GYE851935:GYP851937 HIA851935:HIL851937 HRW851935:HSH851937 IBS851935:ICD851937 ILO851935:ILZ851937 IVK851935:IVV851937 JFG851935:JFR851937 JPC851935:JPN851937 JYY851935:JZJ851937 KIU851935:KJF851937 KSQ851935:KTB851937 LCM851935:LCX851937 LMI851935:LMT851937 LWE851935:LWP851937 MGA851935:MGL851937 MPW851935:MQH851937 MZS851935:NAD851937 NJO851935:NJZ851937 NTK851935:NTV851937 ODG851935:ODR851937 ONC851935:ONN851937 OWY851935:OXJ851937 PGU851935:PHF851937 PQQ851935:PRB851937 QAM851935:QAX851937 QKI851935:QKT851937 QUE851935:QUP851937 REA851935:REL851937 RNW851935:ROH851937 RXS851935:RYD851937 SHO851935:SHZ851937 SRK851935:SRV851937 TBG851935:TBR851937 TLC851935:TLN851937 TUY851935:TVJ851937 UEU851935:UFF851937 UOQ851935:UPB851937 UYM851935:UYX851937 VII851935:VIT851937 VSE851935:VSP851937 WCA851935:WCL851937 WLW851935:WMH851937 WVS851935:WWD851937 JG917471:JR917473 TC917471:TN917473 ACY917471:ADJ917473 AMU917471:ANF917473 AWQ917471:AXB917473 BGM917471:BGX917473 BQI917471:BQT917473 CAE917471:CAP917473 CKA917471:CKL917473 CTW917471:CUH917473 DDS917471:DED917473 DNO917471:DNZ917473 DXK917471:DXV917473 EHG917471:EHR917473 ERC917471:ERN917473 FAY917471:FBJ917473 FKU917471:FLF917473 FUQ917471:FVB917473 GEM917471:GEX917473 GOI917471:GOT917473 GYE917471:GYP917473 HIA917471:HIL917473 HRW917471:HSH917473 IBS917471:ICD917473 ILO917471:ILZ917473 IVK917471:IVV917473 JFG917471:JFR917473 JPC917471:JPN917473 JYY917471:JZJ917473 KIU917471:KJF917473 KSQ917471:KTB917473 LCM917471:LCX917473 LMI917471:LMT917473 LWE917471:LWP917473 MGA917471:MGL917473 MPW917471:MQH917473 MZS917471:NAD917473 NJO917471:NJZ917473 NTK917471:NTV917473 ODG917471:ODR917473 ONC917471:ONN917473 OWY917471:OXJ917473 PGU917471:PHF917473 PQQ917471:PRB917473 QAM917471:QAX917473 QKI917471:QKT917473 QUE917471:QUP917473 REA917471:REL917473 RNW917471:ROH917473 RXS917471:RYD917473 SHO917471:SHZ917473 SRK917471:SRV917473 TBG917471:TBR917473 TLC917471:TLN917473 TUY917471:TVJ917473 UEU917471:UFF917473 UOQ917471:UPB917473 UYM917471:UYX917473 VII917471:VIT917473 VSE917471:VSP917473 WCA917471:WCL917473 WLW917471:WMH917473 WVS917471:WWD917473 JG983007:JR983009 TC983007:TN983009 ACY983007:ADJ983009 AMU983007:ANF983009 AWQ983007:AXB983009 BGM983007:BGX983009 BQI983007:BQT983009 CAE983007:CAP983009 CKA983007:CKL983009 CTW983007:CUH983009 DDS983007:DED983009 DNO983007:DNZ983009 DXK983007:DXV983009 EHG983007:EHR983009 ERC983007:ERN983009 FAY983007:FBJ983009 FKU983007:FLF983009 FUQ983007:FVB983009 GEM983007:GEX983009 GOI983007:GOT983009 GYE983007:GYP983009 HIA983007:HIL983009 HRW983007:HSH983009 IBS983007:ICD983009 ILO983007:ILZ983009 IVK983007:IVV983009 JFG983007:JFR983009 JPC983007:JPN983009 JYY983007:JZJ983009 KIU983007:KJF983009 KSQ983007:KTB983009 LCM983007:LCX983009 LMI983007:LMT983009 LWE983007:LWP983009 MGA983007:MGL983009 MPW983007:MQH983009 MZS983007:NAD983009 NJO983007:NJZ983009 NTK983007:NTV983009 ODG983007:ODR983009 ONC983007:ONN983009 OWY983007:OXJ983009 PGU983007:PHF983009 PQQ983007:PRB983009 QAM983007:QAX983009 QKI983007:QKT983009 QUE983007:QUP983009 REA983007:REL983009 RNW983007:ROH983009 RXS983007:RYD983009 SHO983007:SHZ983009 SRK983007:SRV983009 TBG983007:TBR983009 TLC983007:TLN983009 TUY983007:TVJ983009 UEU983007:UFF983009 UOQ983007:UPB983009 UYM983007:UYX983009 VII983007:VIT983009 VSE983007:VSP983009 WCA983007:WCL983009 WLW983007:WMH983009 Z262106:AJ262108 Z196570:AJ196572 Z131034:AJ131036 Z65498:AJ65500 Z983007:AJ983009 Z917471:AJ917473 Z851935:AJ851937 Z786399:AJ786401 Z720863:AJ720865 Z655327:AJ655329 Z589791:AJ589793 Z524255:AJ524257 Z458719:AJ458721 Z393183:AJ393185 Z327647:AJ327649 Z262111:AJ262113 Z196575:AJ196577 Z131039:AJ131041 Z65503:AJ65505 Z983002:AJ983004 Z917466:AJ917468 Z851930:AJ851932 Z786394:AJ786396 Z720858:AJ720860 Z655322:AJ655324 Z589786:AJ589788 Z524250:AJ524252 Z458714:AJ458716 Z393178:AJ393180 Z327642:AJ327644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AA8:AA46">
      <formula1>"datetime,int,numeric,varchar,nvarchar"</formula1>
    </dataValidation>
    <dataValidation type="list" allowBlank="1" showInputMessage="1" showErrorMessage="1" sqref="Y8:Z46">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pageSetUpPr autoPageBreaks="0"/>
  </sheetPr>
  <dimension ref="A1:BE46"/>
  <sheetViews>
    <sheetView showGridLines="0" zoomScaleNormal="100" zoomScaleSheetLayoutView="85"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7"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7"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J.製品棚卸</v>
      </c>
      <c r="S2" s="447"/>
      <c r="T2" s="447"/>
      <c r="U2" s="447"/>
      <c r="V2" s="447"/>
      <c r="W2" s="447"/>
      <c r="X2" s="448"/>
      <c r="Y2" s="446" t="str">
        <f ca="1">VLOOKUP(RIGHT(CELL("filename",A2),LEN(CELL("filename",A2))-FIND("]",CELL("filename",A2))),テーブル一覧!B:AC,1,FALSE)</f>
        <v>棚卸中製品在庫情報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7"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7"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t_seihin_zaiko_tanaoroshi_chu</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7"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7"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7" ht="14.4" customHeight="1">
      <c r="A8" s="37">
        <f>IF(B8="","",COUNTA($B$8:B8))</f>
        <v>1</v>
      </c>
      <c r="B8" s="219" t="s">
        <v>1692</v>
      </c>
      <c r="C8" s="220"/>
      <c r="D8" s="220"/>
      <c r="E8" s="220"/>
      <c r="F8" s="220"/>
      <c r="G8" s="220"/>
      <c r="H8" s="220"/>
      <c r="I8" s="54" t="s">
        <v>1439</v>
      </c>
      <c r="J8" s="222"/>
      <c r="K8" s="222"/>
      <c r="L8" s="222"/>
      <c r="M8" s="222"/>
      <c r="N8" s="222"/>
      <c r="O8" s="222"/>
      <c r="P8" s="222"/>
      <c r="Q8" s="222"/>
      <c r="R8" s="219" t="s">
        <v>1692</v>
      </c>
      <c r="S8" s="220"/>
      <c r="T8" s="220"/>
      <c r="U8" s="220"/>
      <c r="V8" s="220"/>
      <c r="W8" s="220"/>
      <c r="X8" s="220"/>
      <c r="Y8" s="219" t="s">
        <v>1504</v>
      </c>
      <c r="Z8" s="225"/>
      <c r="AA8" s="652" t="s">
        <v>1505</v>
      </c>
      <c r="AB8" s="653"/>
      <c r="AC8" s="654"/>
      <c r="AD8" s="57">
        <v>6</v>
      </c>
      <c r="AE8" s="227" t="s">
        <v>1585</v>
      </c>
      <c r="AF8" s="227" t="s">
        <v>116</v>
      </c>
      <c r="AG8" s="227" t="s">
        <v>84</v>
      </c>
      <c r="AH8" s="227"/>
      <c r="AI8" s="227"/>
      <c r="AJ8" s="227"/>
      <c r="AK8" s="227"/>
      <c r="AL8" s="227"/>
      <c r="AM8" s="227"/>
      <c r="AN8" s="227"/>
      <c r="AO8" s="58"/>
      <c r="AP8" s="58"/>
      <c r="AQ8" s="58"/>
      <c r="AR8" s="58"/>
      <c r="AS8" s="54"/>
      <c r="AT8" s="59"/>
      <c r="AU8" s="59"/>
      <c r="AV8" s="59"/>
      <c r="AW8" s="59"/>
      <c r="AX8" s="59"/>
      <c r="AY8" s="59"/>
      <c r="AZ8" s="59"/>
      <c r="BA8" s="59"/>
      <c r="BB8" s="59"/>
      <c r="BC8" s="59"/>
      <c r="BD8" s="60"/>
    </row>
    <row r="9" spans="1:57" ht="14.4" customHeight="1">
      <c r="A9" s="37">
        <f>IF(B9="","",COUNTA($B$8:B9))</f>
        <v>2</v>
      </c>
      <c r="B9" s="17" t="s">
        <v>1683</v>
      </c>
      <c r="C9" s="18"/>
      <c r="D9" s="18"/>
      <c r="E9" s="18"/>
      <c r="F9" s="18"/>
      <c r="G9" s="18"/>
      <c r="H9" s="18"/>
      <c r="I9" s="35" t="s">
        <v>1098</v>
      </c>
      <c r="J9" s="20"/>
      <c r="K9" s="20"/>
      <c r="L9" s="20"/>
      <c r="M9" s="20"/>
      <c r="N9" s="20"/>
      <c r="O9" s="20"/>
      <c r="P9" s="20"/>
      <c r="Q9" s="20"/>
      <c r="R9" s="17" t="s">
        <v>1683</v>
      </c>
      <c r="S9" s="18"/>
      <c r="T9" s="18"/>
      <c r="U9" s="18"/>
      <c r="V9" s="18"/>
      <c r="W9" s="18"/>
      <c r="X9" s="18"/>
      <c r="Y9" s="17" t="s">
        <v>1504</v>
      </c>
      <c r="Z9" s="28"/>
      <c r="AA9" s="591" t="s">
        <v>1505</v>
      </c>
      <c r="AB9" s="592"/>
      <c r="AC9" s="593"/>
      <c r="AD9" s="53">
        <v>15</v>
      </c>
      <c r="AE9" s="24" t="s">
        <v>1585</v>
      </c>
      <c r="AF9" s="24" t="s">
        <v>1341</v>
      </c>
      <c r="AG9" s="24" t="s">
        <v>84</v>
      </c>
      <c r="AH9" s="24"/>
      <c r="AI9" s="24"/>
      <c r="AJ9" s="24"/>
      <c r="AK9" s="24"/>
      <c r="AL9" s="24"/>
      <c r="AM9" s="24"/>
      <c r="AN9" s="24"/>
      <c r="AO9" s="25"/>
      <c r="AP9" s="25"/>
      <c r="AQ9" s="25"/>
      <c r="AR9" s="25"/>
      <c r="AS9" s="35"/>
      <c r="AT9" s="36"/>
      <c r="AU9" s="36"/>
      <c r="AV9" s="36"/>
      <c r="AW9" s="36"/>
      <c r="AX9" s="36"/>
      <c r="AY9" s="36"/>
      <c r="AZ9" s="36"/>
      <c r="BA9" s="36"/>
      <c r="BB9" s="36"/>
      <c r="BC9" s="36"/>
      <c r="BD9" s="50"/>
    </row>
    <row r="10" spans="1:57" ht="14.4" customHeight="1">
      <c r="A10" s="37">
        <f>IF(B10="","",COUNTA($B$8:B10))</f>
        <v>3</v>
      </c>
      <c r="B10" s="35" t="s">
        <v>1344</v>
      </c>
      <c r="C10" s="34"/>
      <c r="D10" s="34"/>
      <c r="E10" s="34"/>
      <c r="F10" s="34"/>
      <c r="G10" s="34"/>
      <c r="H10" s="34"/>
      <c r="I10" s="35" t="s">
        <v>1444</v>
      </c>
      <c r="J10" s="27"/>
      <c r="K10" s="27"/>
      <c r="L10" s="27"/>
      <c r="M10" s="27"/>
      <c r="N10" s="27"/>
      <c r="O10" s="27"/>
      <c r="P10" s="27"/>
      <c r="Q10" s="27"/>
      <c r="R10" s="35" t="s">
        <v>1344</v>
      </c>
      <c r="S10" s="34"/>
      <c r="T10" s="34"/>
      <c r="U10" s="34"/>
      <c r="V10" s="34"/>
      <c r="W10" s="34"/>
      <c r="X10" s="34"/>
      <c r="Y10" s="589" t="s">
        <v>1504</v>
      </c>
      <c r="Z10" s="636"/>
      <c r="AA10" s="591" t="s">
        <v>1505</v>
      </c>
      <c r="AB10" s="592"/>
      <c r="AC10" s="593"/>
      <c r="AD10" s="53">
        <v>2</v>
      </c>
      <c r="AE10" s="25"/>
      <c r="AF10" s="25"/>
      <c r="AG10" s="25"/>
      <c r="AH10" s="25"/>
      <c r="AI10" s="25"/>
      <c r="AJ10" s="25"/>
      <c r="AK10" s="25"/>
      <c r="AL10" s="25"/>
      <c r="AM10" s="25"/>
      <c r="AN10" s="25"/>
      <c r="AO10" s="25"/>
      <c r="AP10" s="25"/>
      <c r="AQ10" s="25"/>
      <c r="AR10" s="25"/>
      <c r="AS10" s="35" t="s">
        <v>1280</v>
      </c>
      <c r="AT10" s="36"/>
      <c r="AU10" s="36"/>
      <c r="AV10" s="36"/>
      <c r="AW10" s="36"/>
      <c r="AX10" s="36"/>
      <c r="AY10" s="36"/>
      <c r="AZ10" s="36"/>
      <c r="BA10" s="36"/>
      <c r="BB10" s="36"/>
      <c r="BC10" s="36"/>
      <c r="BD10" s="50"/>
    </row>
    <row r="11" spans="1:57" ht="14.4" customHeight="1">
      <c r="A11" s="37">
        <f>IF(B11="","",COUNTA($B$8:B11))</f>
        <v>4</v>
      </c>
      <c r="B11" s="35" t="s">
        <v>1514</v>
      </c>
      <c r="C11" s="34"/>
      <c r="D11" s="34"/>
      <c r="E11" s="34"/>
      <c r="F11" s="34"/>
      <c r="G11" s="34"/>
      <c r="H11" s="34"/>
      <c r="I11" s="35" t="s">
        <v>568</v>
      </c>
      <c r="J11" s="27"/>
      <c r="K11" s="27"/>
      <c r="L11" s="27"/>
      <c r="M11" s="27"/>
      <c r="N11" s="27"/>
      <c r="O11" s="27"/>
      <c r="P11" s="27"/>
      <c r="Q11" s="27"/>
      <c r="R11" s="35" t="s">
        <v>1514</v>
      </c>
      <c r="S11" s="34"/>
      <c r="T11" s="34"/>
      <c r="U11" s="34"/>
      <c r="V11" s="34"/>
      <c r="W11" s="34"/>
      <c r="X11" s="34"/>
      <c r="Y11" s="589" t="s">
        <v>1504</v>
      </c>
      <c r="Z11" s="636"/>
      <c r="AA11" s="591" t="s">
        <v>1505</v>
      </c>
      <c r="AB11" s="592"/>
      <c r="AC11" s="593"/>
      <c r="AD11" s="53">
        <v>20</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7" ht="14.4" customHeight="1">
      <c r="A12" s="37">
        <f>IF(B12="","",COUNTA($B$8:B12))</f>
        <v>5</v>
      </c>
      <c r="B12" s="35" t="s">
        <v>1515</v>
      </c>
      <c r="C12" s="34"/>
      <c r="D12" s="34"/>
      <c r="E12" s="34"/>
      <c r="F12" s="34"/>
      <c r="G12" s="34"/>
      <c r="H12" s="34"/>
      <c r="I12" s="35" t="s">
        <v>657</v>
      </c>
      <c r="J12" s="27"/>
      <c r="K12" s="27"/>
      <c r="L12" s="27"/>
      <c r="M12" s="27"/>
      <c r="N12" s="27"/>
      <c r="O12" s="27"/>
      <c r="P12" s="27"/>
      <c r="Q12" s="27"/>
      <c r="R12" s="35" t="s">
        <v>1515</v>
      </c>
      <c r="S12" s="34"/>
      <c r="T12" s="34"/>
      <c r="U12" s="34"/>
      <c r="V12" s="34"/>
      <c r="W12" s="34"/>
      <c r="X12" s="34"/>
      <c r="Y12" s="589" t="s">
        <v>1504</v>
      </c>
      <c r="Z12" s="636"/>
      <c r="AA12" s="591" t="s">
        <v>1505</v>
      </c>
      <c r="AB12" s="592"/>
      <c r="AC12" s="593"/>
      <c r="AD12" s="53">
        <v>30</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7" ht="14.4" customHeight="1">
      <c r="A13" s="37">
        <f>IF(B13="","",COUNTA($B$8:B13))</f>
        <v>6</v>
      </c>
      <c r="B13" s="35" t="s">
        <v>1616</v>
      </c>
      <c r="C13" s="34"/>
      <c r="D13" s="34"/>
      <c r="E13" s="34"/>
      <c r="F13" s="34"/>
      <c r="G13" s="34"/>
      <c r="H13" s="34"/>
      <c r="I13" s="35" t="s">
        <v>1445</v>
      </c>
      <c r="J13" s="27"/>
      <c r="K13" s="27"/>
      <c r="L13" s="27"/>
      <c r="M13" s="27"/>
      <c r="N13" s="27"/>
      <c r="O13" s="27"/>
      <c r="P13" s="27"/>
      <c r="Q13" s="27"/>
      <c r="R13" s="35" t="s">
        <v>1616</v>
      </c>
      <c r="S13" s="34"/>
      <c r="T13" s="34"/>
      <c r="U13" s="34"/>
      <c r="V13" s="34"/>
      <c r="W13" s="34"/>
      <c r="X13" s="34"/>
      <c r="Y13" s="589" t="s">
        <v>1516</v>
      </c>
      <c r="Z13" s="590"/>
      <c r="AA13" s="591" t="s">
        <v>1517</v>
      </c>
      <c r="AB13" s="592"/>
      <c r="AC13" s="593"/>
      <c r="AD13" s="53">
        <v>2</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c r="BE13" s="16" t="s">
        <v>1379</v>
      </c>
    </row>
    <row r="14" spans="1:57" ht="14.4" customHeight="1">
      <c r="A14" s="37">
        <f>IF(B14="","",COUNTA($B$8:B14))</f>
        <v>7</v>
      </c>
      <c r="B14" s="35" t="s">
        <v>1518</v>
      </c>
      <c r="C14" s="34"/>
      <c r="D14" s="34"/>
      <c r="E14" s="34"/>
      <c r="F14" s="34"/>
      <c r="G14" s="34"/>
      <c r="H14" s="34"/>
      <c r="I14" s="35" t="s">
        <v>534</v>
      </c>
      <c r="J14" s="27"/>
      <c r="K14" s="27"/>
      <c r="L14" s="27"/>
      <c r="M14" s="27"/>
      <c r="N14" s="27"/>
      <c r="O14" s="27"/>
      <c r="P14" s="27"/>
      <c r="Q14" s="27"/>
      <c r="R14" s="35" t="s">
        <v>1518</v>
      </c>
      <c r="S14" s="34"/>
      <c r="T14" s="34"/>
      <c r="U14" s="34"/>
      <c r="V14" s="34"/>
      <c r="W14" s="34"/>
      <c r="X14" s="34"/>
      <c r="Y14" s="589" t="s">
        <v>1516</v>
      </c>
      <c r="Z14" s="590"/>
      <c r="AA14" s="591" t="s">
        <v>1517</v>
      </c>
      <c r="AB14" s="592"/>
      <c r="AC14" s="593"/>
      <c r="AD14" s="53">
        <v>5</v>
      </c>
      <c r="AE14" s="25">
        <v>2</v>
      </c>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7" ht="14.4" customHeight="1">
      <c r="A15" s="37">
        <f>IF(B15="","",COUNTA($B$8:B15))</f>
        <v>8</v>
      </c>
      <c r="B15" s="35" t="s">
        <v>1519</v>
      </c>
      <c r="C15" s="34"/>
      <c r="D15" s="34"/>
      <c r="E15" s="34"/>
      <c r="F15" s="34"/>
      <c r="G15" s="34"/>
      <c r="H15" s="34"/>
      <c r="I15" s="35" t="s">
        <v>584</v>
      </c>
      <c r="J15" s="27"/>
      <c r="K15" s="27"/>
      <c r="L15" s="27"/>
      <c r="M15" s="27"/>
      <c r="N15" s="27"/>
      <c r="O15" s="27"/>
      <c r="P15" s="27"/>
      <c r="Q15" s="27"/>
      <c r="R15" s="35" t="s">
        <v>1519</v>
      </c>
      <c r="S15" s="34"/>
      <c r="T15" s="34"/>
      <c r="U15" s="34"/>
      <c r="V15" s="34"/>
      <c r="W15" s="34"/>
      <c r="X15" s="34"/>
      <c r="Y15" s="589" t="s">
        <v>1516</v>
      </c>
      <c r="Z15" s="590"/>
      <c r="AA15" s="591" t="s">
        <v>1517</v>
      </c>
      <c r="AB15" s="592"/>
      <c r="AC15" s="593"/>
      <c r="AD15" s="53">
        <v>5</v>
      </c>
      <c r="AE15" s="25"/>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7" ht="14.4" customHeight="1">
      <c r="A16" s="37">
        <f>IF(B16="","",COUNTA($B$8:B16))</f>
        <v>9</v>
      </c>
      <c r="B16" s="35" t="s">
        <v>1520</v>
      </c>
      <c r="C16" s="34"/>
      <c r="D16" s="34"/>
      <c r="E16" s="34"/>
      <c r="F16" s="34"/>
      <c r="G16" s="34"/>
      <c r="H16" s="34"/>
      <c r="I16" s="35" t="s">
        <v>526</v>
      </c>
      <c r="J16" s="27"/>
      <c r="K16" s="27"/>
      <c r="L16" s="27"/>
      <c r="M16" s="27"/>
      <c r="N16" s="27"/>
      <c r="O16" s="27"/>
      <c r="P16" s="27"/>
      <c r="Q16" s="27"/>
      <c r="R16" s="35" t="s">
        <v>1520</v>
      </c>
      <c r="S16" s="34"/>
      <c r="T16" s="34"/>
      <c r="U16" s="34"/>
      <c r="V16" s="34"/>
      <c r="W16" s="34"/>
      <c r="X16" s="34"/>
      <c r="Y16" s="589" t="s">
        <v>1516</v>
      </c>
      <c r="Z16" s="590"/>
      <c r="AA16" s="591" t="s">
        <v>1517</v>
      </c>
      <c r="AB16" s="592"/>
      <c r="AC16" s="593"/>
      <c r="AD16" s="53">
        <v>5</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7" ht="14.4" customHeight="1">
      <c r="A17" s="37">
        <f>IF(B17="","",COUNTA($B$8:B17))</f>
        <v>10</v>
      </c>
      <c r="B17" s="35" t="s">
        <v>1521</v>
      </c>
      <c r="C17" s="34"/>
      <c r="D17" s="34"/>
      <c r="E17" s="34"/>
      <c r="F17" s="34"/>
      <c r="G17" s="34"/>
      <c r="H17" s="34"/>
      <c r="I17" s="35" t="s">
        <v>1102</v>
      </c>
      <c r="J17" s="27"/>
      <c r="K17" s="27"/>
      <c r="L17" s="27"/>
      <c r="M17" s="27"/>
      <c r="N17" s="27"/>
      <c r="O17" s="27"/>
      <c r="P17" s="27"/>
      <c r="Q17" s="27"/>
      <c r="R17" s="35" t="s">
        <v>1521</v>
      </c>
      <c r="S17" s="34"/>
      <c r="T17" s="34"/>
      <c r="U17" s="34"/>
      <c r="V17" s="34"/>
      <c r="W17" s="34"/>
      <c r="X17" s="34"/>
      <c r="Y17" s="589" t="s">
        <v>1516</v>
      </c>
      <c r="Z17" s="590"/>
      <c r="AA17" s="591" t="s">
        <v>1517</v>
      </c>
      <c r="AB17" s="592"/>
      <c r="AC17" s="593"/>
      <c r="AD17" s="53">
        <v>7</v>
      </c>
      <c r="AE17" s="25">
        <v>2</v>
      </c>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7" ht="14.4" customHeight="1">
      <c r="A18" s="37">
        <f>IF(B18="","",COUNTA($B$8:B18))</f>
        <v>11</v>
      </c>
      <c r="B18" s="17" t="s">
        <v>1336</v>
      </c>
      <c r="C18" s="18"/>
      <c r="D18" s="18"/>
      <c r="E18" s="18"/>
      <c r="F18" s="18"/>
      <c r="G18" s="18"/>
      <c r="H18" s="18"/>
      <c r="I18" s="35" t="s">
        <v>1334</v>
      </c>
      <c r="J18" s="20"/>
      <c r="K18" s="20"/>
      <c r="L18" s="20"/>
      <c r="M18" s="20"/>
      <c r="N18" s="20"/>
      <c r="O18" s="20"/>
      <c r="P18" s="20"/>
      <c r="Q18" s="20"/>
      <c r="R18" s="17" t="s">
        <v>1524</v>
      </c>
      <c r="S18" s="18"/>
      <c r="T18" s="18"/>
      <c r="U18" s="18"/>
      <c r="V18" s="18"/>
      <c r="W18" s="18"/>
      <c r="X18" s="18"/>
      <c r="Y18" s="589" t="s">
        <v>1516</v>
      </c>
      <c r="Z18" s="590"/>
      <c r="AA18" s="591" t="s">
        <v>1517</v>
      </c>
      <c r="AB18" s="592"/>
      <c r="AC18" s="593"/>
      <c r="AD18" s="53">
        <v>5</v>
      </c>
      <c r="AE18" s="30" t="s">
        <v>1585</v>
      </c>
      <c r="AF18" s="30"/>
      <c r="AG18" s="30"/>
      <c r="AH18" s="30"/>
      <c r="AI18" s="30"/>
      <c r="AJ18" s="30"/>
      <c r="AK18" s="30"/>
      <c r="AL18" s="30"/>
      <c r="AM18" s="30"/>
      <c r="AN18" s="30"/>
      <c r="AO18" s="31"/>
      <c r="AP18" s="31"/>
      <c r="AQ18" s="31"/>
      <c r="AR18" s="31"/>
      <c r="AS18" s="32"/>
      <c r="AT18" s="33"/>
      <c r="AU18" s="51"/>
      <c r="AV18" s="51"/>
      <c r="AW18" s="51"/>
      <c r="AX18" s="51"/>
      <c r="AY18" s="51"/>
      <c r="AZ18" s="51"/>
      <c r="BA18" s="51"/>
      <c r="BB18" s="51"/>
      <c r="BC18" s="51"/>
      <c r="BD18" s="52"/>
      <c r="BE18" s="16" t="s">
        <v>1335</v>
      </c>
    </row>
    <row r="19" spans="1:57" ht="14.4" customHeight="1">
      <c r="A19" s="37">
        <f>IF(B19="","",COUNTA($B$8:B19))</f>
        <v>12</v>
      </c>
      <c r="B19" s="35" t="s">
        <v>505</v>
      </c>
      <c r="C19" s="34"/>
      <c r="D19" s="34"/>
      <c r="E19" s="34"/>
      <c r="F19" s="34"/>
      <c r="G19" s="34"/>
      <c r="H19" s="34"/>
      <c r="I19" s="35" t="s">
        <v>506</v>
      </c>
      <c r="J19" s="27"/>
      <c r="K19" s="27"/>
      <c r="L19" s="27"/>
      <c r="M19" s="27"/>
      <c r="N19" s="27"/>
      <c r="O19" s="27"/>
      <c r="P19" s="27"/>
      <c r="Q19" s="27"/>
      <c r="R19" s="35" t="s">
        <v>505</v>
      </c>
      <c r="S19" s="34"/>
      <c r="T19" s="34"/>
      <c r="U19" s="34"/>
      <c r="V19" s="34"/>
      <c r="W19" s="34"/>
      <c r="X19" s="34"/>
      <c r="Y19" s="589" t="s">
        <v>1504</v>
      </c>
      <c r="Z19" s="590"/>
      <c r="AA19" s="591" t="s">
        <v>1505</v>
      </c>
      <c r="AB19" s="592"/>
      <c r="AC19" s="593"/>
      <c r="AD19" s="53">
        <v>4</v>
      </c>
      <c r="AE19" s="25"/>
      <c r="AF19" s="25"/>
      <c r="AG19" s="25"/>
      <c r="AH19" s="25"/>
      <c r="AI19" s="25"/>
      <c r="AJ19" s="25"/>
      <c r="AK19" s="25"/>
      <c r="AL19" s="25"/>
      <c r="AM19" s="25"/>
      <c r="AN19" s="25"/>
      <c r="AO19" s="25"/>
      <c r="AP19" s="25"/>
      <c r="AQ19" s="25"/>
      <c r="AR19" s="25"/>
      <c r="AS19" s="35"/>
      <c r="AT19" s="36"/>
      <c r="AU19" s="36"/>
      <c r="AV19" s="36"/>
      <c r="AW19" s="36"/>
      <c r="AX19" s="36"/>
      <c r="AY19" s="36"/>
      <c r="AZ19" s="36"/>
      <c r="BA19" s="36"/>
      <c r="BB19" s="36"/>
      <c r="BC19" s="36"/>
      <c r="BD19" s="50"/>
      <c r="BE19" s="16" t="s">
        <v>1377</v>
      </c>
    </row>
    <row r="20" spans="1:57" ht="14.4" customHeight="1">
      <c r="A20" s="93">
        <f>IF(B20="","",COUNTA($B$8:B20))</f>
        <v>13</v>
      </c>
      <c r="B20" s="87" t="s">
        <v>127</v>
      </c>
      <c r="C20" s="181"/>
      <c r="D20" s="181"/>
      <c r="E20" s="181"/>
      <c r="F20" s="181"/>
      <c r="G20" s="181"/>
      <c r="H20" s="181"/>
      <c r="I20" s="87" t="s">
        <v>709</v>
      </c>
      <c r="J20" s="182"/>
      <c r="K20" s="182"/>
      <c r="L20" s="182"/>
      <c r="M20" s="182"/>
      <c r="N20" s="182"/>
      <c r="O20" s="182"/>
      <c r="P20" s="182"/>
      <c r="Q20" s="182"/>
      <c r="R20" s="87" t="s">
        <v>127</v>
      </c>
      <c r="S20" s="181"/>
      <c r="T20" s="181"/>
      <c r="U20" s="181"/>
      <c r="V20" s="181"/>
      <c r="W20" s="181"/>
      <c r="X20" s="181"/>
      <c r="Y20" s="647" t="s">
        <v>1516</v>
      </c>
      <c r="Z20" s="648"/>
      <c r="AA20" s="649" t="s">
        <v>1517</v>
      </c>
      <c r="AB20" s="650"/>
      <c r="AC20" s="651"/>
      <c r="AD20" s="94">
        <v>7</v>
      </c>
      <c r="AE20" s="95">
        <v>2</v>
      </c>
      <c r="AF20" s="95"/>
      <c r="AG20" s="95"/>
      <c r="AH20" s="95"/>
      <c r="AI20" s="95"/>
      <c r="AJ20" s="95"/>
      <c r="AK20" s="95"/>
      <c r="AL20" s="95"/>
      <c r="AM20" s="95"/>
      <c r="AN20" s="95"/>
      <c r="AO20" s="95"/>
      <c r="AP20" s="95"/>
      <c r="AQ20" s="95"/>
      <c r="AR20" s="95"/>
      <c r="AS20" s="87" t="s">
        <v>1375</v>
      </c>
      <c r="AT20" s="88"/>
      <c r="AU20" s="88"/>
      <c r="AV20" s="88"/>
      <c r="AW20" s="88"/>
      <c r="AX20" s="88"/>
      <c r="AY20" s="88"/>
      <c r="AZ20" s="88"/>
      <c r="BA20" s="88"/>
      <c r="BB20" s="88"/>
      <c r="BC20" s="88"/>
      <c r="BD20" s="89"/>
      <c r="BE20" s="16" t="s">
        <v>1377</v>
      </c>
    </row>
    <row r="21" spans="1:57" ht="14.4" customHeight="1">
      <c r="A21" s="96" t="str">
        <f>IF(B21="","",COUNTA($B$8:B21))</f>
        <v/>
      </c>
      <c r="B21" s="90"/>
      <c r="C21" s="249"/>
      <c r="D21" s="249"/>
      <c r="E21" s="249"/>
      <c r="F21" s="249"/>
      <c r="G21" s="249"/>
      <c r="H21" s="249"/>
      <c r="I21" s="90"/>
      <c r="J21" s="250"/>
      <c r="K21" s="250"/>
      <c r="L21" s="250"/>
      <c r="M21" s="250"/>
      <c r="N21" s="250"/>
      <c r="O21" s="250"/>
      <c r="P21" s="250"/>
      <c r="Q21" s="250"/>
      <c r="R21" s="90"/>
      <c r="S21" s="249"/>
      <c r="T21" s="249"/>
      <c r="U21" s="249"/>
      <c r="V21" s="249"/>
      <c r="W21" s="249"/>
      <c r="X21" s="249"/>
      <c r="Y21" s="642"/>
      <c r="Z21" s="643"/>
      <c r="AA21" s="644"/>
      <c r="AB21" s="645"/>
      <c r="AC21" s="646"/>
      <c r="AD21" s="101"/>
      <c r="AE21" s="103"/>
      <c r="AF21" s="103"/>
      <c r="AG21" s="103"/>
      <c r="AH21" s="103"/>
      <c r="AI21" s="103"/>
      <c r="AJ21" s="103"/>
      <c r="AK21" s="103"/>
      <c r="AL21" s="103"/>
      <c r="AM21" s="103"/>
      <c r="AN21" s="103"/>
      <c r="AO21" s="103"/>
      <c r="AP21" s="103"/>
      <c r="AQ21" s="103"/>
      <c r="AR21" s="103"/>
      <c r="AS21" s="90" t="s">
        <v>1376</v>
      </c>
      <c r="AT21" s="91"/>
      <c r="AU21" s="91"/>
      <c r="AV21" s="91"/>
      <c r="AW21" s="91"/>
      <c r="AX21" s="91"/>
      <c r="AY21" s="91"/>
      <c r="AZ21" s="91"/>
      <c r="BA21" s="91"/>
      <c r="BB21" s="91"/>
      <c r="BC21" s="91"/>
      <c r="BD21" s="92"/>
    </row>
    <row r="22" spans="1:57" ht="14.4" customHeight="1">
      <c r="A22" s="192">
        <f>IF(B22="","",COUNTA($B$8:B22))</f>
        <v>14</v>
      </c>
      <c r="B22" s="193" t="s">
        <v>431</v>
      </c>
      <c r="C22" s="194"/>
      <c r="D22" s="194"/>
      <c r="E22" s="194"/>
      <c r="F22" s="194"/>
      <c r="G22" s="194"/>
      <c r="H22" s="194"/>
      <c r="I22" s="193" t="s">
        <v>432</v>
      </c>
      <c r="J22" s="195"/>
      <c r="K22" s="195"/>
      <c r="L22" s="195"/>
      <c r="M22" s="195"/>
      <c r="N22" s="195"/>
      <c r="O22" s="195"/>
      <c r="P22" s="195"/>
      <c r="Q22" s="195"/>
      <c r="R22" s="193" t="s">
        <v>431</v>
      </c>
      <c r="S22" s="194"/>
      <c r="T22" s="194"/>
      <c r="U22" s="194"/>
      <c r="V22" s="194"/>
      <c r="W22" s="194"/>
      <c r="X22" s="194"/>
      <c r="Y22" s="637" t="s">
        <v>1516</v>
      </c>
      <c r="Z22" s="638"/>
      <c r="AA22" s="639" t="s">
        <v>1517</v>
      </c>
      <c r="AB22" s="640"/>
      <c r="AC22" s="641"/>
      <c r="AD22" s="196">
        <v>5</v>
      </c>
      <c r="AE22" s="197"/>
      <c r="AF22" s="197"/>
      <c r="AG22" s="197"/>
      <c r="AH22" s="197"/>
      <c r="AI22" s="197"/>
      <c r="AJ22" s="197"/>
      <c r="AK22" s="197"/>
      <c r="AL22" s="197"/>
      <c r="AM22" s="197"/>
      <c r="AN22" s="197"/>
      <c r="AO22" s="197"/>
      <c r="AP22" s="197"/>
      <c r="AQ22" s="197"/>
      <c r="AR22" s="197"/>
      <c r="AS22" s="193"/>
      <c r="AT22" s="198"/>
      <c r="AU22" s="198"/>
      <c r="AV22" s="198"/>
      <c r="AW22" s="198"/>
      <c r="AX22" s="198"/>
      <c r="AY22" s="198"/>
      <c r="AZ22" s="198"/>
      <c r="BA22" s="198"/>
      <c r="BB22" s="198"/>
      <c r="BC22" s="198"/>
      <c r="BD22" s="199"/>
    </row>
    <row r="23" spans="1:57" ht="14.4" customHeight="1">
      <c r="A23" s="37">
        <f>IF(B23="","",COUNTA($B$8:B23))</f>
        <v>15</v>
      </c>
      <c r="B23" s="35" t="s">
        <v>1337</v>
      </c>
      <c r="C23" s="34"/>
      <c r="D23" s="34"/>
      <c r="E23" s="34"/>
      <c r="F23" s="34"/>
      <c r="G23" s="34"/>
      <c r="H23" s="34"/>
      <c r="I23" s="35" t="s">
        <v>1448</v>
      </c>
      <c r="J23" s="27"/>
      <c r="K23" s="27"/>
      <c r="L23" s="27"/>
      <c r="M23" s="27"/>
      <c r="N23" s="27"/>
      <c r="O23" s="27"/>
      <c r="P23" s="27"/>
      <c r="Q23" s="27"/>
      <c r="R23" s="35" t="s">
        <v>1337</v>
      </c>
      <c r="S23" s="34"/>
      <c r="T23" s="34"/>
      <c r="U23" s="34"/>
      <c r="V23" s="34"/>
      <c r="W23" s="34"/>
      <c r="X23" s="34"/>
      <c r="Y23" s="589" t="s">
        <v>1504</v>
      </c>
      <c r="Z23" s="590"/>
      <c r="AA23" s="591" t="s">
        <v>1505</v>
      </c>
      <c r="AB23" s="592"/>
      <c r="AC23" s="593"/>
      <c r="AD23" s="53">
        <v>50</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7" ht="14.4" customHeight="1">
      <c r="A24" s="37">
        <f>IF(B24="","",COUNTA($B$8:B24))</f>
        <v>16</v>
      </c>
      <c r="B24" s="35" t="s">
        <v>1528</v>
      </c>
      <c r="C24" s="34"/>
      <c r="D24" s="34"/>
      <c r="E24" s="34"/>
      <c r="F24" s="34"/>
      <c r="G24" s="34"/>
      <c r="H24" s="34"/>
      <c r="I24" s="35" t="s">
        <v>1449</v>
      </c>
      <c r="J24" s="27"/>
      <c r="K24" s="27"/>
      <c r="L24" s="27"/>
      <c r="M24" s="27"/>
      <c r="N24" s="27"/>
      <c r="O24" s="27"/>
      <c r="P24" s="27"/>
      <c r="Q24" s="27"/>
      <c r="R24" s="35" t="s">
        <v>1528</v>
      </c>
      <c r="S24" s="34"/>
      <c r="T24" s="34"/>
      <c r="U24" s="34"/>
      <c r="V24" s="34"/>
      <c r="W24" s="34"/>
      <c r="X24" s="34"/>
      <c r="Y24" s="17" t="s">
        <v>1504</v>
      </c>
      <c r="Z24" s="28"/>
      <c r="AA24" s="591" t="s">
        <v>1505</v>
      </c>
      <c r="AB24" s="592"/>
      <c r="AC24" s="593"/>
      <c r="AD24" s="53">
        <v>10</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7" ht="14.4" customHeight="1">
      <c r="A25" s="37">
        <f>IF(B25="","",COUNTA($B$8:B25))</f>
        <v>17</v>
      </c>
      <c r="B25" s="35" t="s">
        <v>589</v>
      </c>
      <c r="C25" s="34"/>
      <c r="D25" s="34"/>
      <c r="E25" s="34"/>
      <c r="F25" s="34"/>
      <c r="G25" s="34"/>
      <c r="H25" s="34"/>
      <c r="I25" s="35" t="s">
        <v>1395</v>
      </c>
      <c r="J25" s="27"/>
      <c r="K25" s="27"/>
      <c r="L25" s="27"/>
      <c r="M25" s="27"/>
      <c r="N25" s="27"/>
      <c r="O25" s="27"/>
      <c r="P25" s="27"/>
      <c r="Q25" s="27"/>
      <c r="R25" s="35" t="s">
        <v>589</v>
      </c>
      <c r="S25" s="34"/>
      <c r="T25" s="34"/>
      <c r="U25" s="34"/>
      <c r="V25" s="34"/>
      <c r="W25" s="34"/>
      <c r="X25" s="34"/>
      <c r="Y25" s="589" t="s">
        <v>1504</v>
      </c>
      <c r="Z25" s="590"/>
      <c r="AA25" s="591" t="s">
        <v>1505</v>
      </c>
      <c r="AB25" s="592"/>
      <c r="AC25" s="593"/>
      <c r="AD25" s="53">
        <v>3</v>
      </c>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7" ht="14.4" customHeight="1">
      <c r="A26" s="37">
        <f>IF(B26="","",COUNTA($B$8:B26))</f>
        <v>18</v>
      </c>
      <c r="B26" s="35" t="s">
        <v>1690</v>
      </c>
      <c r="C26" s="34"/>
      <c r="D26" s="34"/>
      <c r="E26" s="34"/>
      <c r="F26" s="34"/>
      <c r="G26" s="34"/>
      <c r="H26" s="34"/>
      <c r="I26" s="35" t="s">
        <v>1450</v>
      </c>
      <c r="J26" s="27"/>
      <c r="K26" s="27"/>
      <c r="L26" s="27"/>
      <c r="M26" s="27"/>
      <c r="N26" s="27"/>
      <c r="O26" s="27"/>
      <c r="P26" s="27"/>
      <c r="Q26" s="27"/>
      <c r="R26" s="35" t="s">
        <v>1690</v>
      </c>
      <c r="S26" s="34"/>
      <c r="T26" s="34"/>
      <c r="U26" s="34"/>
      <c r="V26" s="34"/>
      <c r="W26" s="34"/>
      <c r="X26" s="34"/>
      <c r="Y26" s="589" t="s">
        <v>1504</v>
      </c>
      <c r="Z26" s="590"/>
      <c r="AA26" s="591" t="s">
        <v>1505</v>
      </c>
      <c r="AB26" s="592"/>
      <c r="AC26" s="593"/>
      <c r="AD26" s="53">
        <v>10</v>
      </c>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7" ht="14.4" customHeight="1">
      <c r="A27" s="37">
        <f>IF(B27="","",COUNTA($B$8:B27))</f>
        <v>19</v>
      </c>
      <c r="B27" s="17" t="s">
        <v>1694</v>
      </c>
      <c r="C27" s="34"/>
      <c r="D27" s="34"/>
      <c r="E27" s="34"/>
      <c r="F27" s="34"/>
      <c r="G27" s="34"/>
      <c r="H27" s="34"/>
      <c r="I27" s="35" t="s">
        <v>1451</v>
      </c>
      <c r="J27" s="27"/>
      <c r="K27" s="27"/>
      <c r="L27" s="27"/>
      <c r="M27" s="27"/>
      <c r="N27" s="27"/>
      <c r="O27" s="27"/>
      <c r="P27" s="27"/>
      <c r="Q27" s="27"/>
      <c r="R27" s="17" t="s">
        <v>1694</v>
      </c>
      <c r="S27" s="34"/>
      <c r="T27" s="34"/>
      <c r="U27" s="34"/>
      <c r="V27" s="34"/>
      <c r="W27" s="34"/>
      <c r="X27" s="34"/>
      <c r="Y27" s="589" t="s">
        <v>1504</v>
      </c>
      <c r="Z27" s="590"/>
      <c r="AA27" s="591" t="s">
        <v>1505</v>
      </c>
      <c r="AB27" s="592"/>
      <c r="AC27" s="593"/>
      <c r="AD27" s="23">
        <v>1</v>
      </c>
      <c r="AE27" s="25"/>
      <c r="AF27" s="25"/>
      <c r="AG27" s="25"/>
      <c r="AH27" s="25"/>
      <c r="AI27" s="25"/>
      <c r="AJ27" s="25"/>
      <c r="AK27" s="25"/>
      <c r="AL27" s="25"/>
      <c r="AM27" s="25"/>
      <c r="AN27" s="25"/>
      <c r="AO27" s="25"/>
      <c r="AP27" s="25"/>
      <c r="AQ27" s="25"/>
      <c r="AR27" s="25"/>
      <c r="AS27" s="26"/>
      <c r="AT27" s="51"/>
      <c r="AU27" s="51"/>
      <c r="AV27" s="51"/>
      <c r="AW27" s="51"/>
      <c r="AX27" s="51"/>
      <c r="AY27" s="51"/>
      <c r="AZ27" s="51"/>
      <c r="BA27" s="51"/>
      <c r="BB27" s="51"/>
      <c r="BC27" s="51"/>
      <c r="BD27" s="52"/>
      <c r="BE27" s="267">
        <v>45195</v>
      </c>
    </row>
    <row r="28" spans="1:57" ht="14.4" customHeight="1">
      <c r="A28" s="37">
        <f>IF(B28="","",COUNTA($B$8:B28))</f>
        <v>20</v>
      </c>
      <c r="B28" s="17" t="s">
        <v>1620</v>
      </c>
      <c r="C28" s="34"/>
      <c r="D28" s="34"/>
      <c r="E28" s="34"/>
      <c r="F28" s="34"/>
      <c r="G28" s="34"/>
      <c r="H28" s="34"/>
      <c r="I28" s="35" t="s">
        <v>1452</v>
      </c>
      <c r="J28" s="27"/>
      <c r="K28" s="27"/>
      <c r="L28" s="27"/>
      <c r="M28" s="27"/>
      <c r="N28" s="27"/>
      <c r="O28" s="27"/>
      <c r="P28" s="27"/>
      <c r="Q28" s="27"/>
      <c r="R28" s="17" t="s">
        <v>1620</v>
      </c>
      <c r="S28" s="34"/>
      <c r="T28" s="34"/>
      <c r="U28" s="34"/>
      <c r="V28" s="34"/>
      <c r="W28" s="34"/>
      <c r="X28" s="34"/>
      <c r="Y28" s="589" t="s">
        <v>1504</v>
      </c>
      <c r="Z28" s="590"/>
      <c r="AA28" s="591" t="s">
        <v>1505</v>
      </c>
      <c r="AB28" s="592"/>
      <c r="AC28" s="593"/>
      <c r="AD28" s="23">
        <v>1</v>
      </c>
      <c r="AE28" s="25"/>
      <c r="AF28" s="25"/>
      <c r="AG28" s="25"/>
      <c r="AH28" s="25"/>
      <c r="AI28" s="25"/>
      <c r="AJ28" s="25"/>
      <c r="AK28" s="25"/>
      <c r="AL28" s="25"/>
      <c r="AM28" s="25"/>
      <c r="AN28" s="25"/>
      <c r="AO28" s="25"/>
      <c r="AP28" s="25"/>
      <c r="AQ28" s="25"/>
      <c r="AR28" s="25"/>
      <c r="AS28" s="26"/>
      <c r="AT28" s="51"/>
      <c r="AU28" s="51"/>
      <c r="AV28" s="51"/>
      <c r="AW28" s="51"/>
      <c r="AX28" s="51"/>
      <c r="AY28" s="51"/>
      <c r="AZ28" s="51"/>
      <c r="BA28" s="51"/>
      <c r="BB28" s="51"/>
      <c r="BC28" s="51"/>
      <c r="BD28" s="52"/>
      <c r="BE28" s="267">
        <v>45195</v>
      </c>
    </row>
    <row r="29" spans="1:57" ht="14.4" customHeight="1">
      <c r="A29" s="37">
        <f>IF(B29="","",COUNTA($B$8:B29))</f>
        <v>21</v>
      </c>
      <c r="B29" s="17" t="s">
        <v>1642</v>
      </c>
      <c r="C29" s="34"/>
      <c r="D29" s="34"/>
      <c r="E29" s="34"/>
      <c r="F29" s="34"/>
      <c r="G29" s="34"/>
      <c r="H29" s="34"/>
      <c r="I29" s="35" t="s">
        <v>1453</v>
      </c>
      <c r="J29" s="27"/>
      <c r="K29" s="27"/>
      <c r="L29" s="27"/>
      <c r="M29" s="27"/>
      <c r="N29" s="27"/>
      <c r="O29" s="27"/>
      <c r="P29" s="27"/>
      <c r="Q29" s="27"/>
      <c r="R29" s="17" t="s">
        <v>1642</v>
      </c>
      <c r="S29" s="34"/>
      <c r="T29" s="34"/>
      <c r="U29" s="34"/>
      <c r="V29" s="34"/>
      <c r="W29" s="34"/>
      <c r="X29" s="34"/>
      <c r="Y29" s="589" t="s">
        <v>1504</v>
      </c>
      <c r="Z29" s="590"/>
      <c r="AA29" s="591" t="s">
        <v>1505</v>
      </c>
      <c r="AB29" s="592"/>
      <c r="AC29" s="593"/>
      <c r="AD29" s="23">
        <v>1</v>
      </c>
      <c r="AE29" s="25"/>
      <c r="AF29" s="25"/>
      <c r="AG29" s="25"/>
      <c r="AH29" s="25"/>
      <c r="AI29" s="25"/>
      <c r="AJ29" s="25"/>
      <c r="AK29" s="25"/>
      <c r="AL29" s="25"/>
      <c r="AM29" s="25"/>
      <c r="AN29" s="25"/>
      <c r="AO29" s="25"/>
      <c r="AP29" s="25"/>
      <c r="AQ29" s="25"/>
      <c r="AR29" s="25"/>
      <c r="AS29" s="26"/>
      <c r="AT29" s="51"/>
      <c r="AU29" s="51"/>
      <c r="AV29" s="51"/>
      <c r="AW29" s="51"/>
      <c r="AX29" s="51"/>
      <c r="AY29" s="51"/>
      <c r="AZ29" s="51"/>
      <c r="BA29" s="51"/>
      <c r="BB29" s="51"/>
      <c r="BC29" s="51"/>
      <c r="BD29" s="52"/>
      <c r="BE29" s="267">
        <v>45195</v>
      </c>
    </row>
    <row r="30" spans="1:57" ht="14.4" customHeight="1">
      <c r="A30" s="37">
        <f>IF(B30="","",COUNTA($B$8:B30))</f>
        <v>22</v>
      </c>
      <c r="B30" s="17" t="s">
        <v>1302</v>
      </c>
      <c r="C30" s="34"/>
      <c r="D30" s="34"/>
      <c r="E30" s="34"/>
      <c r="F30" s="34"/>
      <c r="G30" s="34"/>
      <c r="H30" s="34"/>
      <c r="I30" s="35" t="s">
        <v>624</v>
      </c>
      <c r="J30" s="27"/>
      <c r="K30" s="27"/>
      <c r="L30" s="27"/>
      <c r="M30" s="27"/>
      <c r="N30" s="27"/>
      <c r="O30" s="27"/>
      <c r="P30" s="27"/>
      <c r="Q30" s="27"/>
      <c r="R30" s="17" t="s">
        <v>1302</v>
      </c>
      <c r="S30" s="34"/>
      <c r="T30" s="34"/>
      <c r="U30" s="34"/>
      <c r="V30" s="34"/>
      <c r="W30" s="34"/>
      <c r="X30" s="34"/>
      <c r="Y30" s="589" t="s">
        <v>1504</v>
      </c>
      <c r="Z30" s="590"/>
      <c r="AA30" s="591" t="s">
        <v>1505</v>
      </c>
      <c r="AB30" s="592"/>
      <c r="AC30" s="593"/>
      <c r="AD30" s="23">
        <v>10</v>
      </c>
      <c r="AE30" s="25"/>
      <c r="AF30" s="25"/>
      <c r="AG30" s="25"/>
      <c r="AH30" s="25"/>
      <c r="AI30" s="25"/>
      <c r="AJ30" s="25"/>
      <c r="AK30" s="25"/>
      <c r="AL30" s="25"/>
      <c r="AM30" s="25"/>
      <c r="AN30" s="25"/>
      <c r="AO30" s="25"/>
      <c r="AP30" s="25"/>
      <c r="AQ30" s="25"/>
      <c r="AR30" s="25"/>
      <c r="AS30" s="26"/>
      <c r="AT30" s="51"/>
      <c r="AU30" s="51"/>
      <c r="AV30" s="51"/>
      <c r="AW30" s="51"/>
      <c r="AX30" s="51"/>
      <c r="AY30" s="51"/>
      <c r="AZ30" s="51"/>
      <c r="BA30" s="51"/>
      <c r="BB30" s="51"/>
      <c r="BC30" s="51"/>
      <c r="BD30" s="52"/>
    </row>
    <row r="31" spans="1:57" ht="14.4" customHeight="1">
      <c r="A31" s="37">
        <f>IF(B31="","",COUNTA($B$8:B31))</f>
        <v>23</v>
      </c>
      <c r="B31" s="17" t="s">
        <v>1508</v>
      </c>
      <c r="C31" s="34"/>
      <c r="D31" s="34"/>
      <c r="E31" s="34"/>
      <c r="F31" s="34"/>
      <c r="G31" s="34"/>
      <c r="H31" s="34"/>
      <c r="I31" s="35" t="s">
        <v>624</v>
      </c>
      <c r="J31" s="27"/>
      <c r="K31" s="27"/>
      <c r="L31" s="27"/>
      <c r="M31" s="27"/>
      <c r="N31" s="27"/>
      <c r="O31" s="27"/>
      <c r="P31" s="27"/>
      <c r="Q31" s="27"/>
      <c r="R31" s="17" t="s">
        <v>1508</v>
      </c>
      <c r="S31" s="34"/>
      <c r="T31" s="34"/>
      <c r="U31" s="34"/>
      <c r="V31" s="34"/>
      <c r="W31" s="34"/>
      <c r="X31" s="34"/>
      <c r="Y31" s="589" t="s">
        <v>1504</v>
      </c>
      <c r="Z31" s="590"/>
      <c r="AA31" s="591" t="s">
        <v>1505</v>
      </c>
      <c r="AB31" s="592"/>
      <c r="AC31" s="593"/>
      <c r="AD31" s="23">
        <v>10</v>
      </c>
      <c r="AE31" s="25"/>
      <c r="AF31" s="25"/>
      <c r="AG31" s="25"/>
      <c r="AH31" s="25"/>
      <c r="AI31" s="25"/>
      <c r="AJ31" s="25"/>
      <c r="AK31" s="25"/>
      <c r="AL31" s="25"/>
      <c r="AM31" s="25"/>
      <c r="AN31" s="25"/>
      <c r="AO31" s="25"/>
      <c r="AP31" s="25"/>
      <c r="AQ31" s="25"/>
      <c r="AR31" s="25"/>
      <c r="AS31" s="26"/>
      <c r="AT31" s="51"/>
      <c r="AU31" s="51"/>
      <c r="AV31" s="51"/>
      <c r="AW31" s="51"/>
      <c r="AX31" s="51"/>
      <c r="AY31" s="51"/>
      <c r="AZ31" s="51"/>
      <c r="BA31" s="51"/>
      <c r="BB31" s="51"/>
      <c r="BC31" s="51"/>
      <c r="BD31" s="52"/>
    </row>
    <row r="32" spans="1:57" ht="14.4" customHeight="1">
      <c r="A32" s="37">
        <f>IF(B32="","",COUNTA($B$8:B32))</f>
        <v>24</v>
      </c>
      <c r="B32" s="17" t="s">
        <v>1509</v>
      </c>
      <c r="C32" s="34"/>
      <c r="D32" s="34"/>
      <c r="E32" s="34"/>
      <c r="F32" s="34"/>
      <c r="G32" s="34"/>
      <c r="H32" s="34"/>
      <c r="I32" s="35" t="s">
        <v>548</v>
      </c>
      <c r="J32" s="27"/>
      <c r="K32" s="27"/>
      <c r="L32" s="27"/>
      <c r="M32" s="27"/>
      <c r="N32" s="27"/>
      <c r="O32" s="27"/>
      <c r="P32" s="27"/>
      <c r="Q32" s="27"/>
      <c r="R32" s="17" t="s">
        <v>1509</v>
      </c>
      <c r="S32" s="34"/>
      <c r="T32" s="34"/>
      <c r="U32" s="34"/>
      <c r="V32" s="34"/>
      <c r="W32" s="34"/>
      <c r="X32" s="34"/>
      <c r="Y32" s="589" t="s">
        <v>1510</v>
      </c>
      <c r="Z32" s="590"/>
      <c r="AA32" s="591" t="s">
        <v>1511</v>
      </c>
      <c r="AB32" s="592"/>
      <c r="AC32" s="593"/>
      <c r="AD32" s="38"/>
      <c r="AE32" s="25"/>
      <c r="AF32" s="25"/>
      <c r="AG32" s="25"/>
      <c r="AH32" s="25"/>
      <c r="AI32" s="25"/>
      <c r="AJ32" s="25"/>
      <c r="AK32" s="25"/>
      <c r="AL32" s="25"/>
      <c r="AM32" s="25"/>
      <c r="AN32" s="25"/>
      <c r="AO32" s="25"/>
      <c r="AP32" s="25"/>
      <c r="AQ32" s="25"/>
      <c r="AR32" s="25"/>
      <c r="AS32" s="26"/>
      <c r="AT32" s="51"/>
      <c r="AU32" s="51"/>
      <c r="AV32" s="51"/>
      <c r="AW32" s="51"/>
      <c r="AX32" s="51"/>
      <c r="AY32" s="51"/>
      <c r="AZ32" s="51"/>
      <c r="BA32" s="51"/>
      <c r="BB32" s="51"/>
      <c r="BC32" s="51"/>
      <c r="BD32" s="52"/>
    </row>
    <row r="33" spans="1:56" ht="14.4" customHeight="1">
      <c r="A33" s="37">
        <f>IF(B33="","",COUNTA($B$8:B33))</f>
        <v>25</v>
      </c>
      <c r="B33" s="17" t="s">
        <v>1306</v>
      </c>
      <c r="C33" s="34"/>
      <c r="D33" s="34"/>
      <c r="E33" s="34"/>
      <c r="F33" s="34"/>
      <c r="G33" s="34"/>
      <c r="H33" s="34"/>
      <c r="I33" s="35" t="s">
        <v>626</v>
      </c>
      <c r="J33" s="27"/>
      <c r="K33" s="27"/>
      <c r="L33" s="27"/>
      <c r="M33" s="27"/>
      <c r="N33" s="27"/>
      <c r="O33" s="27"/>
      <c r="P33" s="27"/>
      <c r="Q33" s="27"/>
      <c r="R33" s="17" t="s">
        <v>1306</v>
      </c>
      <c r="S33" s="34"/>
      <c r="T33" s="34"/>
      <c r="U33" s="34"/>
      <c r="V33" s="34"/>
      <c r="W33" s="34"/>
      <c r="X33" s="34"/>
      <c r="Y33" s="589" t="s">
        <v>1504</v>
      </c>
      <c r="Z33" s="590"/>
      <c r="AA33" s="591" t="s">
        <v>1505</v>
      </c>
      <c r="AB33" s="592"/>
      <c r="AC33" s="593"/>
      <c r="AD33" s="23">
        <v>10</v>
      </c>
      <c r="AE33" s="25"/>
      <c r="AF33" s="25"/>
      <c r="AG33" s="25"/>
      <c r="AH33" s="25"/>
      <c r="AI33" s="25"/>
      <c r="AJ33" s="25"/>
      <c r="AK33" s="25"/>
      <c r="AL33" s="25"/>
      <c r="AM33" s="25"/>
      <c r="AN33" s="25"/>
      <c r="AO33" s="25"/>
      <c r="AP33" s="25"/>
      <c r="AQ33" s="25"/>
      <c r="AR33" s="25"/>
      <c r="AS33" s="26"/>
      <c r="AT33" s="51"/>
      <c r="AU33" s="51"/>
      <c r="AV33" s="51"/>
      <c r="AW33" s="51"/>
      <c r="AX33" s="51"/>
      <c r="AY33" s="51"/>
      <c r="AZ33" s="51"/>
      <c r="BA33" s="51"/>
      <c r="BB33" s="51"/>
      <c r="BC33" s="51"/>
      <c r="BD33" s="52"/>
    </row>
    <row r="34" spans="1:56" ht="14.4" customHeight="1">
      <c r="A34" s="37">
        <f>IF(B34="","",COUNTA($B$8:B34))</f>
        <v>26</v>
      </c>
      <c r="B34" s="17" t="s">
        <v>1512</v>
      </c>
      <c r="C34" s="18"/>
      <c r="D34" s="18"/>
      <c r="E34" s="18"/>
      <c r="F34" s="18"/>
      <c r="G34" s="18"/>
      <c r="H34" s="18"/>
      <c r="I34" s="35" t="s">
        <v>390</v>
      </c>
      <c r="J34" s="20"/>
      <c r="K34" s="20"/>
      <c r="L34" s="20"/>
      <c r="M34" s="20"/>
      <c r="N34" s="20"/>
      <c r="O34" s="20"/>
      <c r="P34" s="20"/>
      <c r="Q34" s="20"/>
      <c r="R34" s="17" t="s">
        <v>1512</v>
      </c>
      <c r="S34" s="18"/>
      <c r="T34" s="18"/>
      <c r="U34" s="18"/>
      <c r="V34" s="18"/>
      <c r="W34" s="18"/>
      <c r="X34" s="18"/>
      <c r="Y34" s="589" t="s">
        <v>1504</v>
      </c>
      <c r="Z34" s="590"/>
      <c r="AA34" s="591" t="s">
        <v>1505</v>
      </c>
      <c r="AB34" s="592"/>
      <c r="AC34" s="593"/>
      <c r="AD34" s="38">
        <v>10</v>
      </c>
      <c r="AE34" s="30" t="s">
        <v>1585</v>
      </c>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 customHeight="1">
      <c r="A35" s="37">
        <f>IF(B35="","",COUNTA($B$8:B35))</f>
        <v>27</v>
      </c>
      <c r="B35" s="17" t="s">
        <v>1513</v>
      </c>
      <c r="C35" s="18"/>
      <c r="D35" s="18"/>
      <c r="E35" s="18"/>
      <c r="F35" s="18"/>
      <c r="G35" s="18"/>
      <c r="H35" s="18"/>
      <c r="I35" s="35" t="s">
        <v>394</v>
      </c>
      <c r="J35" s="20"/>
      <c r="K35" s="20"/>
      <c r="L35" s="20"/>
      <c r="M35" s="20"/>
      <c r="N35" s="20"/>
      <c r="O35" s="20"/>
      <c r="P35" s="20"/>
      <c r="Q35" s="20"/>
      <c r="R35" s="17" t="s">
        <v>1513</v>
      </c>
      <c r="S35" s="18"/>
      <c r="T35" s="18"/>
      <c r="U35" s="18"/>
      <c r="V35" s="18"/>
      <c r="W35" s="18"/>
      <c r="X35" s="18"/>
      <c r="Y35" s="589" t="s">
        <v>1510</v>
      </c>
      <c r="Z35" s="590"/>
      <c r="AA35" s="591" t="s">
        <v>1511</v>
      </c>
      <c r="AB35" s="592"/>
      <c r="AC35" s="593"/>
      <c r="AD35" s="38"/>
      <c r="AE35" s="30" t="s">
        <v>1585</v>
      </c>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 customHeight="1">
      <c r="A36" s="37"/>
      <c r="B36" s="17"/>
      <c r="C36" s="34"/>
      <c r="D36" s="34"/>
      <c r="E36" s="34"/>
      <c r="F36" s="34"/>
      <c r="G36" s="34"/>
      <c r="H36" s="34"/>
      <c r="I36" s="19"/>
      <c r="J36" s="27"/>
      <c r="K36" s="27"/>
      <c r="L36" s="27"/>
      <c r="M36" s="27"/>
      <c r="N36" s="27"/>
      <c r="O36" s="27"/>
      <c r="P36" s="27"/>
      <c r="Q36" s="27"/>
      <c r="R36" s="17"/>
      <c r="S36" s="34"/>
      <c r="T36" s="34"/>
      <c r="U36" s="34"/>
      <c r="V36" s="34"/>
      <c r="W36" s="34"/>
      <c r="X36" s="34"/>
      <c r="Y36" s="589"/>
      <c r="Z36" s="590"/>
      <c r="AA36" s="591"/>
      <c r="AB36" s="592"/>
      <c r="AC36" s="593"/>
      <c r="AD36" s="23"/>
      <c r="AE36" s="25"/>
      <c r="AF36" s="25"/>
      <c r="AG36" s="25"/>
      <c r="AH36" s="25"/>
      <c r="AI36" s="25"/>
      <c r="AJ36" s="25"/>
      <c r="AK36" s="25"/>
      <c r="AL36" s="25"/>
      <c r="AM36" s="25"/>
      <c r="AN36" s="25"/>
      <c r="AO36" s="25"/>
      <c r="AP36" s="25"/>
      <c r="AQ36" s="25"/>
      <c r="AR36" s="25"/>
      <c r="AS36" s="26"/>
      <c r="AT36" s="51"/>
      <c r="AU36" s="51"/>
      <c r="AV36" s="51"/>
      <c r="AW36" s="51"/>
      <c r="AX36" s="51"/>
      <c r="AY36" s="51"/>
      <c r="AZ36" s="51"/>
      <c r="BA36" s="51"/>
      <c r="BB36" s="51"/>
      <c r="BC36" s="51"/>
      <c r="BD36" s="52"/>
    </row>
    <row r="37" spans="1:56" ht="14.4" customHeight="1">
      <c r="A37" s="37"/>
      <c r="B37" s="17"/>
      <c r="C37" s="18"/>
      <c r="D37" s="18"/>
      <c r="E37" s="18"/>
      <c r="F37" s="18"/>
      <c r="G37" s="18"/>
      <c r="H37" s="18"/>
      <c r="I37" s="19"/>
      <c r="J37" s="20"/>
      <c r="K37" s="20"/>
      <c r="L37" s="20"/>
      <c r="M37" s="20"/>
      <c r="N37" s="20"/>
      <c r="O37" s="20"/>
      <c r="P37" s="20"/>
      <c r="Q37" s="20"/>
      <c r="R37" s="17"/>
      <c r="S37" s="18"/>
      <c r="T37" s="18"/>
      <c r="U37" s="18"/>
      <c r="V37" s="18"/>
      <c r="W37" s="18"/>
      <c r="X37" s="18"/>
      <c r="Y37" s="589"/>
      <c r="Z37" s="590"/>
      <c r="AA37" s="591"/>
      <c r="AB37" s="592"/>
      <c r="AC37" s="593"/>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4.4" customHeight="1">
      <c r="A38" s="37"/>
      <c r="B38" s="17"/>
      <c r="C38" s="18"/>
      <c r="D38" s="18"/>
      <c r="E38" s="18"/>
      <c r="F38" s="18"/>
      <c r="G38" s="18"/>
      <c r="H38" s="18"/>
      <c r="I38" s="19"/>
      <c r="J38" s="20"/>
      <c r="K38" s="20"/>
      <c r="L38" s="20"/>
      <c r="M38" s="20"/>
      <c r="N38" s="20"/>
      <c r="O38" s="20"/>
      <c r="P38" s="20"/>
      <c r="Q38" s="20"/>
      <c r="R38" s="17"/>
      <c r="S38" s="18"/>
      <c r="T38" s="18"/>
      <c r="U38" s="18"/>
      <c r="V38" s="18"/>
      <c r="W38" s="18"/>
      <c r="X38" s="18"/>
      <c r="Y38" s="589"/>
      <c r="Z38" s="590"/>
      <c r="AA38" s="591"/>
      <c r="AB38" s="592"/>
      <c r="AC38" s="593"/>
      <c r="AD38" s="38"/>
      <c r="AE38" s="30"/>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4.4" customHeight="1">
      <c r="A39" s="37" t="str">
        <f>IF(B39="","",COUNTA($B$9:B39))</f>
        <v/>
      </c>
      <c r="B39" s="17"/>
      <c r="C39" s="18"/>
      <c r="D39" s="18"/>
      <c r="E39" s="18"/>
      <c r="F39" s="18"/>
      <c r="G39" s="18"/>
      <c r="H39" s="18"/>
      <c r="I39" s="19"/>
      <c r="J39" s="20"/>
      <c r="K39" s="20"/>
      <c r="L39" s="20"/>
      <c r="M39" s="20"/>
      <c r="N39" s="20"/>
      <c r="O39" s="20"/>
      <c r="P39" s="20"/>
      <c r="Q39" s="20"/>
      <c r="R39" s="17"/>
      <c r="S39" s="18"/>
      <c r="T39" s="18"/>
      <c r="U39" s="18"/>
      <c r="V39" s="18"/>
      <c r="W39" s="18"/>
      <c r="X39" s="18"/>
      <c r="Y39" s="17"/>
      <c r="Z39" s="28"/>
      <c r="AA39" s="21"/>
      <c r="AB39" s="22"/>
      <c r="AC39" s="29"/>
      <c r="AD39" s="38"/>
      <c r="AE39" s="30"/>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4.4" customHeight="1">
      <c r="A40" s="37" t="str">
        <f>IF(B40="","",COUNTA($B$9:B40))</f>
        <v/>
      </c>
      <c r="B40" s="17"/>
      <c r="C40" s="18"/>
      <c r="D40" s="18"/>
      <c r="E40" s="18"/>
      <c r="F40" s="18"/>
      <c r="G40" s="18"/>
      <c r="H40" s="18"/>
      <c r="I40" s="19"/>
      <c r="J40" s="20"/>
      <c r="K40" s="20"/>
      <c r="L40" s="20"/>
      <c r="M40" s="20"/>
      <c r="N40" s="20"/>
      <c r="O40" s="20"/>
      <c r="P40" s="20"/>
      <c r="Q40" s="20"/>
      <c r="R40" s="17"/>
      <c r="S40" s="18"/>
      <c r="T40" s="18"/>
      <c r="U40" s="18"/>
      <c r="V40" s="18"/>
      <c r="W40" s="18"/>
      <c r="X40" s="18"/>
      <c r="Y40" s="17"/>
      <c r="Z40" s="28"/>
      <c r="AA40" s="21"/>
      <c r="AB40" s="22"/>
      <c r="AC40" s="29"/>
      <c r="AD40" s="38"/>
      <c r="AE40" s="30"/>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4.4" customHeight="1">
      <c r="A41" s="37" t="str">
        <f>IF(B41="","",COUNTA($B$9:B41))</f>
        <v/>
      </c>
      <c r="B41" s="17"/>
      <c r="C41" s="18"/>
      <c r="D41" s="18"/>
      <c r="E41" s="18"/>
      <c r="F41" s="18"/>
      <c r="G41" s="18"/>
      <c r="H41" s="18"/>
      <c r="I41" s="19"/>
      <c r="J41" s="20"/>
      <c r="K41" s="20"/>
      <c r="L41" s="20"/>
      <c r="M41" s="20"/>
      <c r="N41" s="20"/>
      <c r="O41" s="20"/>
      <c r="P41" s="20"/>
      <c r="Q41" s="20"/>
      <c r="R41" s="17"/>
      <c r="S41" s="18"/>
      <c r="T41" s="18"/>
      <c r="U41" s="18"/>
      <c r="V41" s="18"/>
      <c r="W41" s="18"/>
      <c r="X41" s="18"/>
      <c r="Y41" s="17"/>
      <c r="Z41" s="28"/>
      <c r="AA41" s="21"/>
      <c r="AB41" s="22"/>
      <c r="AC41" s="29"/>
      <c r="AD41" s="38"/>
      <c r="AE41" s="30"/>
      <c r="AF41" s="30"/>
      <c r="AG41" s="30"/>
      <c r="AH41" s="30"/>
      <c r="AI41" s="30"/>
      <c r="AJ41" s="30"/>
      <c r="AK41" s="30"/>
      <c r="AL41" s="30"/>
      <c r="AM41" s="30"/>
      <c r="AN41" s="30"/>
      <c r="AO41" s="31"/>
      <c r="AP41" s="31"/>
      <c r="AQ41" s="31"/>
      <c r="AR41" s="31"/>
      <c r="AS41" s="32"/>
      <c r="AT41" s="33"/>
      <c r="AU41" s="51"/>
      <c r="AV41" s="51"/>
      <c r="AW41" s="51"/>
      <c r="AX41" s="51"/>
      <c r="AY41" s="51"/>
      <c r="AZ41" s="51"/>
      <c r="BA41" s="51"/>
      <c r="BB41" s="51"/>
      <c r="BC41" s="51"/>
      <c r="BD41" s="52"/>
    </row>
    <row r="42" spans="1:56" ht="14.4" customHeight="1">
      <c r="A42" s="37" t="str">
        <f>IF(B42="","",COUNTA($B$9:B42))</f>
        <v/>
      </c>
      <c r="B42" s="17"/>
      <c r="C42" s="18"/>
      <c r="D42" s="18"/>
      <c r="E42" s="18"/>
      <c r="F42" s="18"/>
      <c r="G42" s="18"/>
      <c r="H42" s="18"/>
      <c r="I42" s="19"/>
      <c r="J42" s="20"/>
      <c r="K42" s="20"/>
      <c r="L42" s="20"/>
      <c r="M42" s="20"/>
      <c r="N42" s="20"/>
      <c r="O42" s="20"/>
      <c r="P42" s="20"/>
      <c r="Q42" s="20"/>
      <c r="R42" s="17"/>
      <c r="S42" s="18"/>
      <c r="T42" s="18"/>
      <c r="U42" s="18"/>
      <c r="V42" s="18"/>
      <c r="W42" s="18"/>
      <c r="X42" s="18"/>
      <c r="Y42" s="17"/>
      <c r="Z42" s="28"/>
      <c r="AA42" s="21"/>
      <c r="AB42" s="22"/>
      <c r="AC42" s="29"/>
      <c r="AD42" s="38"/>
      <c r="AE42" s="30"/>
      <c r="AF42" s="30"/>
      <c r="AG42" s="30"/>
      <c r="AH42" s="30"/>
      <c r="AI42" s="30"/>
      <c r="AJ42" s="30"/>
      <c r="AK42" s="30"/>
      <c r="AL42" s="30"/>
      <c r="AM42" s="30"/>
      <c r="AN42" s="30"/>
      <c r="AO42" s="31"/>
      <c r="AP42" s="31"/>
      <c r="AQ42" s="31"/>
      <c r="AR42" s="31"/>
      <c r="AS42" s="32"/>
      <c r="AT42" s="33"/>
      <c r="AU42" s="51"/>
      <c r="AV42" s="51"/>
      <c r="AW42" s="51"/>
      <c r="AX42" s="51"/>
      <c r="AY42" s="51"/>
      <c r="AZ42" s="51"/>
      <c r="BA42" s="51"/>
      <c r="BB42" s="51"/>
      <c r="BC42" s="51"/>
      <c r="BD42" s="52"/>
    </row>
    <row r="43" spans="1:56" ht="14.4" customHeight="1">
      <c r="A43" s="37" t="str">
        <f>IF(B43="","",COUNTA($B$9:B43))</f>
        <v/>
      </c>
      <c r="B43" s="17"/>
      <c r="C43" s="18"/>
      <c r="D43" s="18"/>
      <c r="E43" s="18"/>
      <c r="F43" s="18"/>
      <c r="G43" s="18"/>
      <c r="H43" s="18"/>
      <c r="I43" s="19"/>
      <c r="J43" s="20"/>
      <c r="K43" s="20"/>
      <c r="L43" s="20"/>
      <c r="M43" s="20"/>
      <c r="N43" s="20"/>
      <c r="O43" s="20"/>
      <c r="P43" s="20"/>
      <c r="Q43" s="20"/>
      <c r="R43" s="17"/>
      <c r="S43" s="18"/>
      <c r="T43" s="18"/>
      <c r="U43" s="18"/>
      <c r="V43" s="18"/>
      <c r="W43" s="18"/>
      <c r="X43" s="18"/>
      <c r="Y43" s="17"/>
      <c r="Z43" s="28"/>
      <c r="AA43" s="21"/>
      <c r="AB43" s="22"/>
      <c r="AC43" s="29"/>
      <c r="AD43" s="38"/>
      <c r="AE43" s="30"/>
      <c r="AF43" s="30"/>
      <c r="AG43" s="30"/>
      <c r="AH43" s="30"/>
      <c r="AI43" s="30"/>
      <c r="AJ43" s="30"/>
      <c r="AK43" s="30"/>
      <c r="AL43" s="30"/>
      <c r="AM43" s="30"/>
      <c r="AN43" s="30"/>
      <c r="AO43" s="31"/>
      <c r="AP43" s="31"/>
      <c r="AQ43" s="31"/>
      <c r="AR43" s="31"/>
      <c r="AS43" s="32"/>
      <c r="AT43" s="33"/>
      <c r="AU43" s="51"/>
      <c r="AV43" s="51"/>
      <c r="AW43" s="51"/>
      <c r="AX43" s="51"/>
      <c r="AY43" s="51"/>
      <c r="AZ43" s="51"/>
      <c r="BA43" s="51"/>
      <c r="BB43" s="51"/>
      <c r="BC43" s="51"/>
      <c r="BD43" s="52"/>
    </row>
    <row r="44" spans="1:56" ht="14.4" customHeight="1">
      <c r="A44" s="37" t="str">
        <f>IF(B44="","",COUNTA($B$9:B44))</f>
        <v/>
      </c>
      <c r="B44" s="17"/>
      <c r="C44" s="18"/>
      <c r="D44" s="18"/>
      <c r="E44" s="18"/>
      <c r="F44" s="18"/>
      <c r="G44" s="18"/>
      <c r="H44" s="18"/>
      <c r="I44" s="19"/>
      <c r="J44" s="20"/>
      <c r="K44" s="20"/>
      <c r="L44" s="20"/>
      <c r="M44" s="20"/>
      <c r="N44" s="20"/>
      <c r="O44" s="20"/>
      <c r="P44" s="20"/>
      <c r="Q44" s="20"/>
      <c r="R44" s="17"/>
      <c r="S44" s="18"/>
      <c r="T44" s="18"/>
      <c r="U44" s="18"/>
      <c r="V44" s="18"/>
      <c r="W44" s="18"/>
      <c r="X44" s="18"/>
      <c r="Y44" s="17"/>
      <c r="Z44" s="28"/>
      <c r="AA44" s="21"/>
      <c r="AB44" s="22"/>
      <c r="AC44" s="29"/>
      <c r="AD44" s="38"/>
      <c r="AE44" s="30"/>
      <c r="AF44" s="30"/>
      <c r="AG44" s="30"/>
      <c r="AH44" s="30"/>
      <c r="AI44" s="30"/>
      <c r="AJ44" s="30"/>
      <c r="AK44" s="30"/>
      <c r="AL44" s="30"/>
      <c r="AM44" s="30"/>
      <c r="AN44" s="30"/>
      <c r="AO44" s="31"/>
      <c r="AP44" s="31"/>
      <c r="AQ44" s="31"/>
      <c r="AR44" s="31"/>
      <c r="AS44" s="32"/>
      <c r="AT44" s="33"/>
      <c r="AU44" s="51"/>
      <c r="AV44" s="51"/>
      <c r="AW44" s="51"/>
      <c r="AX44" s="51"/>
      <c r="AY44" s="51"/>
      <c r="AZ44" s="51"/>
      <c r="BA44" s="51"/>
      <c r="BB44" s="51"/>
      <c r="BC44" s="51"/>
      <c r="BD44" s="52"/>
    </row>
    <row r="45" spans="1:56" ht="14.4" customHeight="1">
      <c r="A45" s="37" t="str">
        <f>IF(B45="","",COUNTA($B$9:B45))</f>
        <v/>
      </c>
      <c r="B45" s="17"/>
      <c r="C45" s="18"/>
      <c r="D45" s="18"/>
      <c r="E45" s="18"/>
      <c r="F45" s="18"/>
      <c r="G45" s="18"/>
      <c r="H45" s="18"/>
      <c r="I45" s="19"/>
      <c r="J45" s="20"/>
      <c r="K45" s="20"/>
      <c r="L45" s="20"/>
      <c r="M45" s="20"/>
      <c r="N45" s="20"/>
      <c r="O45" s="20"/>
      <c r="P45" s="20"/>
      <c r="Q45" s="20"/>
      <c r="R45" s="17"/>
      <c r="S45" s="18"/>
      <c r="T45" s="18"/>
      <c r="U45" s="18"/>
      <c r="V45" s="18"/>
      <c r="W45" s="18"/>
      <c r="X45" s="18"/>
      <c r="Y45" s="17"/>
      <c r="Z45" s="28"/>
      <c r="AA45" s="21"/>
      <c r="AB45" s="22"/>
      <c r="AC45" s="29"/>
      <c r="AD45" s="38"/>
      <c r="AE45" s="30"/>
      <c r="AF45" s="30"/>
      <c r="AG45" s="30"/>
      <c r="AH45" s="30"/>
      <c r="AI45" s="30"/>
      <c r="AJ45" s="30"/>
      <c r="AK45" s="30"/>
      <c r="AL45" s="30"/>
      <c r="AM45" s="30"/>
      <c r="AN45" s="30"/>
      <c r="AO45" s="31"/>
      <c r="AP45" s="31"/>
      <c r="AQ45" s="31"/>
      <c r="AR45" s="31"/>
      <c r="AS45" s="32"/>
      <c r="AT45" s="33"/>
      <c r="AU45" s="51"/>
      <c r="AV45" s="51"/>
      <c r="AW45" s="51"/>
      <c r="AX45" s="51"/>
      <c r="AY45" s="51"/>
      <c r="AZ45" s="51"/>
      <c r="BA45" s="51"/>
      <c r="BB45" s="51"/>
      <c r="BC45" s="51"/>
      <c r="BD45" s="52"/>
    </row>
    <row r="46" spans="1:56" ht="14.4" customHeight="1">
      <c r="A46" s="37" t="str">
        <f>IF(B46="","",COUNTA($B$9:B46))</f>
        <v/>
      </c>
      <c r="B46" s="17"/>
      <c r="C46" s="18"/>
      <c r="D46" s="18"/>
      <c r="E46" s="18"/>
      <c r="F46" s="18"/>
      <c r="G46" s="18"/>
      <c r="H46" s="18"/>
      <c r="I46" s="19"/>
      <c r="J46" s="20"/>
      <c r="K46" s="20"/>
      <c r="L46" s="20"/>
      <c r="M46" s="20"/>
      <c r="N46" s="20"/>
      <c r="O46" s="20"/>
      <c r="P46" s="20"/>
      <c r="Q46" s="20"/>
      <c r="R46" s="17"/>
      <c r="S46" s="18"/>
      <c r="T46" s="18"/>
      <c r="U46" s="18"/>
      <c r="V46" s="18"/>
      <c r="W46" s="18"/>
      <c r="X46" s="18"/>
      <c r="Y46" s="17"/>
      <c r="Z46" s="28"/>
      <c r="AA46" s="21"/>
      <c r="AB46" s="22"/>
      <c r="AC46" s="29"/>
      <c r="AD46" s="38"/>
      <c r="AE46" s="30"/>
      <c r="AF46" s="30"/>
      <c r="AG46" s="30"/>
      <c r="AH46" s="30"/>
      <c r="AI46" s="30"/>
      <c r="AJ46" s="30"/>
      <c r="AK46" s="30"/>
      <c r="AL46" s="30"/>
      <c r="AM46" s="30"/>
      <c r="AN46" s="30"/>
      <c r="AO46" s="31"/>
      <c r="AP46" s="31"/>
      <c r="AQ46" s="31"/>
      <c r="AR46" s="31"/>
      <c r="AS46" s="32"/>
      <c r="AT46" s="33"/>
      <c r="AU46" s="51"/>
      <c r="AV46" s="51"/>
      <c r="AW46" s="51"/>
      <c r="AX46" s="51"/>
      <c r="AY46" s="51"/>
      <c r="AZ46" s="51"/>
      <c r="BA46" s="51"/>
      <c r="BB46" s="51"/>
      <c r="BC46" s="51"/>
      <c r="BD46" s="52"/>
    </row>
  </sheetData>
  <mergeCells count="91">
    <mergeCell ref="AA13:AC13"/>
    <mergeCell ref="AG6:AG7"/>
    <mergeCell ref="AH6:AH7"/>
    <mergeCell ref="Y14:Z14"/>
    <mergeCell ref="AA14:AC14"/>
    <mergeCell ref="AA8:AC8"/>
    <mergeCell ref="Y11:Z11"/>
    <mergeCell ref="AA11:AC11"/>
    <mergeCell ref="Y12:Z12"/>
    <mergeCell ref="AA12:AC12"/>
    <mergeCell ref="AA9:AC9"/>
    <mergeCell ref="Y10:Z10"/>
    <mergeCell ref="AA10:AC10"/>
    <mergeCell ref="A1:H4"/>
    <mergeCell ref="A6:A7"/>
    <mergeCell ref="B6:H7"/>
    <mergeCell ref="I6:Q7"/>
    <mergeCell ref="R6:X7"/>
    <mergeCell ref="R2:X4"/>
    <mergeCell ref="I1:Q1"/>
    <mergeCell ref="R1:X1"/>
    <mergeCell ref="I2:Q4"/>
    <mergeCell ref="Y16:Z16"/>
    <mergeCell ref="AA16:AC16"/>
    <mergeCell ref="Y15:Z15"/>
    <mergeCell ref="AA15:AC15"/>
    <mergeCell ref="AZ1:BD1"/>
    <mergeCell ref="Y6:Z7"/>
    <mergeCell ref="Y2:AO3"/>
    <mergeCell ref="AP2:AT2"/>
    <mergeCell ref="AZ2:BD2"/>
    <mergeCell ref="AP3:AT3"/>
    <mergeCell ref="AU3:AY3"/>
    <mergeCell ref="Y1:AO1"/>
    <mergeCell ref="AP1:AT1"/>
    <mergeCell ref="AU1:AY1"/>
    <mergeCell ref="AP4:AT4"/>
    <mergeCell ref="Y13:Z13"/>
    <mergeCell ref="AZ3:BD3"/>
    <mergeCell ref="Y4:AO4"/>
    <mergeCell ref="AI6:AR6"/>
    <mergeCell ref="AS6:BD7"/>
    <mergeCell ref="AA6:AC7"/>
    <mergeCell ref="AD6:AD7"/>
    <mergeCell ref="AE6:AE7"/>
    <mergeCell ref="AF6:AF7"/>
    <mergeCell ref="AZ4:BD4"/>
    <mergeCell ref="AU4:AY4"/>
    <mergeCell ref="Y38:Z38"/>
    <mergeCell ref="AA38:AC38"/>
    <mergeCell ref="Y20:Z20"/>
    <mergeCell ref="AA20:AC20"/>
    <mergeCell ref="Y25:Z25"/>
    <mergeCell ref="AA25:AC25"/>
    <mergeCell ref="Y26:Z26"/>
    <mergeCell ref="AA26:AC26"/>
    <mergeCell ref="AA30:AC30"/>
    <mergeCell ref="Y30:Z30"/>
    <mergeCell ref="Y35:Z35"/>
    <mergeCell ref="AA35:AC35"/>
    <mergeCell ref="Y36:Z36"/>
    <mergeCell ref="AA36:AC36"/>
    <mergeCell ref="Y37:Z37"/>
    <mergeCell ref="AA37:AC37"/>
    <mergeCell ref="Y34:Z34"/>
    <mergeCell ref="AA34:AC34"/>
    <mergeCell ref="Y31:Z31"/>
    <mergeCell ref="Y32:Z32"/>
    <mergeCell ref="AA32:AC32"/>
    <mergeCell ref="Y17:Z17"/>
    <mergeCell ref="AA17:AC17"/>
    <mergeCell ref="AA31:AC31"/>
    <mergeCell ref="Y33:Z33"/>
    <mergeCell ref="AA33:AC33"/>
    <mergeCell ref="Y23:Z23"/>
    <mergeCell ref="AA23:AC23"/>
    <mergeCell ref="AA24:AC24"/>
    <mergeCell ref="Y18:Z18"/>
    <mergeCell ref="AA18:AC18"/>
    <mergeCell ref="Y22:Z22"/>
    <mergeCell ref="AA22:AC22"/>
    <mergeCell ref="Y21:Z21"/>
    <mergeCell ref="AA21:AC21"/>
    <mergeCell ref="Y19:Z19"/>
    <mergeCell ref="AA19:AC19"/>
    <mergeCell ref="Y27:Z27"/>
    <mergeCell ref="AA27:AC27"/>
    <mergeCell ref="Y28:Z28"/>
    <mergeCell ref="AA28:AC28"/>
    <mergeCell ref="Y29:Z29"/>
    <mergeCell ref="AA29:AC29"/>
  </mergeCells>
  <phoneticPr fontId="12"/>
  <dataValidations count="3">
    <dataValidation imeMode="hiragana" allowBlank="1" showInputMessage="1" showErrorMessage="1" sqref="JG65521:JR65523 TC65521:TN65523 ACY65521:ADJ65523 AMU65521:ANF65523 AWQ65521:AXB65523 BGM65521:BGX65523 BQI65521:BQT65523 CAE65521:CAP65523 CKA65521:CKL65523 CTW65521:CUH65523 DDS65521:DED65523 DNO65521:DNZ65523 DXK65521:DXV65523 EHG65521:EHR65523 ERC65521:ERN65523 FAY65521:FBJ65523 FKU65521:FLF65523 FUQ65521:FVB65523 GEM65521:GEX65523 GOI65521:GOT65523 GYE65521:GYP65523 HIA65521:HIL65523 HRW65521:HSH65523 IBS65521:ICD65523 ILO65521:ILZ65523 IVK65521:IVV65523 JFG65521:JFR65523 JPC65521:JPN65523 JYY65521:JZJ65523 KIU65521:KJF65523 KSQ65521:KTB65523 LCM65521:LCX65523 LMI65521:LMT65523 LWE65521:LWP65523 MGA65521:MGL65523 MPW65521:MQH65523 MZS65521:NAD65523 NJO65521:NJZ65523 NTK65521:NTV65523 ODG65521:ODR65523 ONC65521:ONN65523 OWY65521:OXJ65523 PGU65521:PHF65523 PQQ65521:PRB65523 QAM65521:QAX65523 QKI65521:QKT65523 QUE65521:QUP65523 REA65521:REL65523 RNW65521:ROH65523 RXS65521:RYD65523 SHO65521:SHZ65523 SRK65521:SRV65523 TBG65521:TBR65523 TLC65521:TLN65523 TUY65521:TVJ65523 UEU65521:UFF65523 UOQ65521:UPB65523 UYM65521:UYX65523 VII65521:VIT65523 VSE65521:VSP65523 WCA65521:WCL65523 WLW65521:WMH65523 WVS65521:WWD65523 JG131057:JR131059 TC131057:TN131059 ACY131057:ADJ131059 AMU131057:ANF131059 AWQ131057:AXB131059 BGM131057:BGX131059 BQI131057:BQT131059 CAE131057:CAP131059 CKA131057:CKL131059 CTW131057:CUH131059 DDS131057:DED131059 DNO131057:DNZ131059 DXK131057:DXV131059 EHG131057:EHR131059 ERC131057:ERN131059 FAY131057:FBJ131059 FKU131057:FLF131059 FUQ131057:FVB131059 GEM131057:GEX131059 GOI131057:GOT131059 GYE131057:GYP131059 HIA131057:HIL131059 HRW131057:HSH131059 IBS131057:ICD131059 ILO131057:ILZ131059 IVK131057:IVV131059 JFG131057:JFR131059 JPC131057:JPN131059 JYY131057:JZJ131059 KIU131057:KJF131059 KSQ131057:KTB131059 LCM131057:LCX131059 LMI131057:LMT131059 LWE131057:LWP131059 MGA131057:MGL131059 MPW131057:MQH131059 MZS131057:NAD131059 NJO131057:NJZ131059 NTK131057:NTV131059 ODG131057:ODR131059 ONC131057:ONN131059 OWY131057:OXJ131059 PGU131057:PHF131059 PQQ131057:PRB131059 QAM131057:QAX131059 QKI131057:QKT131059 QUE131057:QUP131059 REA131057:REL131059 RNW131057:ROH131059 RXS131057:RYD131059 SHO131057:SHZ131059 SRK131057:SRV131059 TBG131057:TBR131059 TLC131057:TLN131059 TUY131057:TVJ131059 UEU131057:UFF131059 UOQ131057:UPB131059 UYM131057:UYX131059 VII131057:VIT131059 VSE131057:VSP131059 WCA131057:WCL131059 WLW131057:WMH131059 WVS131057:WWD131059 JG196593:JR196595 TC196593:TN196595 ACY196593:ADJ196595 AMU196593:ANF196595 AWQ196593:AXB196595 BGM196593:BGX196595 BQI196593:BQT196595 CAE196593:CAP196595 CKA196593:CKL196595 CTW196593:CUH196595 DDS196593:DED196595 DNO196593:DNZ196595 DXK196593:DXV196595 EHG196593:EHR196595 ERC196593:ERN196595 FAY196593:FBJ196595 FKU196593:FLF196595 FUQ196593:FVB196595 GEM196593:GEX196595 GOI196593:GOT196595 GYE196593:GYP196595 HIA196593:HIL196595 HRW196593:HSH196595 IBS196593:ICD196595 ILO196593:ILZ196595 IVK196593:IVV196595 JFG196593:JFR196595 JPC196593:JPN196595 JYY196593:JZJ196595 KIU196593:KJF196595 KSQ196593:KTB196595 LCM196593:LCX196595 LMI196593:LMT196595 LWE196593:LWP196595 MGA196593:MGL196595 MPW196593:MQH196595 MZS196593:NAD196595 NJO196593:NJZ196595 NTK196593:NTV196595 ODG196593:ODR196595 ONC196593:ONN196595 OWY196593:OXJ196595 PGU196593:PHF196595 PQQ196593:PRB196595 QAM196593:QAX196595 QKI196593:QKT196595 QUE196593:QUP196595 REA196593:REL196595 RNW196593:ROH196595 RXS196593:RYD196595 SHO196593:SHZ196595 SRK196593:SRV196595 TBG196593:TBR196595 TLC196593:TLN196595 TUY196593:TVJ196595 UEU196593:UFF196595 UOQ196593:UPB196595 UYM196593:UYX196595 VII196593:VIT196595 VSE196593:VSP196595 WCA196593:WCL196595 WLW196593:WMH196595 WVS196593:WWD196595 JG262129:JR262131 TC262129:TN262131 ACY262129:ADJ262131 AMU262129:ANF262131 AWQ262129:AXB262131 BGM262129:BGX262131 BQI262129:BQT262131 CAE262129:CAP262131 CKA262129:CKL262131 CTW262129:CUH262131 DDS262129:DED262131 DNO262129:DNZ262131 DXK262129:DXV262131 EHG262129:EHR262131 ERC262129:ERN262131 FAY262129:FBJ262131 FKU262129:FLF262131 FUQ262129:FVB262131 GEM262129:GEX262131 GOI262129:GOT262131 GYE262129:GYP262131 HIA262129:HIL262131 HRW262129:HSH262131 IBS262129:ICD262131 ILO262129:ILZ262131 IVK262129:IVV262131 JFG262129:JFR262131 JPC262129:JPN262131 JYY262129:JZJ262131 KIU262129:KJF262131 KSQ262129:KTB262131 LCM262129:LCX262131 LMI262129:LMT262131 LWE262129:LWP262131 MGA262129:MGL262131 MPW262129:MQH262131 MZS262129:NAD262131 NJO262129:NJZ262131 NTK262129:NTV262131 ODG262129:ODR262131 ONC262129:ONN262131 OWY262129:OXJ262131 PGU262129:PHF262131 PQQ262129:PRB262131 QAM262129:QAX262131 QKI262129:QKT262131 QUE262129:QUP262131 REA262129:REL262131 RNW262129:ROH262131 RXS262129:RYD262131 SHO262129:SHZ262131 SRK262129:SRV262131 TBG262129:TBR262131 TLC262129:TLN262131 TUY262129:TVJ262131 UEU262129:UFF262131 UOQ262129:UPB262131 UYM262129:UYX262131 VII262129:VIT262131 VSE262129:VSP262131 WCA262129:WCL262131 WLW262129:WMH262131 WVS262129:WWD262131 JG327665:JR327667 TC327665:TN327667 ACY327665:ADJ327667 AMU327665:ANF327667 AWQ327665:AXB327667 BGM327665:BGX327667 BQI327665:BQT327667 CAE327665:CAP327667 CKA327665:CKL327667 CTW327665:CUH327667 DDS327665:DED327667 DNO327665:DNZ327667 DXK327665:DXV327667 EHG327665:EHR327667 ERC327665:ERN327667 FAY327665:FBJ327667 FKU327665:FLF327667 FUQ327665:FVB327667 GEM327665:GEX327667 GOI327665:GOT327667 GYE327665:GYP327667 HIA327665:HIL327667 HRW327665:HSH327667 IBS327665:ICD327667 ILO327665:ILZ327667 IVK327665:IVV327667 JFG327665:JFR327667 JPC327665:JPN327667 JYY327665:JZJ327667 KIU327665:KJF327667 KSQ327665:KTB327667 LCM327665:LCX327667 LMI327665:LMT327667 LWE327665:LWP327667 MGA327665:MGL327667 MPW327665:MQH327667 MZS327665:NAD327667 NJO327665:NJZ327667 NTK327665:NTV327667 ODG327665:ODR327667 ONC327665:ONN327667 OWY327665:OXJ327667 PGU327665:PHF327667 PQQ327665:PRB327667 QAM327665:QAX327667 QKI327665:QKT327667 QUE327665:QUP327667 REA327665:REL327667 RNW327665:ROH327667 RXS327665:RYD327667 SHO327665:SHZ327667 SRK327665:SRV327667 TBG327665:TBR327667 TLC327665:TLN327667 TUY327665:TVJ327667 UEU327665:UFF327667 UOQ327665:UPB327667 UYM327665:UYX327667 VII327665:VIT327667 VSE327665:VSP327667 WCA327665:WCL327667 WLW327665:WMH327667 WVS327665:WWD327667 JG393201:JR393203 TC393201:TN393203 ACY393201:ADJ393203 AMU393201:ANF393203 AWQ393201:AXB393203 BGM393201:BGX393203 BQI393201:BQT393203 CAE393201:CAP393203 CKA393201:CKL393203 CTW393201:CUH393203 DDS393201:DED393203 DNO393201:DNZ393203 DXK393201:DXV393203 EHG393201:EHR393203 ERC393201:ERN393203 FAY393201:FBJ393203 FKU393201:FLF393203 FUQ393201:FVB393203 GEM393201:GEX393203 GOI393201:GOT393203 GYE393201:GYP393203 HIA393201:HIL393203 HRW393201:HSH393203 IBS393201:ICD393203 ILO393201:ILZ393203 IVK393201:IVV393203 JFG393201:JFR393203 JPC393201:JPN393203 JYY393201:JZJ393203 KIU393201:KJF393203 KSQ393201:KTB393203 LCM393201:LCX393203 LMI393201:LMT393203 LWE393201:LWP393203 MGA393201:MGL393203 MPW393201:MQH393203 MZS393201:NAD393203 NJO393201:NJZ393203 NTK393201:NTV393203 ODG393201:ODR393203 ONC393201:ONN393203 OWY393201:OXJ393203 PGU393201:PHF393203 PQQ393201:PRB393203 QAM393201:QAX393203 QKI393201:QKT393203 QUE393201:QUP393203 REA393201:REL393203 RNW393201:ROH393203 RXS393201:RYD393203 SHO393201:SHZ393203 SRK393201:SRV393203 TBG393201:TBR393203 TLC393201:TLN393203 TUY393201:TVJ393203 UEU393201:UFF393203 UOQ393201:UPB393203 UYM393201:UYX393203 VII393201:VIT393203 VSE393201:VSP393203 WCA393201:WCL393203 WLW393201:WMH393203 WVS393201:WWD393203 JG458737:JR458739 TC458737:TN458739 ACY458737:ADJ458739 AMU458737:ANF458739 AWQ458737:AXB458739 BGM458737:BGX458739 BQI458737:BQT458739 CAE458737:CAP458739 CKA458737:CKL458739 CTW458737:CUH458739 DDS458737:DED458739 DNO458737:DNZ458739 DXK458737:DXV458739 EHG458737:EHR458739 ERC458737:ERN458739 FAY458737:FBJ458739 FKU458737:FLF458739 FUQ458737:FVB458739 GEM458737:GEX458739 GOI458737:GOT458739 GYE458737:GYP458739 HIA458737:HIL458739 HRW458737:HSH458739 IBS458737:ICD458739 ILO458737:ILZ458739 IVK458737:IVV458739 JFG458737:JFR458739 JPC458737:JPN458739 JYY458737:JZJ458739 KIU458737:KJF458739 KSQ458737:KTB458739 LCM458737:LCX458739 LMI458737:LMT458739 LWE458737:LWP458739 MGA458737:MGL458739 MPW458737:MQH458739 MZS458737:NAD458739 NJO458737:NJZ458739 NTK458737:NTV458739 ODG458737:ODR458739 ONC458737:ONN458739 OWY458737:OXJ458739 PGU458737:PHF458739 PQQ458737:PRB458739 QAM458737:QAX458739 QKI458737:QKT458739 QUE458737:QUP458739 REA458737:REL458739 RNW458737:ROH458739 RXS458737:RYD458739 SHO458737:SHZ458739 SRK458737:SRV458739 TBG458737:TBR458739 TLC458737:TLN458739 TUY458737:TVJ458739 UEU458737:UFF458739 UOQ458737:UPB458739 UYM458737:UYX458739 VII458737:VIT458739 VSE458737:VSP458739 WCA458737:WCL458739 WLW458737:WMH458739 WVS458737:WWD458739 JG524273:JR524275 TC524273:TN524275 ACY524273:ADJ524275 AMU524273:ANF524275 AWQ524273:AXB524275 BGM524273:BGX524275 BQI524273:BQT524275 CAE524273:CAP524275 CKA524273:CKL524275 CTW524273:CUH524275 DDS524273:DED524275 DNO524273:DNZ524275 DXK524273:DXV524275 EHG524273:EHR524275 ERC524273:ERN524275 FAY524273:FBJ524275 FKU524273:FLF524275 FUQ524273:FVB524275 GEM524273:GEX524275 GOI524273:GOT524275 GYE524273:GYP524275 HIA524273:HIL524275 HRW524273:HSH524275 IBS524273:ICD524275 ILO524273:ILZ524275 IVK524273:IVV524275 JFG524273:JFR524275 JPC524273:JPN524275 JYY524273:JZJ524275 KIU524273:KJF524275 KSQ524273:KTB524275 LCM524273:LCX524275 LMI524273:LMT524275 LWE524273:LWP524275 MGA524273:MGL524275 MPW524273:MQH524275 MZS524273:NAD524275 NJO524273:NJZ524275 NTK524273:NTV524275 ODG524273:ODR524275 ONC524273:ONN524275 OWY524273:OXJ524275 PGU524273:PHF524275 PQQ524273:PRB524275 QAM524273:QAX524275 QKI524273:QKT524275 QUE524273:QUP524275 REA524273:REL524275 RNW524273:ROH524275 RXS524273:RYD524275 SHO524273:SHZ524275 SRK524273:SRV524275 TBG524273:TBR524275 TLC524273:TLN524275 TUY524273:TVJ524275 UEU524273:UFF524275 UOQ524273:UPB524275 UYM524273:UYX524275 VII524273:VIT524275 VSE524273:VSP524275 WCA524273:WCL524275 WLW524273:WMH524275 WVS524273:WWD524275 JG589809:JR589811 TC589809:TN589811 ACY589809:ADJ589811 AMU589809:ANF589811 AWQ589809:AXB589811 BGM589809:BGX589811 BQI589809:BQT589811 CAE589809:CAP589811 CKA589809:CKL589811 CTW589809:CUH589811 DDS589809:DED589811 DNO589809:DNZ589811 DXK589809:DXV589811 EHG589809:EHR589811 ERC589809:ERN589811 FAY589809:FBJ589811 FKU589809:FLF589811 FUQ589809:FVB589811 GEM589809:GEX589811 GOI589809:GOT589811 GYE589809:GYP589811 HIA589809:HIL589811 HRW589809:HSH589811 IBS589809:ICD589811 ILO589809:ILZ589811 IVK589809:IVV589811 JFG589809:JFR589811 JPC589809:JPN589811 JYY589809:JZJ589811 KIU589809:KJF589811 KSQ589809:KTB589811 LCM589809:LCX589811 LMI589809:LMT589811 LWE589809:LWP589811 MGA589809:MGL589811 MPW589809:MQH589811 MZS589809:NAD589811 NJO589809:NJZ589811 NTK589809:NTV589811 ODG589809:ODR589811 ONC589809:ONN589811 OWY589809:OXJ589811 PGU589809:PHF589811 PQQ589809:PRB589811 QAM589809:QAX589811 QKI589809:QKT589811 QUE589809:QUP589811 REA589809:REL589811 RNW589809:ROH589811 RXS589809:RYD589811 SHO589809:SHZ589811 SRK589809:SRV589811 TBG589809:TBR589811 TLC589809:TLN589811 TUY589809:TVJ589811 UEU589809:UFF589811 UOQ589809:UPB589811 UYM589809:UYX589811 VII589809:VIT589811 VSE589809:VSP589811 WCA589809:WCL589811 WLW589809:WMH589811 WVS589809:WWD589811 JG655345:JR655347 TC655345:TN655347 ACY655345:ADJ655347 AMU655345:ANF655347 AWQ655345:AXB655347 BGM655345:BGX655347 BQI655345:BQT655347 CAE655345:CAP655347 CKA655345:CKL655347 CTW655345:CUH655347 DDS655345:DED655347 DNO655345:DNZ655347 DXK655345:DXV655347 EHG655345:EHR655347 ERC655345:ERN655347 FAY655345:FBJ655347 FKU655345:FLF655347 FUQ655345:FVB655347 GEM655345:GEX655347 GOI655345:GOT655347 GYE655345:GYP655347 HIA655345:HIL655347 HRW655345:HSH655347 IBS655345:ICD655347 ILO655345:ILZ655347 IVK655345:IVV655347 JFG655345:JFR655347 JPC655345:JPN655347 JYY655345:JZJ655347 KIU655345:KJF655347 KSQ655345:KTB655347 LCM655345:LCX655347 LMI655345:LMT655347 LWE655345:LWP655347 MGA655345:MGL655347 MPW655345:MQH655347 MZS655345:NAD655347 NJO655345:NJZ655347 NTK655345:NTV655347 ODG655345:ODR655347 ONC655345:ONN655347 OWY655345:OXJ655347 PGU655345:PHF655347 PQQ655345:PRB655347 QAM655345:QAX655347 QKI655345:QKT655347 QUE655345:QUP655347 REA655345:REL655347 RNW655345:ROH655347 RXS655345:RYD655347 SHO655345:SHZ655347 SRK655345:SRV655347 TBG655345:TBR655347 TLC655345:TLN655347 TUY655345:TVJ655347 UEU655345:UFF655347 UOQ655345:UPB655347 UYM655345:UYX655347 VII655345:VIT655347 VSE655345:VSP655347 WCA655345:WCL655347 WLW655345:WMH655347 WVS655345:WWD655347 JG720881:JR720883 TC720881:TN720883 ACY720881:ADJ720883 AMU720881:ANF720883 AWQ720881:AXB720883 BGM720881:BGX720883 BQI720881:BQT720883 CAE720881:CAP720883 CKA720881:CKL720883 CTW720881:CUH720883 DDS720881:DED720883 DNO720881:DNZ720883 DXK720881:DXV720883 EHG720881:EHR720883 ERC720881:ERN720883 FAY720881:FBJ720883 FKU720881:FLF720883 FUQ720881:FVB720883 GEM720881:GEX720883 GOI720881:GOT720883 GYE720881:GYP720883 HIA720881:HIL720883 HRW720881:HSH720883 IBS720881:ICD720883 ILO720881:ILZ720883 IVK720881:IVV720883 JFG720881:JFR720883 JPC720881:JPN720883 JYY720881:JZJ720883 KIU720881:KJF720883 KSQ720881:KTB720883 LCM720881:LCX720883 LMI720881:LMT720883 LWE720881:LWP720883 MGA720881:MGL720883 MPW720881:MQH720883 MZS720881:NAD720883 NJO720881:NJZ720883 NTK720881:NTV720883 ODG720881:ODR720883 ONC720881:ONN720883 OWY720881:OXJ720883 PGU720881:PHF720883 PQQ720881:PRB720883 QAM720881:QAX720883 QKI720881:QKT720883 QUE720881:QUP720883 REA720881:REL720883 RNW720881:ROH720883 RXS720881:RYD720883 SHO720881:SHZ720883 SRK720881:SRV720883 TBG720881:TBR720883 TLC720881:TLN720883 TUY720881:TVJ720883 UEU720881:UFF720883 UOQ720881:UPB720883 UYM720881:UYX720883 VII720881:VIT720883 VSE720881:VSP720883 WCA720881:WCL720883 WLW720881:WMH720883 WVS720881:WWD720883 JG786417:JR786419 TC786417:TN786419 ACY786417:ADJ786419 AMU786417:ANF786419 AWQ786417:AXB786419 BGM786417:BGX786419 BQI786417:BQT786419 CAE786417:CAP786419 CKA786417:CKL786419 CTW786417:CUH786419 DDS786417:DED786419 DNO786417:DNZ786419 DXK786417:DXV786419 EHG786417:EHR786419 ERC786417:ERN786419 FAY786417:FBJ786419 FKU786417:FLF786419 FUQ786417:FVB786419 GEM786417:GEX786419 GOI786417:GOT786419 GYE786417:GYP786419 HIA786417:HIL786419 HRW786417:HSH786419 IBS786417:ICD786419 ILO786417:ILZ786419 IVK786417:IVV786419 JFG786417:JFR786419 JPC786417:JPN786419 JYY786417:JZJ786419 KIU786417:KJF786419 KSQ786417:KTB786419 LCM786417:LCX786419 LMI786417:LMT786419 LWE786417:LWP786419 MGA786417:MGL786419 MPW786417:MQH786419 MZS786417:NAD786419 NJO786417:NJZ786419 NTK786417:NTV786419 ODG786417:ODR786419 ONC786417:ONN786419 OWY786417:OXJ786419 PGU786417:PHF786419 PQQ786417:PRB786419 QAM786417:QAX786419 QKI786417:QKT786419 QUE786417:QUP786419 REA786417:REL786419 RNW786417:ROH786419 RXS786417:RYD786419 SHO786417:SHZ786419 SRK786417:SRV786419 TBG786417:TBR786419 TLC786417:TLN786419 TUY786417:TVJ786419 UEU786417:UFF786419 UOQ786417:UPB786419 UYM786417:UYX786419 VII786417:VIT786419 VSE786417:VSP786419 WCA786417:WCL786419 WLW786417:WMH786419 WVS786417:WWD786419 JG851953:JR851955 TC851953:TN851955 ACY851953:ADJ851955 AMU851953:ANF851955 AWQ851953:AXB851955 BGM851953:BGX851955 BQI851953:BQT851955 CAE851953:CAP851955 CKA851953:CKL851955 CTW851953:CUH851955 DDS851953:DED851955 DNO851953:DNZ851955 DXK851953:DXV851955 EHG851953:EHR851955 ERC851953:ERN851955 FAY851953:FBJ851955 FKU851953:FLF851955 FUQ851953:FVB851955 GEM851953:GEX851955 GOI851953:GOT851955 GYE851953:GYP851955 HIA851953:HIL851955 HRW851953:HSH851955 IBS851953:ICD851955 ILO851953:ILZ851955 IVK851953:IVV851955 JFG851953:JFR851955 JPC851953:JPN851955 JYY851953:JZJ851955 KIU851953:KJF851955 KSQ851953:KTB851955 LCM851953:LCX851955 LMI851953:LMT851955 LWE851953:LWP851955 MGA851953:MGL851955 MPW851953:MQH851955 MZS851953:NAD851955 NJO851953:NJZ851955 NTK851953:NTV851955 ODG851953:ODR851955 ONC851953:ONN851955 OWY851953:OXJ851955 PGU851953:PHF851955 PQQ851953:PRB851955 QAM851953:QAX851955 QKI851953:QKT851955 QUE851953:QUP851955 REA851953:REL851955 RNW851953:ROH851955 RXS851953:RYD851955 SHO851953:SHZ851955 SRK851953:SRV851955 TBG851953:TBR851955 TLC851953:TLN851955 TUY851953:TVJ851955 UEU851953:UFF851955 UOQ851953:UPB851955 UYM851953:UYX851955 VII851953:VIT851955 VSE851953:VSP851955 WCA851953:WCL851955 WLW851953:WMH851955 WVS851953:WWD851955 JG917489:JR917491 TC917489:TN917491 ACY917489:ADJ917491 AMU917489:ANF917491 AWQ917489:AXB917491 BGM917489:BGX917491 BQI917489:BQT917491 CAE917489:CAP917491 CKA917489:CKL917491 CTW917489:CUH917491 DDS917489:DED917491 DNO917489:DNZ917491 DXK917489:DXV917491 EHG917489:EHR917491 ERC917489:ERN917491 FAY917489:FBJ917491 FKU917489:FLF917491 FUQ917489:FVB917491 GEM917489:GEX917491 GOI917489:GOT917491 GYE917489:GYP917491 HIA917489:HIL917491 HRW917489:HSH917491 IBS917489:ICD917491 ILO917489:ILZ917491 IVK917489:IVV917491 JFG917489:JFR917491 JPC917489:JPN917491 JYY917489:JZJ917491 KIU917489:KJF917491 KSQ917489:KTB917491 LCM917489:LCX917491 LMI917489:LMT917491 LWE917489:LWP917491 MGA917489:MGL917491 MPW917489:MQH917491 MZS917489:NAD917491 NJO917489:NJZ917491 NTK917489:NTV917491 ODG917489:ODR917491 ONC917489:ONN917491 OWY917489:OXJ917491 PGU917489:PHF917491 PQQ917489:PRB917491 QAM917489:QAX917491 QKI917489:QKT917491 QUE917489:QUP917491 REA917489:REL917491 RNW917489:ROH917491 RXS917489:RYD917491 SHO917489:SHZ917491 SRK917489:SRV917491 TBG917489:TBR917491 TLC917489:TLN917491 TUY917489:TVJ917491 UEU917489:UFF917491 UOQ917489:UPB917491 UYM917489:UYX917491 VII917489:VIT917491 VSE917489:VSP917491 WCA917489:WCL917491 WLW917489:WMH917491 WVS917489:WWD917491 JG983025:JR983027 TC983025:TN983027 ACY983025:ADJ983027 AMU983025:ANF983027 AWQ983025:AXB983027 BGM983025:BGX983027 BQI983025:BQT983027 CAE983025:CAP983027 CKA983025:CKL983027 CTW983025:CUH983027 DDS983025:DED983027 DNO983025:DNZ983027 DXK983025:DXV983027 EHG983025:EHR983027 ERC983025:ERN983027 FAY983025:FBJ983027 FKU983025:FLF983027 FUQ983025:FVB983027 GEM983025:GEX983027 GOI983025:GOT983027 GYE983025:GYP983027 HIA983025:HIL983027 HRW983025:HSH983027 IBS983025:ICD983027 ILO983025:ILZ983027 IVK983025:IVV983027 JFG983025:JFR983027 JPC983025:JPN983027 JYY983025:JZJ983027 KIU983025:KJF983027 KSQ983025:KTB983027 LCM983025:LCX983027 LMI983025:LMT983027 LWE983025:LWP983027 MGA983025:MGL983027 MPW983025:MQH983027 MZS983025:NAD983027 NJO983025:NJZ983027 NTK983025:NTV983027 ODG983025:ODR983027 ONC983025:ONN983027 OWY983025:OXJ983027 PGU983025:PHF983027 PQQ983025:PRB983027 QAM983025:QAX983027 QKI983025:QKT983027 QUE983025:QUP983027 REA983025:REL983027 RNW983025:ROH983027 RXS983025:RYD983027 SHO983025:SHZ983027 SRK983025:SRV983027 TBG983025:TBR983027 TLC983025:TLN983027 TUY983025:TVJ983027 UEU983025:UFF983027 UOQ983025:UPB983027 UYM983025:UYX983027 VII983025:VIT983027 VSE983025:VSP983027 WCA983025:WCL983027 WLW983025:WMH983027 WVS983025:WWD983027 WVS983030:WWD983032 JG65526:JR65528 TC65526:TN65528 ACY65526:ADJ65528 AMU65526:ANF65528 AWQ65526:AXB65528 BGM65526:BGX65528 BQI65526:BQT65528 CAE65526:CAP65528 CKA65526:CKL65528 CTW65526:CUH65528 DDS65526:DED65528 DNO65526:DNZ65528 DXK65526:DXV65528 EHG65526:EHR65528 ERC65526:ERN65528 FAY65526:FBJ65528 FKU65526:FLF65528 FUQ65526:FVB65528 GEM65526:GEX65528 GOI65526:GOT65528 GYE65526:GYP65528 HIA65526:HIL65528 HRW65526:HSH65528 IBS65526:ICD65528 ILO65526:ILZ65528 IVK65526:IVV65528 JFG65526:JFR65528 JPC65526:JPN65528 JYY65526:JZJ65528 KIU65526:KJF65528 KSQ65526:KTB65528 LCM65526:LCX65528 LMI65526:LMT65528 LWE65526:LWP65528 MGA65526:MGL65528 MPW65526:MQH65528 MZS65526:NAD65528 NJO65526:NJZ65528 NTK65526:NTV65528 ODG65526:ODR65528 ONC65526:ONN65528 OWY65526:OXJ65528 PGU65526:PHF65528 PQQ65526:PRB65528 QAM65526:QAX65528 QKI65526:QKT65528 QUE65526:QUP65528 REA65526:REL65528 RNW65526:ROH65528 RXS65526:RYD65528 SHO65526:SHZ65528 SRK65526:SRV65528 TBG65526:TBR65528 TLC65526:TLN65528 TUY65526:TVJ65528 UEU65526:UFF65528 UOQ65526:UPB65528 UYM65526:UYX65528 VII65526:VIT65528 VSE65526:VSP65528 WCA65526:WCL65528 WLW65526:WMH65528 WVS65526:WWD65528 JG131062:JR131064 TC131062:TN131064 ACY131062:ADJ131064 AMU131062:ANF131064 AWQ131062:AXB131064 BGM131062:BGX131064 BQI131062:BQT131064 CAE131062:CAP131064 CKA131062:CKL131064 CTW131062:CUH131064 DDS131062:DED131064 DNO131062:DNZ131064 DXK131062:DXV131064 EHG131062:EHR131064 ERC131062:ERN131064 FAY131062:FBJ131064 FKU131062:FLF131064 FUQ131062:FVB131064 GEM131062:GEX131064 GOI131062:GOT131064 GYE131062:GYP131064 HIA131062:HIL131064 HRW131062:HSH131064 IBS131062:ICD131064 ILO131062:ILZ131064 IVK131062:IVV131064 JFG131062:JFR131064 JPC131062:JPN131064 JYY131062:JZJ131064 KIU131062:KJF131064 KSQ131062:KTB131064 LCM131062:LCX131064 LMI131062:LMT131064 LWE131062:LWP131064 MGA131062:MGL131064 MPW131062:MQH131064 MZS131062:NAD131064 NJO131062:NJZ131064 NTK131062:NTV131064 ODG131062:ODR131064 ONC131062:ONN131064 OWY131062:OXJ131064 PGU131062:PHF131064 PQQ131062:PRB131064 QAM131062:QAX131064 QKI131062:QKT131064 QUE131062:QUP131064 REA131062:REL131064 RNW131062:ROH131064 RXS131062:RYD131064 SHO131062:SHZ131064 SRK131062:SRV131064 TBG131062:TBR131064 TLC131062:TLN131064 TUY131062:TVJ131064 UEU131062:UFF131064 UOQ131062:UPB131064 UYM131062:UYX131064 VII131062:VIT131064 VSE131062:VSP131064 WCA131062:WCL131064 WLW131062:WMH131064 WVS131062:WWD131064 JG196598:JR196600 TC196598:TN196600 ACY196598:ADJ196600 AMU196598:ANF196600 AWQ196598:AXB196600 BGM196598:BGX196600 BQI196598:BQT196600 CAE196598:CAP196600 CKA196598:CKL196600 CTW196598:CUH196600 DDS196598:DED196600 DNO196598:DNZ196600 DXK196598:DXV196600 EHG196598:EHR196600 ERC196598:ERN196600 FAY196598:FBJ196600 FKU196598:FLF196600 FUQ196598:FVB196600 GEM196598:GEX196600 GOI196598:GOT196600 GYE196598:GYP196600 HIA196598:HIL196600 HRW196598:HSH196600 IBS196598:ICD196600 ILO196598:ILZ196600 IVK196598:IVV196600 JFG196598:JFR196600 JPC196598:JPN196600 JYY196598:JZJ196600 KIU196598:KJF196600 KSQ196598:KTB196600 LCM196598:LCX196600 LMI196598:LMT196600 LWE196598:LWP196600 MGA196598:MGL196600 MPW196598:MQH196600 MZS196598:NAD196600 NJO196598:NJZ196600 NTK196598:NTV196600 ODG196598:ODR196600 ONC196598:ONN196600 OWY196598:OXJ196600 PGU196598:PHF196600 PQQ196598:PRB196600 QAM196598:QAX196600 QKI196598:QKT196600 QUE196598:QUP196600 REA196598:REL196600 RNW196598:ROH196600 RXS196598:RYD196600 SHO196598:SHZ196600 SRK196598:SRV196600 TBG196598:TBR196600 TLC196598:TLN196600 TUY196598:TVJ196600 UEU196598:UFF196600 UOQ196598:UPB196600 UYM196598:UYX196600 VII196598:VIT196600 VSE196598:VSP196600 WCA196598:WCL196600 WLW196598:WMH196600 WVS196598:WWD196600 JG262134:JR262136 TC262134:TN262136 ACY262134:ADJ262136 AMU262134:ANF262136 AWQ262134:AXB262136 BGM262134:BGX262136 BQI262134:BQT262136 CAE262134:CAP262136 CKA262134:CKL262136 CTW262134:CUH262136 DDS262134:DED262136 DNO262134:DNZ262136 DXK262134:DXV262136 EHG262134:EHR262136 ERC262134:ERN262136 FAY262134:FBJ262136 FKU262134:FLF262136 FUQ262134:FVB262136 GEM262134:GEX262136 GOI262134:GOT262136 GYE262134:GYP262136 HIA262134:HIL262136 HRW262134:HSH262136 IBS262134:ICD262136 ILO262134:ILZ262136 IVK262134:IVV262136 JFG262134:JFR262136 JPC262134:JPN262136 JYY262134:JZJ262136 KIU262134:KJF262136 KSQ262134:KTB262136 LCM262134:LCX262136 LMI262134:LMT262136 LWE262134:LWP262136 MGA262134:MGL262136 MPW262134:MQH262136 MZS262134:NAD262136 NJO262134:NJZ262136 NTK262134:NTV262136 ODG262134:ODR262136 ONC262134:ONN262136 OWY262134:OXJ262136 PGU262134:PHF262136 PQQ262134:PRB262136 QAM262134:QAX262136 QKI262134:QKT262136 QUE262134:QUP262136 REA262134:REL262136 RNW262134:ROH262136 RXS262134:RYD262136 SHO262134:SHZ262136 SRK262134:SRV262136 TBG262134:TBR262136 TLC262134:TLN262136 TUY262134:TVJ262136 UEU262134:UFF262136 UOQ262134:UPB262136 UYM262134:UYX262136 VII262134:VIT262136 VSE262134:VSP262136 WCA262134:WCL262136 WLW262134:WMH262136 WVS262134:WWD262136 JG327670:JR327672 TC327670:TN327672 ACY327670:ADJ327672 AMU327670:ANF327672 AWQ327670:AXB327672 BGM327670:BGX327672 BQI327670:BQT327672 CAE327670:CAP327672 CKA327670:CKL327672 CTW327670:CUH327672 DDS327670:DED327672 DNO327670:DNZ327672 DXK327670:DXV327672 EHG327670:EHR327672 ERC327670:ERN327672 FAY327670:FBJ327672 FKU327670:FLF327672 FUQ327670:FVB327672 GEM327670:GEX327672 GOI327670:GOT327672 GYE327670:GYP327672 HIA327670:HIL327672 HRW327670:HSH327672 IBS327670:ICD327672 ILO327670:ILZ327672 IVK327670:IVV327672 JFG327670:JFR327672 JPC327670:JPN327672 JYY327670:JZJ327672 KIU327670:KJF327672 KSQ327670:KTB327672 LCM327670:LCX327672 LMI327670:LMT327672 LWE327670:LWP327672 MGA327670:MGL327672 MPW327670:MQH327672 MZS327670:NAD327672 NJO327670:NJZ327672 NTK327670:NTV327672 ODG327670:ODR327672 ONC327670:ONN327672 OWY327670:OXJ327672 PGU327670:PHF327672 PQQ327670:PRB327672 QAM327670:QAX327672 QKI327670:QKT327672 QUE327670:QUP327672 REA327670:REL327672 RNW327670:ROH327672 RXS327670:RYD327672 SHO327670:SHZ327672 SRK327670:SRV327672 TBG327670:TBR327672 TLC327670:TLN327672 TUY327670:TVJ327672 UEU327670:UFF327672 UOQ327670:UPB327672 UYM327670:UYX327672 VII327670:VIT327672 VSE327670:VSP327672 WCA327670:WCL327672 WLW327670:WMH327672 WVS327670:WWD327672 JG393206:JR393208 TC393206:TN393208 ACY393206:ADJ393208 AMU393206:ANF393208 AWQ393206:AXB393208 BGM393206:BGX393208 BQI393206:BQT393208 CAE393206:CAP393208 CKA393206:CKL393208 CTW393206:CUH393208 DDS393206:DED393208 DNO393206:DNZ393208 DXK393206:DXV393208 EHG393206:EHR393208 ERC393206:ERN393208 FAY393206:FBJ393208 FKU393206:FLF393208 FUQ393206:FVB393208 GEM393206:GEX393208 GOI393206:GOT393208 GYE393206:GYP393208 HIA393206:HIL393208 HRW393206:HSH393208 IBS393206:ICD393208 ILO393206:ILZ393208 IVK393206:IVV393208 JFG393206:JFR393208 JPC393206:JPN393208 JYY393206:JZJ393208 KIU393206:KJF393208 KSQ393206:KTB393208 LCM393206:LCX393208 LMI393206:LMT393208 LWE393206:LWP393208 MGA393206:MGL393208 MPW393206:MQH393208 MZS393206:NAD393208 NJO393206:NJZ393208 NTK393206:NTV393208 ODG393206:ODR393208 ONC393206:ONN393208 OWY393206:OXJ393208 PGU393206:PHF393208 PQQ393206:PRB393208 QAM393206:QAX393208 QKI393206:QKT393208 QUE393206:QUP393208 REA393206:REL393208 RNW393206:ROH393208 RXS393206:RYD393208 SHO393206:SHZ393208 SRK393206:SRV393208 TBG393206:TBR393208 TLC393206:TLN393208 TUY393206:TVJ393208 UEU393206:UFF393208 UOQ393206:UPB393208 UYM393206:UYX393208 VII393206:VIT393208 VSE393206:VSP393208 WCA393206:WCL393208 WLW393206:WMH393208 WVS393206:WWD393208 JG458742:JR458744 TC458742:TN458744 ACY458742:ADJ458744 AMU458742:ANF458744 AWQ458742:AXB458744 BGM458742:BGX458744 BQI458742:BQT458744 CAE458742:CAP458744 CKA458742:CKL458744 CTW458742:CUH458744 DDS458742:DED458744 DNO458742:DNZ458744 DXK458742:DXV458744 EHG458742:EHR458744 ERC458742:ERN458744 FAY458742:FBJ458744 FKU458742:FLF458744 FUQ458742:FVB458744 GEM458742:GEX458744 GOI458742:GOT458744 GYE458742:GYP458744 HIA458742:HIL458744 HRW458742:HSH458744 IBS458742:ICD458744 ILO458742:ILZ458744 IVK458742:IVV458744 JFG458742:JFR458744 JPC458742:JPN458744 JYY458742:JZJ458744 KIU458742:KJF458744 KSQ458742:KTB458744 LCM458742:LCX458744 LMI458742:LMT458744 LWE458742:LWP458744 MGA458742:MGL458744 MPW458742:MQH458744 MZS458742:NAD458744 NJO458742:NJZ458744 NTK458742:NTV458744 ODG458742:ODR458744 ONC458742:ONN458744 OWY458742:OXJ458744 PGU458742:PHF458744 PQQ458742:PRB458744 QAM458742:QAX458744 QKI458742:QKT458744 QUE458742:QUP458744 REA458742:REL458744 RNW458742:ROH458744 RXS458742:RYD458744 SHO458742:SHZ458744 SRK458742:SRV458744 TBG458742:TBR458744 TLC458742:TLN458744 TUY458742:TVJ458744 UEU458742:UFF458744 UOQ458742:UPB458744 UYM458742:UYX458744 VII458742:VIT458744 VSE458742:VSP458744 WCA458742:WCL458744 WLW458742:WMH458744 WVS458742:WWD458744 JG524278:JR524280 TC524278:TN524280 ACY524278:ADJ524280 AMU524278:ANF524280 AWQ524278:AXB524280 BGM524278:BGX524280 BQI524278:BQT524280 CAE524278:CAP524280 CKA524278:CKL524280 CTW524278:CUH524280 DDS524278:DED524280 DNO524278:DNZ524280 DXK524278:DXV524280 EHG524278:EHR524280 ERC524278:ERN524280 FAY524278:FBJ524280 FKU524278:FLF524280 FUQ524278:FVB524280 GEM524278:GEX524280 GOI524278:GOT524280 GYE524278:GYP524280 HIA524278:HIL524280 HRW524278:HSH524280 IBS524278:ICD524280 ILO524278:ILZ524280 IVK524278:IVV524280 JFG524278:JFR524280 JPC524278:JPN524280 JYY524278:JZJ524280 KIU524278:KJF524280 KSQ524278:KTB524280 LCM524278:LCX524280 LMI524278:LMT524280 LWE524278:LWP524280 MGA524278:MGL524280 MPW524278:MQH524280 MZS524278:NAD524280 NJO524278:NJZ524280 NTK524278:NTV524280 ODG524278:ODR524280 ONC524278:ONN524280 OWY524278:OXJ524280 PGU524278:PHF524280 PQQ524278:PRB524280 QAM524278:QAX524280 QKI524278:QKT524280 QUE524278:QUP524280 REA524278:REL524280 RNW524278:ROH524280 RXS524278:RYD524280 SHO524278:SHZ524280 SRK524278:SRV524280 TBG524278:TBR524280 TLC524278:TLN524280 TUY524278:TVJ524280 UEU524278:UFF524280 UOQ524278:UPB524280 UYM524278:UYX524280 VII524278:VIT524280 VSE524278:VSP524280 WCA524278:WCL524280 WLW524278:WMH524280 WVS524278:WWD524280 JG589814:JR589816 TC589814:TN589816 ACY589814:ADJ589816 AMU589814:ANF589816 AWQ589814:AXB589816 BGM589814:BGX589816 BQI589814:BQT589816 CAE589814:CAP589816 CKA589814:CKL589816 CTW589814:CUH589816 DDS589814:DED589816 DNO589814:DNZ589816 DXK589814:DXV589816 EHG589814:EHR589816 ERC589814:ERN589816 FAY589814:FBJ589816 FKU589814:FLF589816 FUQ589814:FVB589816 GEM589814:GEX589816 GOI589814:GOT589816 GYE589814:GYP589816 HIA589814:HIL589816 HRW589814:HSH589816 IBS589814:ICD589816 ILO589814:ILZ589816 IVK589814:IVV589816 JFG589814:JFR589816 JPC589814:JPN589816 JYY589814:JZJ589816 KIU589814:KJF589816 KSQ589814:KTB589816 LCM589814:LCX589816 LMI589814:LMT589816 LWE589814:LWP589816 MGA589814:MGL589816 MPW589814:MQH589816 MZS589814:NAD589816 NJO589814:NJZ589816 NTK589814:NTV589816 ODG589814:ODR589816 ONC589814:ONN589816 OWY589814:OXJ589816 PGU589814:PHF589816 PQQ589814:PRB589816 QAM589814:QAX589816 QKI589814:QKT589816 QUE589814:QUP589816 REA589814:REL589816 RNW589814:ROH589816 RXS589814:RYD589816 SHO589814:SHZ589816 SRK589814:SRV589816 TBG589814:TBR589816 TLC589814:TLN589816 TUY589814:TVJ589816 UEU589814:UFF589816 UOQ589814:UPB589816 UYM589814:UYX589816 VII589814:VIT589816 VSE589814:VSP589816 WCA589814:WCL589816 WLW589814:WMH589816 WVS589814:WWD589816 JG655350:JR655352 TC655350:TN655352 ACY655350:ADJ655352 AMU655350:ANF655352 AWQ655350:AXB655352 BGM655350:BGX655352 BQI655350:BQT655352 CAE655350:CAP655352 CKA655350:CKL655352 CTW655350:CUH655352 DDS655350:DED655352 DNO655350:DNZ655352 DXK655350:DXV655352 EHG655350:EHR655352 ERC655350:ERN655352 FAY655350:FBJ655352 FKU655350:FLF655352 FUQ655350:FVB655352 GEM655350:GEX655352 GOI655350:GOT655352 GYE655350:GYP655352 HIA655350:HIL655352 HRW655350:HSH655352 IBS655350:ICD655352 ILO655350:ILZ655352 IVK655350:IVV655352 JFG655350:JFR655352 JPC655350:JPN655352 JYY655350:JZJ655352 KIU655350:KJF655352 KSQ655350:KTB655352 LCM655350:LCX655352 LMI655350:LMT655352 LWE655350:LWP655352 MGA655350:MGL655352 MPW655350:MQH655352 MZS655350:NAD655352 NJO655350:NJZ655352 NTK655350:NTV655352 ODG655350:ODR655352 ONC655350:ONN655352 OWY655350:OXJ655352 PGU655350:PHF655352 PQQ655350:PRB655352 QAM655350:QAX655352 QKI655350:QKT655352 QUE655350:QUP655352 REA655350:REL655352 RNW655350:ROH655352 RXS655350:RYD655352 SHO655350:SHZ655352 SRK655350:SRV655352 TBG655350:TBR655352 TLC655350:TLN655352 TUY655350:TVJ655352 UEU655350:UFF655352 UOQ655350:UPB655352 UYM655350:UYX655352 VII655350:VIT655352 VSE655350:VSP655352 WCA655350:WCL655352 WLW655350:WMH655352 WVS655350:WWD655352 JG720886:JR720888 TC720886:TN720888 ACY720886:ADJ720888 AMU720886:ANF720888 AWQ720886:AXB720888 BGM720886:BGX720888 BQI720886:BQT720888 CAE720886:CAP720888 CKA720886:CKL720888 CTW720886:CUH720888 DDS720886:DED720888 DNO720886:DNZ720888 DXK720886:DXV720888 EHG720886:EHR720888 ERC720886:ERN720888 FAY720886:FBJ720888 FKU720886:FLF720888 FUQ720886:FVB720888 GEM720886:GEX720888 GOI720886:GOT720888 GYE720886:GYP720888 HIA720886:HIL720888 HRW720886:HSH720888 IBS720886:ICD720888 ILO720886:ILZ720888 IVK720886:IVV720888 JFG720886:JFR720888 JPC720886:JPN720888 JYY720886:JZJ720888 KIU720886:KJF720888 KSQ720886:KTB720888 LCM720886:LCX720888 LMI720886:LMT720888 LWE720886:LWP720888 MGA720886:MGL720888 MPW720886:MQH720888 MZS720886:NAD720888 NJO720886:NJZ720888 NTK720886:NTV720888 ODG720886:ODR720888 ONC720886:ONN720888 OWY720886:OXJ720888 PGU720886:PHF720888 PQQ720886:PRB720888 QAM720886:QAX720888 QKI720886:QKT720888 QUE720886:QUP720888 REA720886:REL720888 RNW720886:ROH720888 RXS720886:RYD720888 SHO720886:SHZ720888 SRK720886:SRV720888 TBG720886:TBR720888 TLC720886:TLN720888 TUY720886:TVJ720888 UEU720886:UFF720888 UOQ720886:UPB720888 UYM720886:UYX720888 VII720886:VIT720888 VSE720886:VSP720888 WCA720886:WCL720888 WLW720886:WMH720888 WVS720886:WWD720888 JG786422:JR786424 TC786422:TN786424 ACY786422:ADJ786424 AMU786422:ANF786424 AWQ786422:AXB786424 BGM786422:BGX786424 BQI786422:BQT786424 CAE786422:CAP786424 CKA786422:CKL786424 CTW786422:CUH786424 DDS786422:DED786424 DNO786422:DNZ786424 DXK786422:DXV786424 EHG786422:EHR786424 ERC786422:ERN786424 FAY786422:FBJ786424 FKU786422:FLF786424 FUQ786422:FVB786424 GEM786422:GEX786424 GOI786422:GOT786424 GYE786422:GYP786424 HIA786422:HIL786424 HRW786422:HSH786424 IBS786422:ICD786424 ILO786422:ILZ786424 IVK786422:IVV786424 JFG786422:JFR786424 JPC786422:JPN786424 JYY786422:JZJ786424 KIU786422:KJF786424 KSQ786422:KTB786424 LCM786422:LCX786424 LMI786422:LMT786424 LWE786422:LWP786424 MGA786422:MGL786424 MPW786422:MQH786424 MZS786422:NAD786424 NJO786422:NJZ786424 NTK786422:NTV786424 ODG786422:ODR786424 ONC786422:ONN786424 OWY786422:OXJ786424 PGU786422:PHF786424 PQQ786422:PRB786424 QAM786422:QAX786424 QKI786422:QKT786424 QUE786422:QUP786424 REA786422:REL786424 RNW786422:ROH786424 RXS786422:RYD786424 SHO786422:SHZ786424 SRK786422:SRV786424 TBG786422:TBR786424 TLC786422:TLN786424 TUY786422:TVJ786424 UEU786422:UFF786424 UOQ786422:UPB786424 UYM786422:UYX786424 VII786422:VIT786424 VSE786422:VSP786424 WCA786422:WCL786424 WLW786422:WMH786424 WVS786422:WWD786424 JG851958:JR851960 TC851958:TN851960 ACY851958:ADJ851960 AMU851958:ANF851960 AWQ851958:AXB851960 BGM851958:BGX851960 BQI851958:BQT851960 CAE851958:CAP851960 CKA851958:CKL851960 CTW851958:CUH851960 DDS851958:DED851960 DNO851958:DNZ851960 DXK851958:DXV851960 EHG851958:EHR851960 ERC851958:ERN851960 FAY851958:FBJ851960 FKU851958:FLF851960 FUQ851958:FVB851960 GEM851958:GEX851960 GOI851958:GOT851960 GYE851958:GYP851960 HIA851958:HIL851960 HRW851958:HSH851960 IBS851958:ICD851960 ILO851958:ILZ851960 IVK851958:IVV851960 JFG851958:JFR851960 JPC851958:JPN851960 JYY851958:JZJ851960 KIU851958:KJF851960 KSQ851958:KTB851960 LCM851958:LCX851960 LMI851958:LMT851960 LWE851958:LWP851960 MGA851958:MGL851960 MPW851958:MQH851960 MZS851958:NAD851960 NJO851958:NJZ851960 NTK851958:NTV851960 ODG851958:ODR851960 ONC851958:ONN851960 OWY851958:OXJ851960 PGU851958:PHF851960 PQQ851958:PRB851960 QAM851958:QAX851960 QKI851958:QKT851960 QUE851958:QUP851960 REA851958:REL851960 RNW851958:ROH851960 RXS851958:RYD851960 SHO851958:SHZ851960 SRK851958:SRV851960 TBG851958:TBR851960 TLC851958:TLN851960 TUY851958:TVJ851960 UEU851958:UFF851960 UOQ851958:UPB851960 UYM851958:UYX851960 VII851958:VIT851960 VSE851958:VSP851960 WCA851958:WCL851960 WLW851958:WMH851960 WVS851958:WWD851960 JG917494:JR917496 TC917494:TN917496 ACY917494:ADJ917496 AMU917494:ANF917496 AWQ917494:AXB917496 BGM917494:BGX917496 BQI917494:BQT917496 CAE917494:CAP917496 CKA917494:CKL917496 CTW917494:CUH917496 DDS917494:DED917496 DNO917494:DNZ917496 DXK917494:DXV917496 EHG917494:EHR917496 ERC917494:ERN917496 FAY917494:FBJ917496 FKU917494:FLF917496 FUQ917494:FVB917496 GEM917494:GEX917496 GOI917494:GOT917496 GYE917494:GYP917496 HIA917494:HIL917496 HRW917494:HSH917496 IBS917494:ICD917496 ILO917494:ILZ917496 IVK917494:IVV917496 JFG917494:JFR917496 JPC917494:JPN917496 JYY917494:JZJ917496 KIU917494:KJF917496 KSQ917494:KTB917496 LCM917494:LCX917496 LMI917494:LMT917496 LWE917494:LWP917496 MGA917494:MGL917496 MPW917494:MQH917496 MZS917494:NAD917496 NJO917494:NJZ917496 NTK917494:NTV917496 ODG917494:ODR917496 ONC917494:ONN917496 OWY917494:OXJ917496 PGU917494:PHF917496 PQQ917494:PRB917496 QAM917494:QAX917496 QKI917494:QKT917496 QUE917494:QUP917496 REA917494:REL917496 RNW917494:ROH917496 RXS917494:RYD917496 SHO917494:SHZ917496 SRK917494:SRV917496 TBG917494:TBR917496 TLC917494:TLN917496 TUY917494:TVJ917496 UEU917494:UFF917496 UOQ917494:UPB917496 UYM917494:UYX917496 VII917494:VIT917496 VSE917494:VSP917496 WCA917494:WCL917496 WLW917494:WMH917496 WVS917494:WWD917496 JG983030:JR983032 TC983030:TN983032 ACY983030:ADJ983032 AMU983030:ANF983032 AWQ983030:AXB983032 BGM983030:BGX983032 BQI983030:BQT983032 CAE983030:CAP983032 CKA983030:CKL983032 CTW983030:CUH983032 DDS983030:DED983032 DNO983030:DNZ983032 DXK983030:DXV983032 EHG983030:EHR983032 ERC983030:ERN983032 FAY983030:FBJ983032 FKU983030:FLF983032 FUQ983030:FVB983032 GEM983030:GEX983032 GOI983030:GOT983032 GYE983030:GYP983032 HIA983030:HIL983032 HRW983030:HSH983032 IBS983030:ICD983032 ILO983030:ILZ983032 IVK983030:IVV983032 JFG983030:JFR983032 JPC983030:JPN983032 JYY983030:JZJ983032 KIU983030:KJF983032 KSQ983030:KTB983032 LCM983030:LCX983032 LMI983030:LMT983032 LWE983030:LWP983032 MGA983030:MGL983032 MPW983030:MQH983032 MZS983030:NAD983032 NJO983030:NJZ983032 NTK983030:NTV983032 ODG983030:ODR983032 ONC983030:ONN983032 OWY983030:OXJ983032 PGU983030:PHF983032 PQQ983030:PRB983032 QAM983030:QAX983032 QKI983030:QKT983032 QUE983030:QUP983032 REA983030:REL983032 RNW983030:ROH983032 RXS983030:RYD983032 SHO983030:SHZ983032 SRK983030:SRV983032 TBG983030:TBR983032 TLC983030:TLN983032 TUY983030:TVJ983032 UEU983030:UFF983032 UOQ983030:UPB983032 UYM983030:UYX983032 VII983030:VIT983032 VSE983030:VSP983032 WCA983030:WCL983032 WLW983030:WMH983032 Z262129:AJ262131 Z196593:AJ196595 Z131057:AJ131059 Z65521:AJ65523 Z983030:AJ983032 Z917494:AJ917496 Z851958:AJ851960 Z786422:AJ786424 Z720886:AJ720888 Z655350:AJ655352 Z589814:AJ589816 Z524278:AJ524280 Z458742:AJ458744 Z393206:AJ393208 Z327670:AJ327672 Z262134:AJ262136 Z196598:AJ196600 Z131062:AJ131064 Z65526:AJ65528 Z983025:AJ983027 Z917489:AJ917491 Z851953:AJ851955 Z786417:AJ786419 Z720881:AJ720883 Z655345:AJ655347 Z589809:AJ589811 Z524273:AJ524275 Z458737:AJ458739 Z393201:AJ393203 Z327665:AJ327667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Y8:Z46">
      <formula1>"文字,数値,日付,時間"</formula1>
    </dataValidation>
    <dataValidation type="list" allowBlank="1" showInputMessage="1" showErrorMessage="1" sqref="AA8:AA46">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pageSetUpPr autoPageBreaks="0"/>
  </sheetPr>
  <dimension ref="A1:BE48"/>
  <sheetViews>
    <sheetView showGridLines="0" zoomScaleNormal="100" zoomScaleSheetLayoutView="85"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7"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7"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J.製品棚卸</v>
      </c>
      <c r="S2" s="447"/>
      <c r="T2" s="447"/>
      <c r="U2" s="447"/>
      <c r="V2" s="447"/>
      <c r="W2" s="447"/>
      <c r="X2" s="448"/>
      <c r="Y2" s="446" t="str">
        <f ca="1">VLOOKUP(RIGHT(CELL("filename",A2),LEN(CELL("filename",A2))-FIND("]",CELL("filename",A2))),テーブル一覧!B:AC,1,FALSE)</f>
        <v>棚卸実績情報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7"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7"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t_tanaoroshi_jisseki</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7"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7"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7" ht="14.4" customHeight="1">
      <c r="A8" s="37">
        <f>IF(B8="","",COUNTA($B$8:B8))</f>
        <v>1</v>
      </c>
      <c r="B8" s="17" t="s">
        <v>1692</v>
      </c>
      <c r="C8" s="18"/>
      <c r="D8" s="18"/>
      <c r="E8" s="18"/>
      <c r="F8" s="18"/>
      <c r="G8" s="18"/>
      <c r="H8" s="18"/>
      <c r="I8" s="35" t="s">
        <v>1439</v>
      </c>
      <c r="J8" s="20"/>
      <c r="K8" s="20"/>
      <c r="L8" s="20"/>
      <c r="M8" s="20"/>
      <c r="N8" s="20"/>
      <c r="O8" s="20"/>
      <c r="P8" s="20"/>
      <c r="Q8" s="20"/>
      <c r="R8" s="17" t="s">
        <v>1692</v>
      </c>
      <c r="S8" s="18"/>
      <c r="T8" s="18"/>
      <c r="U8" s="18"/>
      <c r="V8" s="18"/>
      <c r="W8" s="18"/>
      <c r="X8" s="18"/>
      <c r="Y8" s="17" t="s">
        <v>1504</v>
      </c>
      <c r="Z8" s="28"/>
      <c r="AA8" s="591" t="s">
        <v>1505</v>
      </c>
      <c r="AB8" s="592"/>
      <c r="AC8" s="593"/>
      <c r="AD8" s="53">
        <v>6</v>
      </c>
      <c r="AE8" s="24" t="s">
        <v>1585</v>
      </c>
      <c r="AF8" s="24" t="s">
        <v>116</v>
      </c>
      <c r="AG8" s="24" t="s">
        <v>84</v>
      </c>
      <c r="AH8" s="24"/>
      <c r="AI8" s="24"/>
      <c r="AJ8" s="24"/>
      <c r="AK8" s="24"/>
      <c r="AL8" s="24"/>
      <c r="AM8" s="24"/>
      <c r="AN8" s="24"/>
      <c r="AO8" s="25"/>
      <c r="AP8" s="25"/>
      <c r="AQ8" s="25"/>
      <c r="AR8" s="25"/>
      <c r="AS8" s="35"/>
      <c r="AT8" s="36"/>
      <c r="AU8" s="36"/>
      <c r="AV8" s="36"/>
      <c r="AW8" s="36"/>
      <c r="AX8" s="36"/>
      <c r="AY8" s="36"/>
      <c r="AZ8" s="36"/>
      <c r="BA8" s="36"/>
      <c r="BB8" s="36"/>
      <c r="BC8" s="36"/>
      <c r="BD8" s="50"/>
    </row>
    <row r="9" spans="1:57" ht="14.4" customHeight="1">
      <c r="A9" s="37">
        <f>IF(B9="","",COUNTA($B$8:B9))</f>
        <v>2</v>
      </c>
      <c r="B9" s="17" t="s">
        <v>1683</v>
      </c>
      <c r="C9" s="18"/>
      <c r="D9" s="18"/>
      <c r="E9" s="18"/>
      <c r="F9" s="18"/>
      <c r="G9" s="18"/>
      <c r="H9" s="18"/>
      <c r="I9" s="35" t="s">
        <v>1098</v>
      </c>
      <c r="J9" s="20"/>
      <c r="K9" s="20"/>
      <c r="L9" s="20"/>
      <c r="M9" s="20"/>
      <c r="N9" s="20"/>
      <c r="O9" s="20"/>
      <c r="P9" s="20"/>
      <c r="Q9" s="20"/>
      <c r="R9" s="17" t="s">
        <v>1683</v>
      </c>
      <c r="S9" s="18"/>
      <c r="T9" s="18"/>
      <c r="U9" s="18"/>
      <c r="V9" s="18"/>
      <c r="W9" s="18"/>
      <c r="X9" s="18"/>
      <c r="Y9" s="17" t="s">
        <v>1504</v>
      </c>
      <c r="Z9" s="28"/>
      <c r="AA9" s="591" t="s">
        <v>1505</v>
      </c>
      <c r="AB9" s="592"/>
      <c r="AC9" s="593"/>
      <c r="AD9" s="53">
        <v>15</v>
      </c>
      <c r="AE9" s="24" t="s">
        <v>1585</v>
      </c>
      <c r="AF9" s="24" t="s">
        <v>1341</v>
      </c>
      <c r="AG9" s="24" t="s">
        <v>84</v>
      </c>
      <c r="AH9" s="24"/>
      <c r="AI9" s="24"/>
      <c r="AJ9" s="24"/>
      <c r="AK9" s="24"/>
      <c r="AL9" s="24"/>
      <c r="AM9" s="24"/>
      <c r="AN9" s="24"/>
      <c r="AO9" s="25"/>
      <c r="AP9" s="25"/>
      <c r="AQ9" s="25"/>
      <c r="AR9" s="25"/>
      <c r="AS9" s="35"/>
      <c r="AT9" s="36"/>
      <c r="AU9" s="36"/>
      <c r="AV9" s="36"/>
      <c r="AW9" s="36"/>
      <c r="AX9" s="36"/>
      <c r="AY9" s="36"/>
      <c r="AZ9" s="36"/>
      <c r="BA9" s="36"/>
      <c r="BB9" s="36"/>
      <c r="BC9" s="36"/>
      <c r="BD9" s="50"/>
      <c r="BE9" s="16" t="s">
        <v>1415</v>
      </c>
    </row>
    <row r="10" spans="1:57" ht="14.4" customHeight="1">
      <c r="A10" s="37">
        <f>IF(B10="","",COUNTA($B$8:B10))</f>
        <v>3</v>
      </c>
      <c r="B10" s="35" t="s">
        <v>1344</v>
      </c>
      <c r="C10" s="34"/>
      <c r="D10" s="34"/>
      <c r="E10" s="34"/>
      <c r="F10" s="34"/>
      <c r="G10" s="34"/>
      <c r="H10" s="34"/>
      <c r="I10" s="35" t="s">
        <v>1444</v>
      </c>
      <c r="J10" s="27"/>
      <c r="K10" s="27"/>
      <c r="L10" s="27"/>
      <c r="M10" s="27"/>
      <c r="N10" s="27"/>
      <c r="O10" s="27"/>
      <c r="P10" s="27"/>
      <c r="Q10" s="27"/>
      <c r="R10" s="35" t="s">
        <v>1344</v>
      </c>
      <c r="S10" s="34"/>
      <c r="T10" s="34"/>
      <c r="U10" s="34"/>
      <c r="V10" s="34"/>
      <c r="W10" s="34"/>
      <c r="X10" s="34"/>
      <c r="Y10" s="589" t="s">
        <v>1504</v>
      </c>
      <c r="Z10" s="636"/>
      <c r="AA10" s="591" t="s">
        <v>1505</v>
      </c>
      <c r="AB10" s="592"/>
      <c r="AC10" s="593"/>
      <c r="AD10" s="53">
        <v>2</v>
      </c>
      <c r="AE10" s="25"/>
      <c r="AF10" s="25"/>
      <c r="AG10" s="25"/>
      <c r="AH10" s="25"/>
      <c r="AI10" s="25"/>
      <c r="AJ10" s="25"/>
      <c r="AK10" s="25"/>
      <c r="AL10" s="25"/>
      <c r="AM10" s="25"/>
      <c r="AN10" s="25"/>
      <c r="AO10" s="25"/>
      <c r="AP10" s="25"/>
      <c r="AQ10" s="25"/>
      <c r="AR10" s="25"/>
      <c r="AS10" s="35" t="s">
        <v>1280</v>
      </c>
      <c r="AT10" s="36"/>
      <c r="AU10" s="36"/>
      <c r="AV10" s="36"/>
      <c r="AW10" s="36"/>
      <c r="AX10" s="36"/>
      <c r="AY10" s="36"/>
      <c r="AZ10" s="36"/>
      <c r="BA10" s="36"/>
      <c r="BB10" s="36"/>
      <c r="BC10" s="36"/>
      <c r="BD10" s="50"/>
    </row>
    <row r="11" spans="1:57" ht="14.4" customHeight="1">
      <c r="A11" s="37">
        <f>IF(B11="","",COUNTA($B$8:B11))</f>
        <v>4</v>
      </c>
      <c r="B11" s="35" t="s">
        <v>1529</v>
      </c>
      <c r="C11" s="34"/>
      <c r="D11" s="34"/>
      <c r="E11" s="34"/>
      <c r="F11" s="34"/>
      <c r="G11" s="34"/>
      <c r="H11" s="34"/>
      <c r="I11" s="35" t="s">
        <v>457</v>
      </c>
      <c r="J11" s="27"/>
      <c r="K11" s="27"/>
      <c r="L11" s="27"/>
      <c r="M11" s="27"/>
      <c r="N11" s="27"/>
      <c r="O11" s="27"/>
      <c r="P11" s="27"/>
      <c r="Q11" s="27"/>
      <c r="R11" s="35" t="s">
        <v>1529</v>
      </c>
      <c r="S11" s="34"/>
      <c r="T11" s="34"/>
      <c r="U11" s="34"/>
      <c r="V11" s="34"/>
      <c r="W11" s="34"/>
      <c r="X11" s="34"/>
      <c r="Y11" s="589" t="s">
        <v>1504</v>
      </c>
      <c r="Z11" s="636"/>
      <c r="AA11" s="591" t="s">
        <v>1505</v>
      </c>
      <c r="AB11" s="592"/>
      <c r="AC11" s="593"/>
      <c r="AD11" s="53">
        <v>5</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7" ht="14.4" customHeight="1">
      <c r="A12" s="37">
        <f>IF(B12="","",COUNTA($B$8:B12))</f>
        <v>5</v>
      </c>
      <c r="B12" s="35" t="s">
        <v>1514</v>
      </c>
      <c r="C12" s="34"/>
      <c r="D12" s="34"/>
      <c r="E12" s="34"/>
      <c r="F12" s="34"/>
      <c r="G12" s="34"/>
      <c r="H12" s="34"/>
      <c r="I12" s="35" t="s">
        <v>568</v>
      </c>
      <c r="J12" s="27"/>
      <c r="K12" s="27"/>
      <c r="L12" s="27"/>
      <c r="M12" s="27"/>
      <c r="N12" s="27"/>
      <c r="O12" s="27"/>
      <c r="P12" s="27"/>
      <c r="Q12" s="27"/>
      <c r="R12" s="35" t="s">
        <v>1514</v>
      </c>
      <c r="S12" s="34"/>
      <c r="T12" s="34"/>
      <c r="U12" s="34"/>
      <c r="V12" s="34"/>
      <c r="W12" s="34"/>
      <c r="X12" s="34"/>
      <c r="Y12" s="589" t="s">
        <v>1504</v>
      </c>
      <c r="Z12" s="636"/>
      <c r="AA12" s="591" t="s">
        <v>1505</v>
      </c>
      <c r="AB12" s="592"/>
      <c r="AC12" s="593"/>
      <c r="AD12" s="53">
        <v>20</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7" ht="14.4" customHeight="1">
      <c r="A13" s="37">
        <f>IF(B13="","",COUNTA($B$8:B13))</f>
        <v>6</v>
      </c>
      <c r="B13" s="35" t="s">
        <v>1515</v>
      </c>
      <c r="C13" s="34"/>
      <c r="D13" s="34"/>
      <c r="E13" s="34"/>
      <c r="F13" s="34"/>
      <c r="G13" s="34"/>
      <c r="H13" s="34"/>
      <c r="I13" s="35" t="s">
        <v>657</v>
      </c>
      <c r="J13" s="27"/>
      <c r="K13" s="27"/>
      <c r="L13" s="27"/>
      <c r="M13" s="27"/>
      <c r="N13" s="27"/>
      <c r="O13" s="27"/>
      <c r="P13" s="27"/>
      <c r="Q13" s="27"/>
      <c r="R13" s="35" t="s">
        <v>1515</v>
      </c>
      <c r="S13" s="34"/>
      <c r="T13" s="34"/>
      <c r="U13" s="34"/>
      <c r="V13" s="34"/>
      <c r="W13" s="34"/>
      <c r="X13" s="34"/>
      <c r="Y13" s="589" t="s">
        <v>1504</v>
      </c>
      <c r="Z13" s="636"/>
      <c r="AA13" s="591" t="s">
        <v>1505</v>
      </c>
      <c r="AB13" s="592"/>
      <c r="AC13" s="593"/>
      <c r="AD13" s="53">
        <v>30</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7" ht="14.4" customHeight="1">
      <c r="A14" s="37">
        <f>IF(B14="","",COUNTA($B$8:B14))</f>
        <v>7</v>
      </c>
      <c r="B14" s="35" t="s">
        <v>1716</v>
      </c>
      <c r="C14" s="34"/>
      <c r="D14" s="34"/>
      <c r="E14" s="34"/>
      <c r="F14" s="34"/>
      <c r="G14" s="34"/>
      <c r="H14" s="34"/>
      <c r="I14" s="35" t="s">
        <v>570</v>
      </c>
      <c r="J14" s="27"/>
      <c r="K14" s="27"/>
      <c r="L14" s="27"/>
      <c r="M14" s="27"/>
      <c r="N14" s="27"/>
      <c r="O14" s="27"/>
      <c r="P14" s="27"/>
      <c r="Q14" s="27"/>
      <c r="R14" s="35" t="s">
        <v>1716</v>
      </c>
      <c r="S14" s="34"/>
      <c r="T14" s="34"/>
      <c r="U14" s="34"/>
      <c r="V14" s="34"/>
      <c r="W14" s="34"/>
      <c r="X14" s="34"/>
      <c r="Y14" s="589" t="s">
        <v>1504</v>
      </c>
      <c r="Z14" s="590"/>
      <c r="AA14" s="591" t="s">
        <v>1505</v>
      </c>
      <c r="AB14" s="592"/>
      <c r="AC14" s="593"/>
      <c r="AD14" s="53">
        <v>2</v>
      </c>
      <c r="AE14" s="25"/>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7" ht="14.4" customHeight="1">
      <c r="A15" s="37">
        <f>IF(B15="","",COUNTA($B$8:B15))</f>
        <v>8</v>
      </c>
      <c r="B15" s="35" t="s">
        <v>1718</v>
      </c>
      <c r="C15" s="34"/>
      <c r="D15" s="34"/>
      <c r="E15" s="34"/>
      <c r="F15" s="34"/>
      <c r="G15" s="34"/>
      <c r="H15" s="34"/>
      <c r="I15" s="35" t="s">
        <v>572</v>
      </c>
      <c r="J15" s="27"/>
      <c r="K15" s="27"/>
      <c r="L15" s="27"/>
      <c r="M15" s="27"/>
      <c r="N15" s="27"/>
      <c r="O15" s="27"/>
      <c r="P15" s="27"/>
      <c r="Q15" s="27"/>
      <c r="R15" s="35" t="s">
        <v>1718</v>
      </c>
      <c r="S15" s="34"/>
      <c r="T15" s="34"/>
      <c r="U15" s="34"/>
      <c r="V15" s="34"/>
      <c r="W15" s="34"/>
      <c r="X15" s="34"/>
      <c r="Y15" s="589" t="s">
        <v>1504</v>
      </c>
      <c r="Z15" s="590"/>
      <c r="AA15" s="591" t="s">
        <v>1505</v>
      </c>
      <c r="AB15" s="592"/>
      <c r="AC15" s="593"/>
      <c r="AD15" s="53">
        <v>2</v>
      </c>
      <c r="AE15" s="25"/>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7" ht="14.4" customHeight="1">
      <c r="A16" s="37">
        <f>IF(B16="","",COUNTA($B$8:B16))</f>
        <v>9</v>
      </c>
      <c r="B16" s="35" t="s">
        <v>458</v>
      </c>
      <c r="C16" s="34"/>
      <c r="D16" s="34"/>
      <c r="E16" s="34"/>
      <c r="F16" s="34"/>
      <c r="G16" s="34"/>
      <c r="H16" s="34"/>
      <c r="I16" s="35" t="s">
        <v>459</v>
      </c>
      <c r="J16" s="27"/>
      <c r="K16" s="27"/>
      <c r="L16" s="27"/>
      <c r="M16" s="27"/>
      <c r="N16" s="27"/>
      <c r="O16" s="27"/>
      <c r="P16" s="27"/>
      <c r="Q16" s="27"/>
      <c r="R16" s="35" t="s">
        <v>1530</v>
      </c>
      <c r="S16" s="34"/>
      <c r="T16" s="34"/>
      <c r="U16" s="34"/>
      <c r="V16" s="34"/>
      <c r="W16" s="34"/>
      <c r="X16" s="34"/>
      <c r="Y16" s="589" t="s">
        <v>1504</v>
      </c>
      <c r="Z16" s="590"/>
      <c r="AA16" s="591" t="s">
        <v>1505</v>
      </c>
      <c r="AB16" s="592"/>
      <c r="AC16" s="593"/>
      <c r="AD16" s="53">
        <v>2</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7" ht="14.4" customHeight="1">
      <c r="A17" s="37">
        <f>IF(B17="","",COUNTA($B$8:B17))</f>
        <v>10</v>
      </c>
      <c r="B17" s="35" t="s">
        <v>1518</v>
      </c>
      <c r="C17" s="34"/>
      <c r="D17" s="34"/>
      <c r="E17" s="34"/>
      <c r="F17" s="34"/>
      <c r="G17" s="34"/>
      <c r="H17" s="34"/>
      <c r="I17" s="35" t="s">
        <v>534</v>
      </c>
      <c r="J17" s="27"/>
      <c r="K17" s="27"/>
      <c r="L17" s="27"/>
      <c r="M17" s="27"/>
      <c r="N17" s="27"/>
      <c r="O17" s="27"/>
      <c r="P17" s="27"/>
      <c r="Q17" s="27"/>
      <c r="R17" s="35" t="s">
        <v>1518</v>
      </c>
      <c r="S17" s="34"/>
      <c r="T17" s="34"/>
      <c r="U17" s="34"/>
      <c r="V17" s="34"/>
      <c r="W17" s="34"/>
      <c r="X17" s="34"/>
      <c r="Y17" s="589" t="s">
        <v>1516</v>
      </c>
      <c r="Z17" s="590"/>
      <c r="AA17" s="591" t="s">
        <v>1517</v>
      </c>
      <c r="AB17" s="592"/>
      <c r="AC17" s="593"/>
      <c r="AD17" s="53">
        <v>5</v>
      </c>
      <c r="AE17" s="25">
        <v>2</v>
      </c>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7" ht="14.4" customHeight="1">
      <c r="A18" s="37">
        <f>IF(B18="","",COUNTA($B$8:B18))</f>
        <v>11</v>
      </c>
      <c r="B18" s="35" t="s">
        <v>1519</v>
      </c>
      <c r="C18" s="34"/>
      <c r="D18" s="34"/>
      <c r="E18" s="34"/>
      <c r="F18" s="34"/>
      <c r="G18" s="34"/>
      <c r="H18" s="34"/>
      <c r="I18" s="35" t="s">
        <v>584</v>
      </c>
      <c r="J18" s="27"/>
      <c r="K18" s="27"/>
      <c r="L18" s="27"/>
      <c r="M18" s="27"/>
      <c r="N18" s="27"/>
      <c r="O18" s="27"/>
      <c r="P18" s="27"/>
      <c r="Q18" s="27"/>
      <c r="R18" s="35" t="s">
        <v>1519</v>
      </c>
      <c r="S18" s="34"/>
      <c r="T18" s="34"/>
      <c r="U18" s="34"/>
      <c r="V18" s="34"/>
      <c r="W18" s="34"/>
      <c r="X18" s="34"/>
      <c r="Y18" s="589" t="s">
        <v>1516</v>
      </c>
      <c r="Z18" s="590"/>
      <c r="AA18" s="591" t="s">
        <v>1517</v>
      </c>
      <c r="AB18" s="592"/>
      <c r="AC18" s="593"/>
      <c r="AD18" s="53">
        <v>5</v>
      </c>
      <c r="AE18" s="25"/>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7" ht="14.4" customHeight="1">
      <c r="A19" s="37">
        <f>IF(B19="","",COUNTA($B$8:B19))</f>
        <v>12</v>
      </c>
      <c r="B19" s="35" t="s">
        <v>1520</v>
      </c>
      <c r="C19" s="34"/>
      <c r="D19" s="34"/>
      <c r="E19" s="34"/>
      <c r="F19" s="34"/>
      <c r="G19" s="34"/>
      <c r="H19" s="34"/>
      <c r="I19" s="35" t="s">
        <v>526</v>
      </c>
      <c r="J19" s="27"/>
      <c r="K19" s="27"/>
      <c r="L19" s="27"/>
      <c r="M19" s="27"/>
      <c r="N19" s="27"/>
      <c r="O19" s="27"/>
      <c r="P19" s="27"/>
      <c r="Q19" s="27"/>
      <c r="R19" s="35" t="s">
        <v>1520</v>
      </c>
      <c r="S19" s="34"/>
      <c r="T19" s="34"/>
      <c r="U19" s="34"/>
      <c r="V19" s="34"/>
      <c r="W19" s="34"/>
      <c r="X19" s="34"/>
      <c r="Y19" s="589" t="s">
        <v>1516</v>
      </c>
      <c r="Z19" s="590"/>
      <c r="AA19" s="591" t="s">
        <v>1517</v>
      </c>
      <c r="AB19" s="592"/>
      <c r="AC19" s="593"/>
      <c r="AD19" s="53">
        <v>5</v>
      </c>
      <c r="AE19" s="25"/>
      <c r="AF19" s="25"/>
      <c r="AG19" s="25"/>
      <c r="AH19" s="25"/>
      <c r="AI19" s="25"/>
      <c r="AJ19" s="25"/>
      <c r="AK19" s="25"/>
      <c r="AL19" s="25"/>
      <c r="AM19" s="25"/>
      <c r="AN19" s="25"/>
      <c r="AO19" s="25"/>
      <c r="AP19" s="25"/>
      <c r="AQ19" s="25"/>
      <c r="AR19" s="25"/>
      <c r="AS19" s="35"/>
      <c r="AT19" s="36"/>
      <c r="AU19" s="36"/>
      <c r="AV19" s="36"/>
      <c r="AW19" s="36"/>
      <c r="AX19" s="36"/>
      <c r="AY19" s="36"/>
      <c r="AZ19" s="36"/>
      <c r="BA19" s="36"/>
      <c r="BB19" s="36"/>
      <c r="BC19" s="36"/>
      <c r="BD19" s="50"/>
    </row>
    <row r="20" spans="1:57" ht="14.4" customHeight="1">
      <c r="A20" s="37">
        <f>IF(B20="","",COUNTA($B$8:B20))</f>
        <v>13</v>
      </c>
      <c r="B20" s="35" t="s">
        <v>1521</v>
      </c>
      <c r="C20" s="34"/>
      <c r="D20" s="34"/>
      <c r="E20" s="34"/>
      <c r="F20" s="34"/>
      <c r="G20" s="34"/>
      <c r="H20" s="34"/>
      <c r="I20" s="35" t="s">
        <v>1102</v>
      </c>
      <c r="J20" s="27"/>
      <c r="K20" s="27"/>
      <c r="L20" s="27"/>
      <c r="M20" s="27"/>
      <c r="N20" s="27"/>
      <c r="O20" s="27"/>
      <c r="P20" s="27"/>
      <c r="Q20" s="27"/>
      <c r="R20" s="35" t="s">
        <v>1521</v>
      </c>
      <c r="S20" s="34"/>
      <c r="T20" s="34"/>
      <c r="U20" s="34"/>
      <c r="V20" s="34"/>
      <c r="W20" s="34"/>
      <c r="X20" s="34"/>
      <c r="Y20" s="589" t="s">
        <v>1516</v>
      </c>
      <c r="Z20" s="590"/>
      <c r="AA20" s="591" t="s">
        <v>1517</v>
      </c>
      <c r="AB20" s="592"/>
      <c r="AC20" s="593"/>
      <c r="AD20" s="53">
        <v>7</v>
      </c>
      <c r="AE20" s="25">
        <v>2</v>
      </c>
      <c r="AF20" s="25"/>
      <c r="AG20" s="25"/>
      <c r="AH20" s="25"/>
      <c r="AI20" s="25"/>
      <c r="AJ20" s="25"/>
      <c r="AK20" s="25"/>
      <c r="AL20" s="25"/>
      <c r="AM20" s="25"/>
      <c r="AN20" s="25"/>
      <c r="AO20" s="25"/>
      <c r="AP20" s="25"/>
      <c r="AQ20" s="25"/>
      <c r="AR20" s="25"/>
      <c r="AS20" s="35"/>
      <c r="AT20" s="36"/>
      <c r="AU20" s="36"/>
      <c r="AV20" s="36"/>
      <c r="AW20" s="36"/>
      <c r="AX20" s="36"/>
      <c r="AY20" s="36"/>
      <c r="AZ20" s="36"/>
      <c r="BA20" s="36"/>
      <c r="BB20" s="36"/>
      <c r="BC20" s="36"/>
      <c r="BD20" s="50"/>
    </row>
    <row r="21" spans="1:57" ht="14.4" customHeight="1">
      <c r="A21" s="37">
        <f>IF(B21="","",COUNTA($B$8:B21))</f>
        <v>14</v>
      </c>
      <c r="B21" s="17" t="s">
        <v>1522</v>
      </c>
      <c r="C21" s="18"/>
      <c r="D21" s="18"/>
      <c r="E21" s="18"/>
      <c r="F21" s="18"/>
      <c r="G21" s="18"/>
      <c r="H21" s="18"/>
      <c r="I21" s="19" t="s">
        <v>1523</v>
      </c>
      <c r="J21" s="20"/>
      <c r="K21" s="20"/>
      <c r="L21" s="20"/>
      <c r="M21" s="20"/>
      <c r="N21" s="20"/>
      <c r="O21" s="20"/>
      <c r="P21" s="20"/>
      <c r="Q21" s="20"/>
      <c r="R21" s="17" t="s">
        <v>1524</v>
      </c>
      <c r="S21" s="18"/>
      <c r="T21" s="18"/>
      <c r="U21" s="18"/>
      <c r="V21" s="18"/>
      <c r="W21" s="18"/>
      <c r="X21" s="18"/>
      <c r="Y21" s="589" t="s">
        <v>1516</v>
      </c>
      <c r="Z21" s="590"/>
      <c r="AA21" s="591" t="s">
        <v>1517</v>
      </c>
      <c r="AB21" s="592"/>
      <c r="AC21" s="593"/>
      <c r="AD21" s="53">
        <v>5</v>
      </c>
      <c r="AE21" s="30" t="s">
        <v>1585</v>
      </c>
      <c r="AF21" s="30"/>
      <c r="AG21" s="30"/>
      <c r="AH21" s="30"/>
      <c r="AI21" s="30"/>
      <c r="AJ21" s="30"/>
      <c r="AK21" s="30"/>
      <c r="AL21" s="30"/>
      <c r="AM21" s="30"/>
      <c r="AN21" s="30"/>
      <c r="AO21" s="31"/>
      <c r="AP21" s="31"/>
      <c r="AQ21" s="31"/>
      <c r="AR21" s="31"/>
      <c r="AS21" s="32"/>
      <c r="AT21" s="33"/>
      <c r="AU21" s="51"/>
      <c r="AV21" s="51"/>
      <c r="AW21" s="51"/>
      <c r="AX21" s="51"/>
      <c r="AY21" s="51"/>
      <c r="AZ21" s="51"/>
      <c r="BA21" s="51"/>
      <c r="BB21" s="51"/>
      <c r="BC21" s="51"/>
      <c r="BD21" s="52"/>
      <c r="BE21" s="16" t="s">
        <v>1335</v>
      </c>
    </row>
    <row r="22" spans="1:57" ht="14.4" customHeight="1">
      <c r="A22" s="37">
        <f>IF(B22="","",COUNTA($B$8:B22))</f>
        <v>15</v>
      </c>
      <c r="B22" s="35" t="s">
        <v>505</v>
      </c>
      <c r="C22" s="34"/>
      <c r="D22" s="34"/>
      <c r="E22" s="34"/>
      <c r="F22" s="34"/>
      <c r="G22" s="34"/>
      <c r="H22" s="34"/>
      <c r="I22" s="35" t="s">
        <v>506</v>
      </c>
      <c r="J22" s="27"/>
      <c r="K22" s="27"/>
      <c r="L22" s="27"/>
      <c r="M22" s="27"/>
      <c r="N22" s="27"/>
      <c r="O22" s="27"/>
      <c r="P22" s="27"/>
      <c r="Q22" s="27"/>
      <c r="R22" s="35" t="s">
        <v>505</v>
      </c>
      <c r="S22" s="34"/>
      <c r="T22" s="34"/>
      <c r="U22" s="34"/>
      <c r="V22" s="34"/>
      <c r="W22" s="34"/>
      <c r="X22" s="34"/>
      <c r="Y22" s="589" t="s">
        <v>1504</v>
      </c>
      <c r="Z22" s="590"/>
      <c r="AA22" s="591" t="s">
        <v>1505</v>
      </c>
      <c r="AB22" s="592"/>
      <c r="AC22" s="593"/>
      <c r="AD22" s="53">
        <v>4</v>
      </c>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c r="BE22" s="16" t="s">
        <v>1386</v>
      </c>
    </row>
    <row r="23" spans="1:57" ht="14.4" customHeight="1">
      <c r="A23" s="37">
        <f>IF(B23="","",COUNTA($B$8:B23))</f>
        <v>16</v>
      </c>
      <c r="B23" s="35" t="s">
        <v>127</v>
      </c>
      <c r="C23" s="34"/>
      <c r="D23" s="34"/>
      <c r="E23" s="34"/>
      <c r="F23" s="34"/>
      <c r="G23" s="34"/>
      <c r="H23" s="34"/>
      <c r="I23" s="35" t="s">
        <v>709</v>
      </c>
      <c r="J23" s="27"/>
      <c r="K23" s="27"/>
      <c r="L23" s="27"/>
      <c r="M23" s="27"/>
      <c r="N23" s="27"/>
      <c r="O23" s="27"/>
      <c r="P23" s="27"/>
      <c r="Q23" s="27"/>
      <c r="R23" s="35" t="s">
        <v>127</v>
      </c>
      <c r="S23" s="34"/>
      <c r="T23" s="34"/>
      <c r="U23" s="34"/>
      <c r="V23" s="34"/>
      <c r="W23" s="34"/>
      <c r="X23" s="34"/>
      <c r="Y23" s="589" t="s">
        <v>1516</v>
      </c>
      <c r="Z23" s="590"/>
      <c r="AA23" s="591" t="s">
        <v>1517</v>
      </c>
      <c r="AB23" s="592"/>
      <c r="AC23" s="593"/>
      <c r="AD23" s="53">
        <v>7</v>
      </c>
      <c r="AE23" s="25">
        <v>2</v>
      </c>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c r="BE23" s="16" t="s">
        <v>1387</v>
      </c>
    </row>
    <row r="24" spans="1:57" ht="14.4" customHeight="1">
      <c r="A24" s="37">
        <f>IF(B24="","",COUNTA($B$8:B24))</f>
        <v>17</v>
      </c>
      <c r="B24" s="35" t="s">
        <v>1337</v>
      </c>
      <c r="C24" s="34"/>
      <c r="D24" s="34"/>
      <c r="E24" s="34"/>
      <c r="F24" s="34"/>
      <c r="G24" s="34"/>
      <c r="H24" s="34"/>
      <c r="I24" s="35" t="s">
        <v>1448</v>
      </c>
      <c r="J24" s="27"/>
      <c r="K24" s="27"/>
      <c r="L24" s="27"/>
      <c r="M24" s="27"/>
      <c r="N24" s="27"/>
      <c r="O24" s="27"/>
      <c r="P24" s="27"/>
      <c r="Q24" s="27"/>
      <c r="R24" s="35" t="s">
        <v>1337</v>
      </c>
      <c r="S24" s="34"/>
      <c r="T24" s="34"/>
      <c r="U24" s="34"/>
      <c r="V24" s="34"/>
      <c r="W24" s="34"/>
      <c r="X24" s="34"/>
      <c r="Y24" s="589" t="s">
        <v>1504</v>
      </c>
      <c r="Z24" s="590"/>
      <c r="AA24" s="591" t="s">
        <v>1505</v>
      </c>
      <c r="AB24" s="592"/>
      <c r="AC24" s="593"/>
      <c r="AD24" s="53">
        <v>50</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7" ht="14.4" customHeight="1">
      <c r="A25" s="37">
        <f>IF(B25="","",COUNTA($B$8:B25))</f>
        <v>18</v>
      </c>
      <c r="B25" s="35" t="s">
        <v>1338</v>
      </c>
      <c r="C25" s="34"/>
      <c r="D25" s="34"/>
      <c r="E25" s="34"/>
      <c r="F25" s="34"/>
      <c r="G25" s="34"/>
      <c r="H25" s="34"/>
      <c r="I25" s="35" t="s">
        <v>1455</v>
      </c>
      <c r="J25" s="27"/>
      <c r="K25" s="27"/>
      <c r="L25" s="27"/>
      <c r="M25" s="27"/>
      <c r="N25" s="27"/>
      <c r="O25" s="27"/>
      <c r="P25" s="27"/>
      <c r="Q25" s="27"/>
      <c r="R25" s="35" t="s">
        <v>1338</v>
      </c>
      <c r="S25" s="34"/>
      <c r="T25" s="34"/>
      <c r="U25" s="34"/>
      <c r="V25" s="34"/>
      <c r="W25" s="34"/>
      <c r="X25" s="34"/>
      <c r="Y25" s="589" t="s">
        <v>1504</v>
      </c>
      <c r="Z25" s="590"/>
      <c r="AA25" s="591" t="s">
        <v>1505</v>
      </c>
      <c r="AB25" s="592"/>
      <c r="AC25" s="593"/>
      <c r="AD25" s="53">
        <v>50</v>
      </c>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7" ht="14.4" customHeight="1">
      <c r="A26" s="37">
        <f>IF(B26="","",COUNTA($B$8:B26))</f>
        <v>19</v>
      </c>
      <c r="B26" s="35" t="s">
        <v>1528</v>
      </c>
      <c r="C26" s="34"/>
      <c r="D26" s="34"/>
      <c r="E26" s="34"/>
      <c r="F26" s="34"/>
      <c r="G26" s="34"/>
      <c r="H26" s="34"/>
      <c r="I26" s="35" t="s">
        <v>1449</v>
      </c>
      <c r="J26" s="27"/>
      <c r="K26" s="27"/>
      <c r="L26" s="27"/>
      <c r="M26" s="27"/>
      <c r="N26" s="27"/>
      <c r="O26" s="27"/>
      <c r="P26" s="27"/>
      <c r="Q26" s="27"/>
      <c r="R26" s="35" t="s">
        <v>1528</v>
      </c>
      <c r="S26" s="34"/>
      <c r="T26" s="34"/>
      <c r="U26" s="34"/>
      <c r="V26" s="34"/>
      <c r="W26" s="34"/>
      <c r="X26" s="34"/>
      <c r="Y26" s="17" t="s">
        <v>1504</v>
      </c>
      <c r="Z26" s="28"/>
      <c r="AA26" s="591" t="s">
        <v>1505</v>
      </c>
      <c r="AB26" s="592"/>
      <c r="AC26" s="593"/>
      <c r="AD26" s="53">
        <v>10</v>
      </c>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7" ht="14.4" customHeight="1">
      <c r="A27" s="37">
        <f>IF(B27="","",COUNTA($B$8:B27))</f>
        <v>20</v>
      </c>
      <c r="B27" s="35" t="s">
        <v>589</v>
      </c>
      <c r="C27" s="34"/>
      <c r="D27" s="34"/>
      <c r="E27" s="34"/>
      <c r="F27" s="34"/>
      <c r="G27" s="34"/>
      <c r="H27" s="34"/>
      <c r="I27" s="35" t="s">
        <v>1395</v>
      </c>
      <c r="J27" s="27"/>
      <c r="K27" s="27"/>
      <c r="L27" s="27"/>
      <c r="M27" s="27"/>
      <c r="N27" s="27"/>
      <c r="O27" s="27"/>
      <c r="P27" s="27"/>
      <c r="Q27" s="27"/>
      <c r="R27" s="35" t="s">
        <v>589</v>
      </c>
      <c r="S27" s="34"/>
      <c r="T27" s="34"/>
      <c r="U27" s="34"/>
      <c r="V27" s="34"/>
      <c r="W27" s="34"/>
      <c r="X27" s="34"/>
      <c r="Y27" s="589" t="s">
        <v>1504</v>
      </c>
      <c r="Z27" s="590"/>
      <c r="AA27" s="591" t="s">
        <v>1505</v>
      </c>
      <c r="AB27" s="592"/>
      <c r="AC27" s="593"/>
      <c r="AD27" s="53">
        <v>3</v>
      </c>
      <c r="AE27" s="25"/>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7" ht="14.4" customHeight="1">
      <c r="A28" s="37">
        <f>IF(B28="","",COUNTA($B$8:B28))</f>
        <v>21</v>
      </c>
      <c r="B28" s="35" t="s">
        <v>1690</v>
      </c>
      <c r="C28" s="34"/>
      <c r="D28" s="34"/>
      <c r="E28" s="34"/>
      <c r="F28" s="34"/>
      <c r="G28" s="34"/>
      <c r="H28" s="34"/>
      <c r="I28" s="35" t="s">
        <v>1450</v>
      </c>
      <c r="J28" s="27"/>
      <c r="K28" s="27"/>
      <c r="L28" s="27"/>
      <c r="M28" s="27"/>
      <c r="N28" s="27"/>
      <c r="O28" s="27"/>
      <c r="P28" s="27"/>
      <c r="Q28" s="27"/>
      <c r="R28" s="35" t="s">
        <v>1690</v>
      </c>
      <c r="S28" s="34"/>
      <c r="T28" s="34"/>
      <c r="U28" s="34"/>
      <c r="V28" s="34"/>
      <c r="W28" s="34"/>
      <c r="X28" s="34"/>
      <c r="Y28" s="589" t="s">
        <v>1504</v>
      </c>
      <c r="Z28" s="590"/>
      <c r="AA28" s="591" t="s">
        <v>1505</v>
      </c>
      <c r="AB28" s="592"/>
      <c r="AC28" s="593"/>
      <c r="AD28" s="53">
        <v>10</v>
      </c>
      <c r="AE28" s="25"/>
      <c r="AF28" s="25"/>
      <c r="AG28" s="25"/>
      <c r="AH28" s="25"/>
      <c r="AI28" s="25"/>
      <c r="AJ28" s="25"/>
      <c r="AK28" s="25"/>
      <c r="AL28" s="25"/>
      <c r="AM28" s="25"/>
      <c r="AN28" s="25"/>
      <c r="AO28" s="25"/>
      <c r="AP28" s="25"/>
      <c r="AQ28" s="25"/>
      <c r="AR28" s="25"/>
      <c r="AS28" s="35"/>
      <c r="AT28" s="36"/>
      <c r="AU28" s="36"/>
      <c r="AV28" s="36"/>
      <c r="AW28" s="36"/>
      <c r="AX28" s="36"/>
      <c r="AY28" s="36"/>
      <c r="AZ28" s="36"/>
      <c r="BA28" s="36"/>
      <c r="BB28" s="36"/>
      <c r="BC28" s="36"/>
      <c r="BD28" s="50"/>
    </row>
    <row r="29" spans="1:57" ht="14.4" customHeight="1">
      <c r="A29" s="37">
        <f>IF(B29="","",COUNTA($B$8:B29))</f>
        <v>22</v>
      </c>
      <c r="B29" s="17" t="s">
        <v>1645</v>
      </c>
      <c r="C29" s="34"/>
      <c r="D29" s="34"/>
      <c r="E29" s="34"/>
      <c r="F29" s="34"/>
      <c r="G29" s="34"/>
      <c r="H29" s="34"/>
      <c r="I29" s="35" t="s">
        <v>1456</v>
      </c>
      <c r="J29" s="27"/>
      <c r="K29" s="27"/>
      <c r="L29" s="27"/>
      <c r="M29" s="27"/>
      <c r="N29" s="27"/>
      <c r="O29" s="27"/>
      <c r="P29" s="27"/>
      <c r="Q29" s="27"/>
      <c r="R29" s="17" t="s">
        <v>1645</v>
      </c>
      <c r="S29" s="34"/>
      <c r="T29" s="34"/>
      <c r="U29" s="34"/>
      <c r="V29" s="34"/>
      <c r="W29" s="34"/>
      <c r="X29" s="34"/>
      <c r="Y29" s="589" t="s">
        <v>1504</v>
      </c>
      <c r="Z29" s="590"/>
      <c r="AA29" s="591" t="s">
        <v>1505</v>
      </c>
      <c r="AB29" s="592"/>
      <c r="AC29" s="593"/>
      <c r="AD29" s="23">
        <v>1</v>
      </c>
      <c r="AE29" s="25"/>
      <c r="AF29" s="25"/>
      <c r="AG29" s="25"/>
      <c r="AH29" s="25"/>
      <c r="AI29" s="25"/>
      <c r="AJ29" s="25"/>
      <c r="AK29" s="25"/>
      <c r="AL29" s="25"/>
      <c r="AM29" s="25"/>
      <c r="AN29" s="25"/>
      <c r="AO29" s="25"/>
      <c r="AP29" s="25"/>
      <c r="AQ29" s="25"/>
      <c r="AR29" s="25"/>
      <c r="AS29" s="26" t="s">
        <v>226</v>
      </c>
      <c r="AT29" s="51"/>
      <c r="AU29" s="51"/>
      <c r="AV29" s="51"/>
      <c r="AW29" s="51"/>
      <c r="AX29" s="51"/>
      <c r="AY29" s="51"/>
      <c r="AZ29" s="51"/>
      <c r="BA29" s="51"/>
      <c r="BB29" s="51"/>
      <c r="BC29" s="51"/>
      <c r="BD29" s="52"/>
    </row>
    <row r="30" spans="1:57" ht="14.4" customHeight="1">
      <c r="A30" s="37">
        <f>IF(B30="","",COUNTA($B$8:B30))</f>
        <v>23</v>
      </c>
      <c r="B30" s="17" t="s">
        <v>1697</v>
      </c>
      <c r="C30" s="34"/>
      <c r="D30" s="34"/>
      <c r="E30" s="34"/>
      <c r="F30" s="34"/>
      <c r="G30" s="34"/>
      <c r="H30" s="34"/>
      <c r="I30" s="35" t="s">
        <v>1457</v>
      </c>
      <c r="J30" s="27"/>
      <c r="K30" s="27"/>
      <c r="L30" s="27"/>
      <c r="M30" s="27"/>
      <c r="N30" s="27"/>
      <c r="O30" s="27"/>
      <c r="P30" s="27"/>
      <c r="Q30" s="27"/>
      <c r="R30" s="17" t="s">
        <v>1697</v>
      </c>
      <c r="S30" s="34"/>
      <c r="T30" s="34"/>
      <c r="U30" s="34"/>
      <c r="V30" s="34"/>
      <c r="W30" s="34"/>
      <c r="X30" s="34"/>
      <c r="Y30" s="589" t="s">
        <v>1504</v>
      </c>
      <c r="Z30" s="590"/>
      <c r="AA30" s="591" t="s">
        <v>1505</v>
      </c>
      <c r="AB30" s="592"/>
      <c r="AC30" s="593"/>
      <c r="AD30" s="23">
        <v>1</v>
      </c>
      <c r="AE30" s="25"/>
      <c r="AF30" s="25"/>
      <c r="AG30" s="25"/>
      <c r="AH30" s="25"/>
      <c r="AI30" s="25"/>
      <c r="AJ30" s="25"/>
      <c r="AK30" s="25"/>
      <c r="AL30" s="25"/>
      <c r="AM30" s="25"/>
      <c r="AN30" s="25"/>
      <c r="AO30" s="25"/>
      <c r="AP30" s="25"/>
      <c r="AQ30" s="25"/>
      <c r="AR30" s="25"/>
      <c r="AS30" s="26" t="s">
        <v>226</v>
      </c>
      <c r="AT30" s="51"/>
      <c r="AU30" s="51"/>
      <c r="AV30" s="51"/>
      <c r="AW30" s="51"/>
      <c r="AX30" s="51"/>
      <c r="AY30" s="51"/>
      <c r="AZ30" s="51"/>
      <c r="BA30" s="51"/>
      <c r="BB30" s="51"/>
      <c r="BC30" s="51"/>
      <c r="BD30" s="52"/>
    </row>
    <row r="31" spans="1:57" ht="14.4" customHeight="1">
      <c r="A31" s="37">
        <f>IF(B31="","",COUNTA($B$8:B31))</f>
        <v>24</v>
      </c>
      <c r="B31" s="17" t="s">
        <v>1723</v>
      </c>
      <c r="C31" s="34"/>
      <c r="D31" s="34"/>
      <c r="E31" s="34"/>
      <c r="F31" s="34"/>
      <c r="G31" s="34"/>
      <c r="H31" s="34"/>
      <c r="I31" s="35" t="s">
        <v>1458</v>
      </c>
      <c r="J31" s="27"/>
      <c r="K31" s="27"/>
      <c r="L31" s="27"/>
      <c r="M31" s="27"/>
      <c r="N31" s="27"/>
      <c r="O31" s="27"/>
      <c r="P31" s="27"/>
      <c r="Q31" s="27"/>
      <c r="R31" s="17" t="s">
        <v>1723</v>
      </c>
      <c r="S31" s="34"/>
      <c r="T31" s="34"/>
      <c r="U31" s="34"/>
      <c r="V31" s="34"/>
      <c r="W31" s="34"/>
      <c r="X31" s="34"/>
      <c r="Y31" s="589" t="s">
        <v>1504</v>
      </c>
      <c r="Z31" s="590"/>
      <c r="AA31" s="591" t="s">
        <v>1505</v>
      </c>
      <c r="AB31" s="592"/>
      <c r="AC31" s="593"/>
      <c r="AD31" s="23">
        <v>1</v>
      </c>
      <c r="AE31" s="25"/>
      <c r="AF31" s="25"/>
      <c r="AG31" s="25"/>
      <c r="AH31" s="25"/>
      <c r="AI31" s="25"/>
      <c r="AJ31" s="25"/>
      <c r="AK31" s="25"/>
      <c r="AL31" s="25"/>
      <c r="AM31" s="25"/>
      <c r="AN31" s="25"/>
      <c r="AO31" s="25"/>
      <c r="AP31" s="25"/>
      <c r="AQ31" s="25"/>
      <c r="AR31" s="25"/>
      <c r="AS31" s="26" t="s">
        <v>228</v>
      </c>
      <c r="AT31" s="51"/>
      <c r="AU31" s="51"/>
      <c r="AV31" s="51"/>
      <c r="AW31" s="51"/>
      <c r="AX31" s="51"/>
      <c r="AY31" s="51"/>
      <c r="AZ31" s="51"/>
      <c r="BA31" s="51"/>
      <c r="BB31" s="51"/>
      <c r="BC31" s="51"/>
      <c r="BD31" s="52"/>
    </row>
    <row r="32" spans="1:57" ht="14.4" customHeight="1">
      <c r="A32" s="37">
        <f>IF(B32="","",COUNTA($B$8:B32))</f>
        <v>25</v>
      </c>
      <c r="B32" s="17" t="s">
        <v>1708</v>
      </c>
      <c r="C32" s="34"/>
      <c r="D32" s="34"/>
      <c r="E32" s="34"/>
      <c r="F32" s="34"/>
      <c r="G32" s="34"/>
      <c r="H32" s="34"/>
      <c r="I32" s="35" t="s">
        <v>1459</v>
      </c>
      <c r="J32" s="27"/>
      <c r="K32" s="27"/>
      <c r="L32" s="27"/>
      <c r="M32" s="27"/>
      <c r="N32" s="27"/>
      <c r="O32" s="27"/>
      <c r="P32" s="27"/>
      <c r="Q32" s="27"/>
      <c r="R32" s="17" t="s">
        <v>1708</v>
      </c>
      <c r="S32" s="34"/>
      <c r="T32" s="34"/>
      <c r="U32" s="34"/>
      <c r="V32" s="34"/>
      <c r="W32" s="34"/>
      <c r="X32" s="34"/>
      <c r="Y32" s="589" t="s">
        <v>1504</v>
      </c>
      <c r="Z32" s="590"/>
      <c r="AA32" s="591" t="s">
        <v>1505</v>
      </c>
      <c r="AB32" s="592"/>
      <c r="AC32" s="593"/>
      <c r="AD32" s="23">
        <v>1</v>
      </c>
      <c r="AE32" s="25"/>
      <c r="AF32" s="25"/>
      <c r="AG32" s="25"/>
      <c r="AH32" s="25"/>
      <c r="AI32" s="25"/>
      <c r="AJ32" s="25"/>
      <c r="AK32" s="25"/>
      <c r="AL32" s="25"/>
      <c r="AM32" s="25"/>
      <c r="AN32" s="25"/>
      <c r="AO32" s="25"/>
      <c r="AP32" s="25"/>
      <c r="AQ32" s="25"/>
      <c r="AR32" s="25"/>
      <c r="AS32" s="26"/>
      <c r="AT32" s="51"/>
      <c r="AU32" s="51"/>
      <c r="AV32" s="51"/>
      <c r="AW32" s="51"/>
      <c r="AX32" s="51"/>
      <c r="AY32" s="51"/>
      <c r="AZ32" s="51"/>
      <c r="BA32" s="51"/>
      <c r="BB32" s="51"/>
      <c r="BC32" s="51"/>
      <c r="BD32" s="52"/>
    </row>
    <row r="33" spans="1:57" ht="14.4" customHeight="1">
      <c r="A33" s="37">
        <f>IF(B33="","",COUNTA($B$8:B33))</f>
        <v>26</v>
      </c>
      <c r="B33" s="17" t="s">
        <v>1709</v>
      </c>
      <c r="C33" s="34"/>
      <c r="D33" s="34"/>
      <c r="E33" s="34"/>
      <c r="F33" s="34"/>
      <c r="G33" s="34"/>
      <c r="H33" s="34"/>
      <c r="I33" s="35" t="s">
        <v>1460</v>
      </c>
      <c r="J33" s="27"/>
      <c r="K33" s="27"/>
      <c r="L33" s="27"/>
      <c r="M33" s="27"/>
      <c r="N33" s="27"/>
      <c r="O33" s="27"/>
      <c r="P33" s="27"/>
      <c r="Q33" s="27"/>
      <c r="R33" s="17" t="s">
        <v>1709</v>
      </c>
      <c r="S33" s="34"/>
      <c r="T33" s="34"/>
      <c r="U33" s="34"/>
      <c r="V33" s="34"/>
      <c r="W33" s="34"/>
      <c r="X33" s="34"/>
      <c r="Y33" s="589" t="s">
        <v>1504</v>
      </c>
      <c r="Z33" s="590"/>
      <c r="AA33" s="591" t="s">
        <v>1511</v>
      </c>
      <c r="AB33" s="592"/>
      <c r="AC33" s="593"/>
      <c r="AD33" s="23"/>
      <c r="AE33" s="25"/>
      <c r="AF33" s="25"/>
      <c r="AG33" s="25"/>
      <c r="AH33" s="25"/>
      <c r="AI33" s="25"/>
      <c r="AJ33" s="25"/>
      <c r="AK33" s="25"/>
      <c r="AL33" s="25"/>
      <c r="AM33" s="25"/>
      <c r="AN33" s="25"/>
      <c r="AO33" s="25"/>
      <c r="AP33" s="25"/>
      <c r="AQ33" s="25"/>
      <c r="AR33" s="25"/>
      <c r="AS33" s="26"/>
      <c r="AT33" s="51"/>
      <c r="AU33" s="51"/>
      <c r="AV33" s="51"/>
      <c r="AW33" s="51"/>
      <c r="AX33" s="51"/>
      <c r="AY33" s="51"/>
      <c r="AZ33" s="51"/>
      <c r="BA33" s="51"/>
      <c r="BB33" s="51"/>
      <c r="BC33" s="51"/>
      <c r="BD33" s="52"/>
    </row>
    <row r="34" spans="1:57" ht="14.4" customHeight="1">
      <c r="A34" s="37">
        <f>IF(B34="","",COUNTA($B$8:B34))</f>
        <v>27</v>
      </c>
      <c r="B34" s="17" t="s">
        <v>1694</v>
      </c>
      <c r="C34" s="34"/>
      <c r="D34" s="34"/>
      <c r="E34" s="34"/>
      <c r="F34" s="34"/>
      <c r="G34" s="34"/>
      <c r="H34" s="34"/>
      <c r="I34" s="35" t="s">
        <v>1451</v>
      </c>
      <c r="J34" s="27"/>
      <c r="K34" s="27"/>
      <c r="L34" s="27"/>
      <c r="M34" s="27"/>
      <c r="N34" s="27"/>
      <c r="O34" s="27"/>
      <c r="P34" s="27"/>
      <c r="Q34" s="27"/>
      <c r="R34" s="17" t="s">
        <v>1694</v>
      </c>
      <c r="S34" s="34"/>
      <c r="T34" s="34"/>
      <c r="U34" s="34"/>
      <c r="V34" s="34"/>
      <c r="W34" s="34"/>
      <c r="X34" s="34"/>
      <c r="Y34" s="589" t="s">
        <v>1504</v>
      </c>
      <c r="Z34" s="590"/>
      <c r="AA34" s="591" t="s">
        <v>1505</v>
      </c>
      <c r="AB34" s="592"/>
      <c r="AC34" s="593"/>
      <c r="AD34" s="23">
        <v>1</v>
      </c>
      <c r="AE34" s="25"/>
      <c r="AF34" s="25"/>
      <c r="AG34" s="25"/>
      <c r="AH34" s="25"/>
      <c r="AI34" s="25"/>
      <c r="AJ34" s="25"/>
      <c r="AK34" s="25"/>
      <c r="AL34" s="25"/>
      <c r="AM34" s="25"/>
      <c r="AN34" s="25"/>
      <c r="AO34" s="25"/>
      <c r="AP34" s="25"/>
      <c r="AQ34" s="25"/>
      <c r="AR34" s="25"/>
      <c r="AS34" s="26"/>
      <c r="AT34" s="51"/>
      <c r="AU34" s="51"/>
      <c r="AV34" s="51"/>
      <c r="AW34" s="51"/>
      <c r="AX34" s="51"/>
      <c r="AY34" s="51"/>
      <c r="AZ34" s="51"/>
      <c r="BA34" s="51"/>
      <c r="BB34" s="51"/>
      <c r="BC34" s="51"/>
      <c r="BD34" s="52"/>
    </row>
    <row r="35" spans="1:57" ht="14.4" customHeight="1">
      <c r="A35" s="37">
        <f>IF(B35="","",COUNTA($B$8:B35))</f>
        <v>28</v>
      </c>
      <c r="B35" s="17" t="s">
        <v>1620</v>
      </c>
      <c r="C35" s="34"/>
      <c r="D35" s="34"/>
      <c r="E35" s="34"/>
      <c r="F35" s="34"/>
      <c r="G35" s="34"/>
      <c r="H35" s="34"/>
      <c r="I35" s="35" t="s">
        <v>1452</v>
      </c>
      <c r="J35" s="27"/>
      <c r="K35" s="27"/>
      <c r="L35" s="27"/>
      <c r="M35" s="27"/>
      <c r="N35" s="27"/>
      <c r="O35" s="27"/>
      <c r="P35" s="27"/>
      <c r="Q35" s="27"/>
      <c r="R35" s="17" t="s">
        <v>1620</v>
      </c>
      <c r="S35" s="34"/>
      <c r="T35" s="34"/>
      <c r="U35" s="34"/>
      <c r="V35" s="34"/>
      <c r="W35" s="34"/>
      <c r="X35" s="34"/>
      <c r="Y35" s="589" t="s">
        <v>1504</v>
      </c>
      <c r="Z35" s="590"/>
      <c r="AA35" s="591" t="s">
        <v>1505</v>
      </c>
      <c r="AB35" s="592"/>
      <c r="AC35" s="593"/>
      <c r="AD35" s="23">
        <v>1</v>
      </c>
      <c r="AE35" s="25"/>
      <c r="AF35" s="25"/>
      <c r="AG35" s="25"/>
      <c r="AH35" s="25"/>
      <c r="AI35" s="25"/>
      <c r="AJ35" s="25"/>
      <c r="AK35" s="25"/>
      <c r="AL35" s="25"/>
      <c r="AM35" s="25"/>
      <c r="AN35" s="25"/>
      <c r="AO35" s="25"/>
      <c r="AP35" s="25"/>
      <c r="AQ35" s="25"/>
      <c r="AR35" s="25"/>
      <c r="AS35" s="26"/>
      <c r="AT35" s="51"/>
      <c r="AU35" s="51"/>
      <c r="AV35" s="51"/>
      <c r="AW35" s="51"/>
      <c r="AX35" s="51"/>
      <c r="AY35" s="51"/>
      <c r="AZ35" s="51"/>
      <c r="BA35" s="51"/>
      <c r="BB35" s="51"/>
      <c r="BC35" s="51"/>
      <c r="BD35" s="52"/>
    </row>
    <row r="36" spans="1:57" ht="14.4" customHeight="1">
      <c r="A36" s="37">
        <f>IF(B36="","",COUNTA($B$8:B36))</f>
        <v>29</v>
      </c>
      <c r="B36" s="17" t="s">
        <v>1642</v>
      </c>
      <c r="C36" s="34"/>
      <c r="D36" s="34"/>
      <c r="E36" s="34"/>
      <c r="F36" s="34"/>
      <c r="G36" s="34"/>
      <c r="H36" s="34"/>
      <c r="I36" s="35" t="s">
        <v>1453</v>
      </c>
      <c r="J36" s="27"/>
      <c r="K36" s="27"/>
      <c r="L36" s="27"/>
      <c r="M36" s="27"/>
      <c r="N36" s="27"/>
      <c r="O36" s="27"/>
      <c r="P36" s="27"/>
      <c r="Q36" s="27"/>
      <c r="R36" s="17" t="s">
        <v>1642</v>
      </c>
      <c r="S36" s="34"/>
      <c r="T36" s="34"/>
      <c r="U36" s="34"/>
      <c r="V36" s="34"/>
      <c r="W36" s="34"/>
      <c r="X36" s="34"/>
      <c r="Y36" s="589" t="s">
        <v>141</v>
      </c>
      <c r="Z36" s="590"/>
      <c r="AA36" s="591" t="s">
        <v>1285</v>
      </c>
      <c r="AB36" s="592"/>
      <c r="AC36" s="593"/>
      <c r="AD36" s="23">
        <v>1</v>
      </c>
      <c r="AE36" s="25"/>
      <c r="AF36" s="25"/>
      <c r="AG36" s="25"/>
      <c r="AH36" s="25"/>
      <c r="AI36" s="25"/>
      <c r="AJ36" s="25"/>
      <c r="AK36" s="25"/>
      <c r="AL36" s="25"/>
      <c r="AM36" s="25"/>
      <c r="AN36" s="25"/>
      <c r="AO36" s="25"/>
      <c r="AP36" s="25"/>
      <c r="AQ36" s="25"/>
      <c r="AR36" s="25"/>
      <c r="AS36" s="26"/>
      <c r="AT36" s="51"/>
      <c r="AU36" s="51"/>
      <c r="AV36" s="51"/>
      <c r="AW36" s="51"/>
      <c r="AX36" s="51"/>
      <c r="AY36" s="51"/>
      <c r="AZ36" s="51"/>
      <c r="BA36" s="51"/>
      <c r="BB36" s="51"/>
      <c r="BC36" s="51"/>
      <c r="BD36" s="52"/>
    </row>
    <row r="37" spans="1:57" ht="14.4" customHeight="1">
      <c r="A37" s="37">
        <f>IF(B37="","",COUNTA($B$8:B37))</f>
        <v>30</v>
      </c>
      <c r="B37" s="17" t="s">
        <v>1731</v>
      </c>
      <c r="C37" s="34"/>
      <c r="D37" s="34"/>
      <c r="E37" s="34"/>
      <c r="F37" s="34"/>
      <c r="G37" s="34"/>
      <c r="H37" s="34"/>
      <c r="I37" s="35" t="s">
        <v>1734</v>
      </c>
      <c r="J37" s="27"/>
      <c r="K37" s="27"/>
      <c r="L37" s="27"/>
      <c r="M37" s="27"/>
      <c r="N37" s="27"/>
      <c r="O37" s="27"/>
      <c r="P37" s="27"/>
      <c r="Q37" s="27"/>
      <c r="R37" s="17" t="s">
        <v>1731</v>
      </c>
      <c r="S37" s="34"/>
      <c r="T37" s="34"/>
      <c r="U37" s="34"/>
      <c r="V37" s="34"/>
      <c r="W37" s="34"/>
      <c r="X37" s="34"/>
      <c r="Y37" s="589" t="s">
        <v>1504</v>
      </c>
      <c r="Z37" s="590"/>
      <c r="AA37" s="591" t="s">
        <v>1505</v>
      </c>
      <c r="AB37" s="592"/>
      <c r="AC37" s="593"/>
      <c r="AD37" s="23">
        <v>50</v>
      </c>
      <c r="AE37" s="25"/>
      <c r="AF37" s="25"/>
      <c r="AG37" s="25"/>
      <c r="AH37" s="25"/>
      <c r="AI37" s="25"/>
      <c r="AJ37" s="25"/>
      <c r="AK37" s="25"/>
      <c r="AL37" s="25"/>
      <c r="AM37" s="25"/>
      <c r="AN37" s="25"/>
      <c r="AO37" s="25"/>
      <c r="AP37" s="25"/>
      <c r="AQ37" s="25"/>
      <c r="AR37" s="25"/>
      <c r="AS37" s="26"/>
      <c r="AT37" s="51"/>
      <c r="AU37" s="51"/>
      <c r="AV37" s="51"/>
      <c r="AW37" s="51"/>
      <c r="AX37" s="51"/>
      <c r="AY37" s="51"/>
      <c r="AZ37" s="51"/>
      <c r="BA37" s="51"/>
      <c r="BB37" s="51"/>
      <c r="BC37" s="51"/>
      <c r="BD37" s="52"/>
    </row>
    <row r="38" spans="1:57" ht="14.4" customHeight="1">
      <c r="A38" s="37">
        <f>IF(B38="","",COUNTA($B$8:B38))</f>
        <v>31</v>
      </c>
      <c r="B38" s="17" t="s">
        <v>407</v>
      </c>
      <c r="C38" s="34"/>
      <c r="D38" s="34"/>
      <c r="E38" s="34"/>
      <c r="F38" s="34"/>
      <c r="G38" s="34"/>
      <c r="H38" s="34"/>
      <c r="I38" s="35" t="s">
        <v>408</v>
      </c>
      <c r="J38" s="27"/>
      <c r="K38" s="27"/>
      <c r="L38" s="27"/>
      <c r="M38" s="27"/>
      <c r="N38" s="27"/>
      <c r="O38" s="27"/>
      <c r="P38" s="27"/>
      <c r="Q38" s="27"/>
      <c r="R38" s="17" t="s">
        <v>407</v>
      </c>
      <c r="S38" s="34"/>
      <c r="T38" s="34"/>
      <c r="U38" s="34"/>
      <c r="V38" s="34"/>
      <c r="W38" s="34"/>
      <c r="X38" s="34"/>
      <c r="Y38" s="589" t="s">
        <v>1504</v>
      </c>
      <c r="Z38" s="590"/>
      <c r="AA38" s="591" t="s">
        <v>1505</v>
      </c>
      <c r="AB38" s="592"/>
      <c r="AC38" s="593"/>
      <c r="AD38" s="23">
        <v>1</v>
      </c>
      <c r="AE38" s="25"/>
      <c r="AF38" s="25"/>
      <c r="AG38" s="25"/>
      <c r="AH38" s="25"/>
      <c r="AI38" s="25"/>
      <c r="AJ38" s="25"/>
      <c r="AK38" s="25"/>
      <c r="AL38" s="25"/>
      <c r="AM38" s="25"/>
      <c r="AN38" s="25"/>
      <c r="AO38" s="25"/>
      <c r="AP38" s="25"/>
      <c r="AQ38" s="25"/>
      <c r="AR38" s="25"/>
      <c r="AS38" s="26" t="s">
        <v>1416</v>
      </c>
      <c r="AT38" s="51"/>
      <c r="AU38" s="51"/>
      <c r="AV38" s="51"/>
      <c r="AW38" s="51"/>
      <c r="AX38" s="51"/>
      <c r="AY38" s="51"/>
      <c r="AZ38" s="51"/>
      <c r="BA38" s="51"/>
      <c r="BB38" s="51"/>
      <c r="BC38" s="51"/>
      <c r="BD38" s="52"/>
      <c r="BE38" s="16" t="s">
        <v>1417</v>
      </c>
    </row>
    <row r="39" spans="1:57" ht="14.4" customHeight="1">
      <c r="A39" s="37">
        <f>IF(B39="","",COUNTA($B$8:B39))</f>
        <v>32</v>
      </c>
      <c r="B39" s="17" t="s">
        <v>1302</v>
      </c>
      <c r="C39" s="34"/>
      <c r="D39" s="34"/>
      <c r="E39" s="34"/>
      <c r="F39" s="34"/>
      <c r="G39" s="34"/>
      <c r="H39" s="34"/>
      <c r="I39" s="35" t="s">
        <v>624</v>
      </c>
      <c r="J39" s="27"/>
      <c r="K39" s="27"/>
      <c r="L39" s="27"/>
      <c r="M39" s="27"/>
      <c r="N39" s="27"/>
      <c r="O39" s="27"/>
      <c r="P39" s="27"/>
      <c r="Q39" s="27"/>
      <c r="R39" s="17" t="s">
        <v>1704</v>
      </c>
      <c r="S39" s="34"/>
      <c r="T39" s="34"/>
      <c r="U39" s="34"/>
      <c r="V39" s="34"/>
      <c r="W39" s="34"/>
      <c r="X39" s="34"/>
      <c r="Y39" s="589" t="s">
        <v>1504</v>
      </c>
      <c r="Z39" s="590"/>
      <c r="AA39" s="591" t="s">
        <v>1505</v>
      </c>
      <c r="AB39" s="592"/>
      <c r="AC39" s="593"/>
      <c r="AD39" s="23">
        <v>10</v>
      </c>
      <c r="AE39" s="25"/>
      <c r="AF39" s="25"/>
      <c r="AG39" s="25"/>
      <c r="AH39" s="25"/>
      <c r="AI39" s="25"/>
      <c r="AJ39" s="25"/>
      <c r="AK39" s="25"/>
      <c r="AL39" s="25"/>
      <c r="AM39" s="25"/>
      <c r="AN39" s="25"/>
      <c r="AO39" s="25"/>
      <c r="AP39" s="25"/>
      <c r="AQ39" s="25"/>
      <c r="AR39" s="25"/>
      <c r="AS39" s="26"/>
      <c r="AT39" s="51"/>
      <c r="AU39" s="51"/>
      <c r="AV39" s="51"/>
      <c r="AW39" s="51"/>
      <c r="AX39" s="51"/>
      <c r="AY39" s="51"/>
      <c r="AZ39" s="51"/>
      <c r="BA39" s="51"/>
      <c r="BB39" s="51"/>
      <c r="BC39" s="51"/>
      <c r="BD39" s="52"/>
    </row>
    <row r="40" spans="1:57" ht="14.4" customHeight="1">
      <c r="A40" s="37">
        <f>IF(B40="","",COUNTA($B$8:B40))</f>
        <v>33</v>
      </c>
      <c r="B40" s="17" t="s">
        <v>1508</v>
      </c>
      <c r="C40" s="34"/>
      <c r="D40" s="34"/>
      <c r="E40" s="34"/>
      <c r="F40" s="34"/>
      <c r="G40" s="34"/>
      <c r="H40" s="34"/>
      <c r="I40" s="35" t="s">
        <v>624</v>
      </c>
      <c r="J40" s="27"/>
      <c r="K40" s="27"/>
      <c r="L40" s="27"/>
      <c r="M40" s="27"/>
      <c r="N40" s="27"/>
      <c r="O40" s="27"/>
      <c r="P40" s="27"/>
      <c r="Q40" s="27"/>
      <c r="R40" s="17" t="s">
        <v>1508</v>
      </c>
      <c r="S40" s="34"/>
      <c r="T40" s="34"/>
      <c r="U40" s="34"/>
      <c r="V40" s="34"/>
      <c r="W40" s="34"/>
      <c r="X40" s="34"/>
      <c r="Y40" s="589" t="s">
        <v>1504</v>
      </c>
      <c r="Z40" s="590"/>
      <c r="AA40" s="591" t="s">
        <v>1505</v>
      </c>
      <c r="AB40" s="592"/>
      <c r="AC40" s="593"/>
      <c r="AD40" s="23">
        <v>10</v>
      </c>
      <c r="AE40" s="25"/>
      <c r="AF40" s="25"/>
      <c r="AG40" s="25"/>
      <c r="AH40" s="25"/>
      <c r="AI40" s="25"/>
      <c r="AJ40" s="25"/>
      <c r="AK40" s="25"/>
      <c r="AL40" s="25"/>
      <c r="AM40" s="25"/>
      <c r="AN40" s="25"/>
      <c r="AO40" s="25"/>
      <c r="AP40" s="25"/>
      <c r="AQ40" s="25"/>
      <c r="AR40" s="25"/>
      <c r="AS40" s="26"/>
      <c r="AT40" s="51"/>
      <c r="AU40" s="51"/>
      <c r="AV40" s="51"/>
      <c r="AW40" s="51"/>
      <c r="AX40" s="51"/>
      <c r="AY40" s="51"/>
      <c r="AZ40" s="51"/>
      <c r="BA40" s="51"/>
      <c r="BB40" s="51"/>
      <c r="BC40" s="51"/>
      <c r="BD40" s="52"/>
    </row>
    <row r="41" spans="1:57" ht="14.4" customHeight="1">
      <c r="A41" s="37">
        <f>IF(B41="","",COUNTA($B$8:B41))</f>
        <v>34</v>
      </c>
      <c r="B41" s="17" t="s">
        <v>1509</v>
      </c>
      <c r="C41" s="34"/>
      <c r="D41" s="34"/>
      <c r="E41" s="34"/>
      <c r="F41" s="34"/>
      <c r="G41" s="34"/>
      <c r="H41" s="34"/>
      <c r="I41" s="35" t="s">
        <v>548</v>
      </c>
      <c r="J41" s="27"/>
      <c r="K41" s="27"/>
      <c r="L41" s="27"/>
      <c r="M41" s="27"/>
      <c r="N41" s="27"/>
      <c r="O41" s="27"/>
      <c r="P41" s="27"/>
      <c r="Q41" s="27"/>
      <c r="R41" s="17" t="s">
        <v>1509</v>
      </c>
      <c r="S41" s="34"/>
      <c r="T41" s="34"/>
      <c r="U41" s="34"/>
      <c r="V41" s="34"/>
      <c r="W41" s="34"/>
      <c r="X41" s="34"/>
      <c r="Y41" s="589" t="s">
        <v>1510</v>
      </c>
      <c r="Z41" s="590"/>
      <c r="AA41" s="591" t="s">
        <v>1511</v>
      </c>
      <c r="AB41" s="592"/>
      <c r="AC41" s="593"/>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7" ht="14.4" customHeight="1">
      <c r="A42" s="37">
        <f>IF(B42="","",COUNTA($B$8:B42))</f>
        <v>35</v>
      </c>
      <c r="B42" s="17" t="s">
        <v>1306</v>
      </c>
      <c r="C42" s="34"/>
      <c r="D42" s="34"/>
      <c r="E42" s="34"/>
      <c r="F42" s="34"/>
      <c r="G42" s="34"/>
      <c r="H42" s="34"/>
      <c r="I42" s="35" t="s">
        <v>626</v>
      </c>
      <c r="J42" s="27"/>
      <c r="K42" s="27"/>
      <c r="L42" s="27"/>
      <c r="M42" s="27"/>
      <c r="N42" s="27"/>
      <c r="O42" s="27"/>
      <c r="P42" s="27"/>
      <c r="Q42" s="27"/>
      <c r="R42" s="17" t="s">
        <v>1634</v>
      </c>
      <c r="S42" s="34"/>
      <c r="T42" s="34"/>
      <c r="U42" s="34"/>
      <c r="V42" s="34"/>
      <c r="W42" s="34"/>
      <c r="X42" s="34"/>
      <c r="Y42" s="589" t="s">
        <v>1504</v>
      </c>
      <c r="Z42" s="590"/>
      <c r="AA42" s="591" t="s">
        <v>1505</v>
      </c>
      <c r="AB42" s="592"/>
      <c r="AC42" s="593"/>
      <c r="AD42" s="23">
        <v>10</v>
      </c>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7" ht="14.4" customHeight="1">
      <c r="A43" s="37">
        <f>IF(B43="","",COUNTA($B$8:B43))</f>
        <v>36</v>
      </c>
      <c r="B43" s="17" t="s">
        <v>1512</v>
      </c>
      <c r="C43" s="18"/>
      <c r="D43" s="18"/>
      <c r="E43" s="18"/>
      <c r="F43" s="18"/>
      <c r="G43" s="18"/>
      <c r="H43" s="18"/>
      <c r="I43" s="35" t="s">
        <v>390</v>
      </c>
      <c r="J43" s="20"/>
      <c r="K43" s="20"/>
      <c r="L43" s="20"/>
      <c r="M43" s="20"/>
      <c r="N43" s="20"/>
      <c r="O43" s="20"/>
      <c r="P43" s="20"/>
      <c r="Q43" s="20"/>
      <c r="R43" s="17" t="s">
        <v>1512</v>
      </c>
      <c r="S43" s="18"/>
      <c r="T43" s="18"/>
      <c r="U43" s="18"/>
      <c r="V43" s="18"/>
      <c r="W43" s="18"/>
      <c r="X43" s="18"/>
      <c r="Y43" s="589" t="s">
        <v>1504</v>
      </c>
      <c r="Z43" s="590"/>
      <c r="AA43" s="591" t="s">
        <v>1505</v>
      </c>
      <c r="AB43" s="592"/>
      <c r="AC43" s="593"/>
      <c r="AD43" s="38">
        <v>10</v>
      </c>
      <c r="AE43" s="30" t="s">
        <v>1585</v>
      </c>
      <c r="AF43" s="30"/>
      <c r="AG43" s="30"/>
      <c r="AH43" s="30"/>
      <c r="AI43" s="30"/>
      <c r="AJ43" s="30"/>
      <c r="AK43" s="30"/>
      <c r="AL43" s="30"/>
      <c r="AM43" s="30"/>
      <c r="AN43" s="30"/>
      <c r="AO43" s="31"/>
      <c r="AP43" s="31"/>
      <c r="AQ43" s="31"/>
      <c r="AR43" s="31"/>
      <c r="AS43" s="32"/>
      <c r="AT43" s="33"/>
      <c r="AU43" s="51"/>
      <c r="AV43" s="51"/>
      <c r="AW43" s="51"/>
      <c r="AX43" s="51"/>
      <c r="AY43" s="51"/>
      <c r="AZ43" s="51"/>
      <c r="BA43" s="51"/>
      <c r="BB43" s="51"/>
      <c r="BC43" s="51"/>
      <c r="BD43" s="52"/>
    </row>
    <row r="44" spans="1:57" ht="14.4" customHeight="1">
      <c r="A44" s="37">
        <f>IF(B44="","",COUNTA($B$8:B44))</f>
        <v>37</v>
      </c>
      <c r="B44" s="17" t="s">
        <v>1513</v>
      </c>
      <c r="C44" s="18"/>
      <c r="D44" s="18"/>
      <c r="E44" s="18"/>
      <c r="F44" s="18"/>
      <c r="G44" s="18"/>
      <c r="H44" s="18"/>
      <c r="I44" s="35" t="s">
        <v>394</v>
      </c>
      <c r="J44" s="20"/>
      <c r="K44" s="20"/>
      <c r="L44" s="20"/>
      <c r="M44" s="20"/>
      <c r="N44" s="20"/>
      <c r="O44" s="20"/>
      <c r="P44" s="20"/>
      <c r="Q44" s="20"/>
      <c r="R44" s="17" t="s">
        <v>1513</v>
      </c>
      <c r="S44" s="18"/>
      <c r="T44" s="18"/>
      <c r="U44" s="18"/>
      <c r="V44" s="18"/>
      <c r="W44" s="18"/>
      <c r="X44" s="18"/>
      <c r="Y44" s="589" t="s">
        <v>1510</v>
      </c>
      <c r="Z44" s="590"/>
      <c r="AA44" s="591" t="s">
        <v>1511</v>
      </c>
      <c r="AB44" s="592"/>
      <c r="AC44" s="593"/>
      <c r="AD44" s="38"/>
      <c r="AE44" s="30" t="s">
        <v>1585</v>
      </c>
      <c r="AF44" s="30"/>
      <c r="AG44" s="30"/>
      <c r="AH44" s="30"/>
      <c r="AI44" s="30"/>
      <c r="AJ44" s="30"/>
      <c r="AK44" s="30"/>
      <c r="AL44" s="30"/>
      <c r="AM44" s="30"/>
      <c r="AN44" s="30"/>
      <c r="AO44" s="31"/>
      <c r="AP44" s="31"/>
      <c r="AQ44" s="31"/>
      <c r="AR44" s="31"/>
      <c r="AS44" s="32"/>
      <c r="AT44" s="33"/>
      <c r="AU44" s="51"/>
      <c r="AV44" s="51"/>
      <c r="AW44" s="51"/>
      <c r="AX44" s="51"/>
      <c r="AY44" s="51"/>
      <c r="AZ44" s="51"/>
      <c r="BA44" s="51"/>
      <c r="BB44" s="51"/>
      <c r="BC44" s="51"/>
      <c r="BD44" s="52"/>
    </row>
    <row r="45" spans="1:57" ht="14.4" customHeight="1">
      <c r="A45" s="37" t="str">
        <f>IF(B45="","",COUNTA($B$8:B45))</f>
        <v/>
      </c>
      <c r="B45" s="17"/>
      <c r="C45" s="18"/>
      <c r="D45" s="18"/>
      <c r="E45" s="18"/>
      <c r="F45" s="18"/>
      <c r="G45" s="18"/>
      <c r="H45" s="18"/>
      <c r="I45" s="19"/>
      <c r="J45" s="20"/>
      <c r="K45" s="20"/>
      <c r="L45" s="20"/>
      <c r="M45" s="20"/>
      <c r="N45" s="20"/>
      <c r="O45" s="20"/>
      <c r="P45" s="20"/>
      <c r="Q45" s="20"/>
      <c r="R45" s="17"/>
      <c r="S45" s="18"/>
      <c r="T45" s="18"/>
      <c r="U45" s="18"/>
      <c r="V45" s="18"/>
      <c r="W45" s="18"/>
      <c r="X45" s="18"/>
      <c r="Y45" s="17"/>
      <c r="Z45" s="28"/>
      <c r="AA45" s="21"/>
      <c r="AB45" s="22"/>
      <c r="AC45" s="29"/>
      <c r="AD45" s="38"/>
      <c r="AE45" s="30"/>
      <c r="AF45" s="30"/>
      <c r="AG45" s="30"/>
      <c r="AH45" s="30"/>
      <c r="AI45" s="30"/>
      <c r="AJ45" s="30"/>
      <c r="AK45" s="30"/>
      <c r="AL45" s="30"/>
      <c r="AM45" s="30"/>
      <c r="AN45" s="30"/>
      <c r="AO45" s="31"/>
      <c r="AP45" s="31"/>
      <c r="AQ45" s="31"/>
      <c r="AR45" s="31"/>
      <c r="AS45" s="32"/>
      <c r="AT45" s="33"/>
      <c r="AU45" s="51"/>
      <c r="AV45" s="51"/>
      <c r="AW45" s="51"/>
      <c r="AX45" s="51"/>
      <c r="AY45" s="51"/>
      <c r="AZ45" s="51"/>
      <c r="BA45" s="51"/>
      <c r="BB45" s="51"/>
      <c r="BC45" s="51"/>
      <c r="BD45" s="52"/>
    </row>
    <row r="46" spans="1:57" ht="14.4" customHeight="1">
      <c r="A46" s="37" t="str">
        <f>IF(B46="","",COUNTA($B$8:B46))</f>
        <v/>
      </c>
      <c r="B46" s="17"/>
      <c r="C46" s="18"/>
      <c r="D46" s="18"/>
      <c r="E46" s="18"/>
      <c r="F46" s="18"/>
      <c r="G46" s="18"/>
      <c r="H46" s="18"/>
      <c r="I46" s="19"/>
      <c r="J46" s="20"/>
      <c r="K46" s="20"/>
      <c r="L46" s="20"/>
      <c r="M46" s="20"/>
      <c r="N46" s="20"/>
      <c r="O46" s="20"/>
      <c r="P46" s="20"/>
      <c r="Q46" s="20"/>
      <c r="R46" s="17"/>
      <c r="S46" s="18"/>
      <c r="T46" s="18"/>
      <c r="U46" s="18"/>
      <c r="V46" s="18"/>
      <c r="W46" s="18"/>
      <c r="X46" s="18"/>
      <c r="Y46" s="17"/>
      <c r="Z46" s="28"/>
      <c r="AA46" s="21"/>
      <c r="AB46" s="22"/>
      <c r="AC46" s="29"/>
      <c r="AD46" s="38"/>
      <c r="AE46" s="30"/>
      <c r="AF46" s="30"/>
      <c r="AG46" s="30"/>
      <c r="AH46" s="30"/>
      <c r="AI46" s="30"/>
      <c r="AJ46" s="30"/>
      <c r="AK46" s="30"/>
      <c r="AL46" s="30"/>
      <c r="AM46" s="30"/>
      <c r="AN46" s="30"/>
      <c r="AO46" s="31"/>
      <c r="AP46" s="31"/>
      <c r="AQ46" s="31"/>
      <c r="AR46" s="31"/>
      <c r="AS46" s="32"/>
      <c r="AT46" s="33"/>
      <c r="AU46" s="51"/>
      <c r="AV46" s="51"/>
      <c r="AW46" s="51"/>
      <c r="AX46" s="51"/>
      <c r="AY46" s="51"/>
      <c r="AZ46" s="51"/>
      <c r="BA46" s="51"/>
      <c r="BB46" s="51"/>
      <c r="BC46" s="51"/>
      <c r="BD46" s="52"/>
    </row>
    <row r="47" spans="1:57" ht="14.4" customHeight="1">
      <c r="A47" s="37" t="str">
        <f>IF(B47="","",COUNTA($B$8:B47))</f>
        <v/>
      </c>
      <c r="B47" s="17"/>
      <c r="C47" s="18"/>
      <c r="D47" s="18"/>
      <c r="E47" s="18"/>
      <c r="F47" s="18"/>
      <c r="G47" s="18"/>
      <c r="H47" s="18"/>
      <c r="I47" s="19"/>
      <c r="J47" s="20"/>
      <c r="K47" s="20"/>
      <c r="L47" s="20"/>
      <c r="M47" s="20"/>
      <c r="N47" s="20"/>
      <c r="O47" s="20"/>
      <c r="P47" s="20"/>
      <c r="Q47" s="20"/>
      <c r="R47" s="17"/>
      <c r="S47" s="18"/>
      <c r="T47" s="18"/>
      <c r="U47" s="18"/>
      <c r="V47" s="18"/>
      <c r="W47" s="18"/>
      <c r="X47" s="18"/>
      <c r="Y47" s="17"/>
      <c r="Z47" s="28"/>
      <c r="AA47" s="21"/>
      <c r="AB47" s="22"/>
      <c r="AC47" s="29"/>
      <c r="AD47" s="38"/>
      <c r="AE47" s="30"/>
      <c r="AF47" s="30"/>
      <c r="AG47" s="30"/>
      <c r="AH47" s="30"/>
      <c r="AI47" s="30"/>
      <c r="AJ47" s="30"/>
      <c r="AK47" s="30"/>
      <c r="AL47" s="30"/>
      <c r="AM47" s="30"/>
      <c r="AN47" s="30"/>
      <c r="AO47" s="31"/>
      <c r="AP47" s="31"/>
      <c r="AQ47" s="31"/>
      <c r="AR47" s="31"/>
      <c r="AS47" s="32"/>
      <c r="AT47" s="33"/>
      <c r="AU47" s="51"/>
      <c r="AV47" s="51"/>
      <c r="AW47" s="51"/>
      <c r="AX47" s="51"/>
      <c r="AY47" s="51"/>
      <c r="AZ47" s="51"/>
      <c r="BA47" s="51"/>
      <c r="BB47" s="51"/>
      <c r="BC47" s="51"/>
      <c r="BD47" s="52"/>
    </row>
    <row r="48" spans="1:57" ht="14.4" customHeight="1">
      <c r="A48" s="37" t="str">
        <f>IF(B48="","",COUNTA($B$8:B48))</f>
        <v/>
      </c>
      <c r="B48" s="26"/>
      <c r="C48" s="34"/>
      <c r="D48" s="34"/>
      <c r="E48" s="34"/>
      <c r="F48" s="34"/>
      <c r="G48" s="34"/>
      <c r="H48" s="34"/>
      <c r="I48" s="19"/>
      <c r="J48" s="27"/>
      <c r="K48" s="27"/>
      <c r="L48" s="27"/>
      <c r="M48" s="27"/>
      <c r="N48" s="27"/>
      <c r="O48" s="27"/>
      <c r="P48" s="27"/>
      <c r="Q48" s="27"/>
      <c r="R48" s="26"/>
      <c r="S48" s="34"/>
      <c r="T48" s="34"/>
      <c r="U48" s="34"/>
      <c r="V48" s="34"/>
      <c r="W48" s="34"/>
      <c r="X48" s="34"/>
      <c r="Y48" s="589"/>
      <c r="Z48" s="590"/>
      <c r="AA48" s="591"/>
      <c r="AB48" s="592"/>
      <c r="AC48" s="593"/>
      <c r="AD48" s="38"/>
      <c r="AE48" s="25"/>
      <c r="AF48" s="25"/>
      <c r="AG48" s="25"/>
      <c r="AH48" s="25"/>
      <c r="AI48" s="25"/>
      <c r="AJ48" s="25"/>
      <c r="AK48" s="25"/>
      <c r="AL48" s="25"/>
      <c r="AM48" s="25"/>
      <c r="AN48" s="25"/>
      <c r="AO48" s="25"/>
      <c r="AP48" s="25"/>
      <c r="AQ48" s="25"/>
      <c r="AR48" s="25"/>
      <c r="AS48" s="26"/>
      <c r="AT48" s="51"/>
      <c r="AU48" s="51"/>
      <c r="AV48" s="51"/>
      <c r="AW48" s="51"/>
      <c r="AX48" s="51"/>
      <c r="AY48" s="51"/>
      <c r="AZ48" s="51"/>
      <c r="BA48" s="51"/>
      <c r="BB48" s="51"/>
      <c r="BC48" s="51"/>
      <c r="BD48" s="52"/>
    </row>
  </sheetData>
  <mergeCells count="105">
    <mergeCell ref="AZ4:BD4"/>
    <mergeCell ref="AU4:AY4"/>
    <mergeCell ref="AZ1:BD1"/>
    <mergeCell ref="AI6:AR6"/>
    <mergeCell ref="AS6:BD7"/>
    <mergeCell ref="Y2:AO3"/>
    <mergeCell ref="AP2:AT2"/>
    <mergeCell ref="AZ2:BD2"/>
    <mergeCell ref="AP3:AT3"/>
    <mergeCell ref="AU3:AY3"/>
    <mergeCell ref="AZ3:BD3"/>
    <mergeCell ref="Y4:AO4"/>
    <mergeCell ref="Y1:AO1"/>
    <mergeCell ref="AP1:AT1"/>
    <mergeCell ref="AA6:AC7"/>
    <mergeCell ref="AD6:AD7"/>
    <mergeCell ref="AE6:AE7"/>
    <mergeCell ref="AF6:AF7"/>
    <mergeCell ref="Y6:Z7"/>
    <mergeCell ref="AU1:AY1"/>
    <mergeCell ref="AG6:AG7"/>
    <mergeCell ref="AH6:AH7"/>
    <mergeCell ref="AP4:AT4"/>
    <mergeCell ref="AA9:AC9"/>
    <mergeCell ref="AA16:AC16"/>
    <mergeCell ref="AA8:AC8"/>
    <mergeCell ref="Y11:Z11"/>
    <mergeCell ref="AA11:AC11"/>
    <mergeCell ref="Y10:Z10"/>
    <mergeCell ref="AA10:AC10"/>
    <mergeCell ref="Y12:Z12"/>
    <mergeCell ref="AA12:AC12"/>
    <mergeCell ref="Y13:Z13"/>
    <mergeCell ref="AA13:AC13"/>
    <mergeCell ref="AA34:AC34"/>
    <mergeCell ref="Y24:Z24"/>
    <mergeCell ref="A1:H4"/>
    <mergeCell ref="A6:A7"/>
    <mergeCell ref="B6:H7"/>
    <mergeCell ref="I6:Q7"/>
    <mergeCell ref="R6:X7"/>
    <mergeCell ref="R2:X4"/>
    <mergeCell ref="I1:Q1"/>
    <mergeCell ref="R1:X1"/>
    <mergeCell ref="I2:Q4"/>
    <mergeCell ref="Y14:Z14"/>
    <mergeCell ref="AA14:AC14"/>
    <mergeCell ref="Y15:Z15"/>
    <mergeCell ref="AA15:AC15"/>
    <mergeCell ref="Y16:Z16"/>
    <mergeCell ref="Y17:Z17"/>
    <mergeCell ref="AA17:AC17"/>
    <mergeCell ref="Y18:Z18"/>
    <mergeCell ref="AA18:AC18"/>
    <mergeCell ref="Y19:Z19"/>
    <mergeCell ref="Y21:Z21"/>
    <mergeCell ref="AA21:AC21"/>
    <mergeCell ref="Y23:Z23"/>
    <mergeCell ref="Y36:Z36"/>
    <mergeCell ref="AA36:AC36"/>
    <mergeCell ref="AA19:AC19"/>
    <mergeCell ref="Y20:Z20"/>
    <mergeCell ref="AA20:AC20"/>
    <mergeCell ref="Y41:Z41"/>
    <mergeCell ref="AA41:AC41"/>
    <mergeCell ref="Y28:Z28"/>
    <mergeCell ref="AA28:AC28"/>
    <mergeCell ref="Y40:Z40"/>
    <mergeCell ref="AA40:AC40"/>
    <mergeCell ref="Y39:Z39"/>
    <mergeCell ref="AA39:AC39"/>
    <mergeCell ref="Y35:Z35"/>
    <mergeCell ref="AA35:AC35"/>
    <mergeCell ref="Y38:Z38"/>
    <mergeCell ref="AA38:AC38"/>
    <mergeCell ref="Y32:Z32"/>
    <mergeCell ref="Y25:Z25"/>
    <mergeCell ref="AA25:AC25"/>
    <mergeCell ref="AA26:AC26"/>
    <mergeCell ref="Y27:Z27"/>
    <mergeCell ref="AA27:AC27"/>
    <mergeCell ref="Y34:Z34"/>
    <mergeCell ref="Y48:Z48"/>
    <mergeCell ref="AA48:AC48"/>
    <mergeCell ref="Y42:Z42"/>
    <mergeCell ref="AA42:AC42"/>
    <mergeCell ref="Y43:Z43"/>
    <mergeCell ref="AA43:AC43"/>
    <mergeCell ref="Y44:Z44"/>
    <mergeCell ref="AA44:AC44"/>
    <mergeCell ref="Y37:Z37"/>
    <mergeCell ref="AA37:AC37"/>
    <mergeCell ref="AA23:AC23"/>
    <mergeCell ref="AA32:AC32"/>
    <mergeCell ref="AA24:AC24"/>
    <mergeCell ref="Y22:Z22"/>
    <mergeCell ref="AA22:AC22"/>
    <mergeCell ref="Y33:Z33"/>
    <mergeCell ref="AA33:AC33"/>
    <mergeCell ref="Y29:Z29"/>
    <mergeCell ref="AA29:AC29"/>
    <mergeCell ref="Y30:Z30"/>
    <mergeCell ref="AA30:AC30"/>
    <mergeCell ref="Y31:Z31"/>
    <mergeCell ref="AA31:AC31"/>
  </mergeCells>
  <phoneticPr fontId="12"/>
  <dataValidations count="3">
    <dataValidation imeMode="hiragana" allowBlank="1" showInputMessage="1" showErrorMessage="1" sqref="JG65523:JR65525 TC65523:TN65525 ACY65523:ADJ65525 AMU65523:ANF65525 AWQ65523:AXB65525 BGM65523:BGX65525 BQI65523:BQT65525 CAE65523:CAP65525 CKA65523:CKL65525 CTW65523:CUH65525 DDS65523:DED65525 DNO65523:DNZ65525 DXK65523:DXV65525 EHG65523:EHR65525 ERC65523:ERN65525 FAY65523:FBJ65525 FKU65523:FLF65525 FUQ65523:FVB65525 GEM65523:GEX65525 GOI65523:GOT65525 GYE65523:GYP65525 HIA65523:HIL65525 HRW65523:HSH65525 IBS65523:ICD65525 ILO65523:ILZ65525 IVK65523:IVV65525 JFG65523:JFR65525 JPC65523:JPN65525 JYY65523:JZJ65525 KIU65523:KJF65525 KSQ65523:KTB65525 LCM65523:LCX65525 LMI65523:LMT65525 LWE65523:LWP65525 MGA65523:MGL65525 MPW65523:MQH65525 MZS65523:NAD65525 NJO65523:NJZ65525 NTK65523:NTV65525 ODG65523:ODR65525 ONC65523:ONN65525 OWY65523:OXJ65525 PGU65523:PHF65525 PQQ65523:PRB65525 QAM65523:QAX65525 QKI65523:QKT65525 QUE65523:QUP65525 REA65523:REL65525 RNW65523:ROH65525 RXS65523:RYD65525 SHO65523:SHZ65525 SRK65523:SRV65525 TBG65523:TBR65525 TLC65523:TLN65525 TUY65523:TVJ65525 UEU65523:UFF65525 UOQ65523:UPB65525 UYM65523:UYX65525 VII65523:VIT65525 VSE65523:VSP65525 WCA65523:WCL65525 WLW65523:WMH65525 WVS65523:WWD65525 JG131059:JR131061 TC131059:TN131061 ACY131059:ADJ131061 AMU131059:ANF131061 AWQ131059:AXB131061 BGM131059:BGX131061 BQI131059:BQT131061 CAE131059:CAP131061 CKA131059:CKL131061 CTW131059:CUH131061 DDS131059:DED131061 DNO131059:DNZ131061 DXK131059:DXV131061 EHG131059:EHR131061 ERC131059:ERN131061 FAY131059:FBJ131061 FKU131059:FLF131061 FUQ131059:FVB131061 GEM131059:GEX131061 GOI131059:GOT131061 GYE131059:GYP131061 HIA131059:HIL131061 HRW131059:HSH131061 IBS131059:ICD131061 ILO131059:ILZ131061 IVK131059:IVV131061 JFG131059:JFR131061 JPC131059:JPN131061 JYY131059:JZJ131061 KIU131059:KJF131061 KSQ131059:KTB131061 LCM131059:LCX131061 LMI131059:LMT131061 LWE131059:LWP131061 MGA131059:MGL131061 MPW131059:MQH131061 MZS131059:NAD131061 NJO131059:NJZ131061 NTK131059:NTV131061 ODG131059:ODR131061 ONC131059:ONN131061 OWY131059:OXJ131061 PGU131059:PHF131061 PQQ131059:PRB131061 QAM131059:QAX131061 QKI131059:QKT131061 QUE131059:QUP131061 REA131059:REL131061 RNW131059:ROH131061 RXS131059:RYD131061 SHO131059:SHZ131061 SRK131059:SRV131061 TBG131059:TBR131061 TLC131059:TLN131061 TUY131059:TVJ131061 UEU131059:UFF131061 UOQ131059:UPB131061 UYM131059:UYX131061 VII131059:VIT131061 VSE131059:VSP131061 WCA131059:WCL131061 WLW131059:WMH131061 WVS131059:WWD131061 JG196595:JR196597 TC196595:TN196597 ACY196595:ADJ196597 AMU196595:ANF196597 AWQ196595:AXB196597 BGM196595:BGX196597 BQI196595:BQT196597 CAE196595:CAP196597 CKA196595:CKL196597 CTW196595:CUH196597 DDS196595:DED196597 DNO196595:DNZ196597 DXK196595:DXV196597 EHG196595:EHR196597 ERC196595:ERN196597 FAY196595:FBJ196597 FKU196595:FLF196597 FUQ196595:FVB196597 GEM196595:GEX196597 GOI196595:GOT196597 GYE196595:GYP196597 HIA196595:HIL196597 HRW196595:HSH196597 IBS196595:ICD196597 ILO196595:ILZ196597 IVK196595:IVV196597 JFG196595:JFR196597 JPC196595:JPN196597 JYY196595:JZJ196597 KIU196595:KJF196597 KSQ196595:KTB196597 LCM196595:LCX196597 LMI196595:LMT196597 LWE196595:LWP196597 MGA196595:MGL196597 MPW196595:MQH196597 MZS196595:NAD196597 NJO196595:NJZ196597 NTK196595:NTV196597 ODG196595:ODR196597 ONC196595:ONN196597 OWY196595:OXJ196597 PGU196595:PHF196597 PQQ196595:PRB196597 QAM196595:QAX196597 QKI196595:QKT196597 QUE196595:QUP196597 REA196595:REL196597 RNW196595:ROH196597 RXS196595:RYD196597 SHO196595:SHZ196597 SRK196595:SRV196597 TBG196595:TBR196597 TLC196595:TLN196597 TUY196595:TVJ196597 UEU196595:UFF196597 UOQ196595:UPB196597 UYM196595:UYX196597 VII196595:VIT196597 VSE196595:VSP196597 WCA196595:WCL196597 WLW196595:WMH196597 WVS196595:WWD196597 JG262131:JR262133 TC262131:TN262133 ACY262131:ADJ262133 AMU262131:ANF262133 AWQ262131:AXB262133 BGM262131:BGX262133 BQI262131:BQT262133 CAE262131:CAP262133 CKA262131:CKL262133 CTW262131:CUH262133 DDS262131:DED262133 DNO262131:DNZ262133 DXK262131:DXV262133 EHG262131:EHR262133 ERC262131:ERN262133 FAY262131:FBJ262133 FKU262131:FLF262133 FUQ262131:FVB262133 GEM262131:GEX262133 GOI262131:GOT262133 GYE262131:GYP262133 HIA262131:HIL262133 HRW262131:HSH262133 IBS262131:ICD262133 ILO262131:ILZ262133 IVK262131:IVV262133 JFG262131:JFR262133 JPC262131:JPN262133 JYY262131:JZJ262133 KIU262131:KJF262133 KSQ262131:KTB262133 LCM262131:LCX262133 LMI262131:LMT262133 LWE262131:LWP262133 MGA262131:MGL262133 MPW262131:MQH262133 MZS262131:NAD262133 NJO262131:NJZ262133 NTK262131:NTV262133 ODG262131:ODR262133 ONC262131:ONN262133 OWY262131:OXJ262133 PGU262131:PHF262133 PQQ262131:PRB262133 QAM262131:QAX262133 QKI262131:QKT262133 QUE262131:QUP262133 REA262131:REL262133 RNW262131:ROH262133 RXS262131:RYD262133 SHO262131:SHZ262133 SRK262131:SRV262133 TBG262131:TBR262133 TLC262131:TLN262133 TUY262131:TVJ262133 UEU262131:UFF262133 UOQ262131:UPB262133 UYM262131:UYX262133 VII262131:VIT262133 VSE262131:VSP262133 WCA262131:WCL262133 WLW262131:WMH262133 WVS262131:WWD262133 JG327667:JR327669 TC327667:TN327669 ACY327667:ADJ327669 AMU327667:ANF327669 AWQ327667:AXB327669 BGM327667:BGX327669 BQI327667:BQT327669 CAE327667:CAP327669 CKA327667:CKL327669 CTW327667:CUH327669 DDS327667:DED327669 DNO327667:DNZ327669 DXK327667:DXV327669 EHG327667:EHR327669 ERC327667:ERN327669 FAY327667:FBJ327669 FKU327667:FLF327669 FUQ327667:FVB327669 GEM327667:GEX327669 GOI327667:GOT327669 GYE327667:GYP327669 HIA327667:HIL327669 HRW327667:HSH327669 IBS327667:ICD327669 ILO327667:ILZ327669 IVK327667:IVV327669 JFG327667:JFR327669 JPC327667:JPN327669 JYY327667:JZJ327669 KIU327667:KJF327669 KSQ327667:KTB327669 LCM327667:LCX327669 LMI327667:LMT327669 LWE327667:LWP327669 MGA327667:MGL327669 MPW327667:MQH327669 MZS327667:NAD327669 NJO327667:NJZ327669 NTK327667:NTV327669 ODG327667:ODR327669 ONC327667:ONN327669 OWY327667:OXJ327669 PGU327667:PHF327669 PQQ327667:PRB327669 QAM327667:QAX327669 QKI327667:QKT327669 QUE327667:QUP327669 REA327667:REL327669 RNW327667:ROH327669 RXS327667:RYD327669 SHO327667:SHZ327669 SRK327667:SRV327669 TBG327667:TBR327669 TLC327667:TLN327669 TUY327667:TVJ327669 UEU327667:UFF327669 UOQ327667:UPB327669 UYM327667:UYX327669 VII327667:VIT327669 VSE327667:VSP327669 WCA327667:WCL327669 WLW327667:WMH327669 WVS327667:WWD327669 JG393203:JR393205 TC393203:TN393205 ACY393203:ADJ393205 AMU393203:ANF393205 AWQ393203:AXB393205 BGM393203:BGX393205 BQI393203:BQT393205 CAE393203:CAP393205 CKA393203:CKL393205 CTW393203:CUH393205 DDS393203:DED393205 DNO393203:DNZ393205 DXK393203:DXV393205 EHG393203:EHR393205 ERC393203:ERN393205 FAY393203:FBJ393205 FKU393203:FLF393205 FUQ393203:FVB393205 GEM393203:GEX393205 GOI393203:GOT393205 GYE393203:GYP393205 HIA393203:HIL393205 HRW393203:HSH393205 IBS393203:ICD393205 ILO393203:ILZ393205 IVK393203:IVV393205 JFG393203:JFR393205 JPC393203:JPN393205 JYY393203:JZJ393205 KIU393203:KJF393205 KSQ393203:KTB393205 LCM393203:LCX393205 LMI393203:LMT393205 LWE393203:LWP393205 MGA393203:MGL393205 MPW393203:MQH393205 MZS393203:NAD393205 NJO393203:NJZ393205 NTK393203:NTV393205 ODG393203:ODR393205 ONC393203:ONN393205 OWY393203:OXJ393205 PGU393203:PHF393205 PQQ393203:PRB393205 QAM393203:QAX393205 QKI393203:QKT393205 QUE393203:QUP393205 REA393203:REL393205 RNW393203:ROH393205 RXS393203:RYD393205 SHO393203:SHZ393205 SRK393203:SRV393205 TBG393203:TBR393205 TLC393203:TLN393205 TUY393203:TVJ393205 UEU393203:UFF393205 UOQ393203:UPB393205 UYM393203:UYX393205 VII393203:VIT393205 VSE393203:VSP393205 WCA393203:WCL393205 WLW393203:WMH393205 WVS393203:WWD393205 JG458739:JR458741 TC458739:TN458741 ACY458739:ADJ458741 AMU458739:ANF458741 AWQ458739:AXB458741 BGM458739:BGX458741 BQI458739:BQT458741 CAE458739:CAP458741 CKA458739:CKL458741 CTW458739:CUH458741 DDS458739:DED458741 DNO458739:DNZ458741 DXK458739:DXV458741 EHG458739:EHR458741 ERC458739:ERN458741 FAY458739:FBJ458741 FKU458739:FLF458741 FUQ458739:FVB458741 GEM458739:GEX458741 GOI458739:GOT458741 GYE458739:GYP458741 HIA458739:HIL458741 HRW458739:HSH458741 IBS458739:ICD458741 ILO458739:ILZ458741 IVK458739:IVV458741 JFG458739:JFR458741 JPC458739:JPN458741 JYY458739:JZJ458741 KIU458739:KJF458741 KSQ458739:KTB458741 LCM458739:LCX458741 LMI458739:LMT458741 LWE458739:LWP458741 MGA458739:MGL458741 MPW458739:MQH458741 MZS458739:NAD458741 NJO458739:NJZ458741 NTK458739:NTV458741 ODG458739:ODR458741 ONC458739:ONN458741 OWY458739:OXJ458741 PGU458739:PHF458741 PQQ458739:PRB458741 QAM458739:QAX458741 QKI458739:QKT458741 QUE458739:QUP458741 REA458739:REL458741 RNW458739:ROH458741 RXS458739:RYD458741 SHO458739:SHZ458741 SRK458739:SRV458741 TBG458739:TBR458741 TLC458739:TLN458741 TUY458739:TVJ458741 UEU458739:UFF458741 UOQ458739:UPB458741 UYM458739:UYX458741 VII458739:VIT458741 VSE458739:VSP458741 WCA458739:WCL458741 WLW458739:WMH458741 WVS458739:WWD458741 JG524275:JR524277 TC524275:TN524277 ACY524275:ADJ524277 AMU524275:ANF524277 AWQ524275:AXB524277 BGM524275:BGX524277 BQI524275:BQT524277 CAE524275:CAP524277 CKA524275:CKL524277 CTW524275:CUH524277 DDS524275:DED524277 DNO524275:DNZ524277 DXK524275:DXV524277 EHG524275:EHR524277 ERC524275:ERN524277 FAY524275:FBJ524277 FKU524275:FLF524277 FUQ524275:FVB524277 GEM524275:GEX524277 GOI524275:GOT524277 GYE524275:GYP524277 HIA524275:HIL524277 HRW524275:HSH524277 IBS524275:ICD524277 ILO524275:ILZ524277 IVK524275:IVV524277 JFG524275:JFR524277 JPC524275:JPN524277 JYY524275:JZJ524277 KIU524275:KJF524277 KSQ524275:KTB524277 LCM524275:LCX524277 LMI524275:LMT524277 LWE524275:LWP524277 MGA524275:MGL524277 MPW524275:MQH524277 MZS524275:NAD524277 NJO524275:NJZ524277 NTK524275:NTV524277 ODG524275:ODR524277 ONC524275:ONN524277 OWY524275:OXJ524277 PGU524275:PHF524277 PQQ524275:PRB524277 QAM524275:QAX524277 QKI524275:QKT524277 QUE524275:QUP524277 REA524275:REL524277 RNW524275:ROH524277 RXS524275:RYD524277 SHO524275:SHZ524277 SRK524275:SRV524277 TBG524275:TBR524277 TLC524275:TLN524277 TUY524275:TVJ524277 UEU524275:UFF524277 UOQ524275:UPB524277 UYM524275:UYX524277 VII524275:VIT524277 VSE524275:VSP524277 WCA524275:WCL524277 WLW524275:WMH524277 WVS524275:WWD524277 JG589811:JR589813 TC589811:TN589813 ACY589811:ADJ589813 AMU589811:ANF589813 AWQ589811:AXB589813 BGM589811:BGX589813 BQI589811:BQT589813 CAE589811:CAP589813 CKA589811:CKL589813 CTW589811:CUH589813 DDS589811:DED589813 DNO589811:DNZ589813 DXK589811:DXV589813 EHG589811:EHR589813 ERC589811:ERN589813 FAY589811:FBJ589813 FKU589811:FLF589813 FUQ589811:FVB589813 GEM589811:GEX589813 GOI589811:GOT589813 GYE589811:GYP589813 HIA589811:HIL589813 HRW589811:HSH589813 IBS589811:ICD589813 ILO589811:ILZ589813 IVK589811:IVV589813 JFG589811:JFR589813 JPC589811:JPN589813 JYY589811:JZJ589813 KIU589811:KJF589813 KSQ589811:KTB589813 LCM589811:LCX589813 LMI589811:LMT589813 LWE589811:LWP589813 MGA589811:MGL589813 MPW589811:MQH589813 MZS589811:NAD589813 NJO589811:NJZ589813 NTK589811:NTV589813 ODG589811:ODR589813 ONC589811:ONN589813 OWY589811:OXJ589813 PGU589811:PHF589813 PQQ589811:PRB589813 QAM589811:QAX589813 QKI589811:QKT589813 QUE589811:QUP589813 REA589811:REL589813 RNW589811:ROH589813 RXS589811:RYD589813 SHO589811:SHZ589813 SRK589811:SRV589813 TBG589811:TBR589813 TLC589811:TLN589813 TUY589811:TVJ589813 UEU589811:UFF589813 UOQ589811:UPB589813 UYM589811:UYX589813 VII589811:VIT589813 VSE589811:VSP589813 WCA589811:WCL589813 WLW589811:WMH589813 WVS589811:WWD589813 JG655347:JR655349 TC655347:TN655349 ACY655347:ADJ655349 AMU655347:ANF655349 AWQ655347:AXB655349 BGM655347:BGX655349 BQI655347:BQT655349 CAE655347:CAP655349 CKA655347:CKL655349 CTW655347:CUH655349 DDS655347:DED655349 DNO655347:DNZ655349 DXK655347:DXV655349 EHG655347:EHR655349 ERC655347:ERN655349 FAY655347:FBJ655349 FKU655347:FLF655349 FUQ655347:FVB655349 GEM655347:GEX655349 GOI655347:GOT655349 GYE655347:GYP655349 HIA655347:HIL655349 HRW655347:HSH655349 IBS655347:ICD655349 ILO655347:ILZ655349 IVK655347:IVV655349 JFG655347:JFR655349 JPC655347:JPN655349 JYY655347:JZJ655349 KIU655347:KJF655349 KSQ655347:KTB655349 LCM655347:LCX655349 LMI655347:LMT655349 LWE655347:LWP655349 MGA655347:MGL655349 MPW655347:MQH655349 MZS655347:NAD655349 NJO655347:NJZ655349 NTK655347:NTV655349 ODG655347:ODR655349 ONC655347:ONN655349 OWY655347:OXJ655349 PGU655347:PHF655349 PQQ655347:PRB655349 QAM655347:QAX655349 QKI655347:QKT655349 QUE655347:QUP655349 REA655347:REL655349 RNW655347:ROH655349 RXS655347:RYD655349 SHO655347:SHZ655349 SRK655347:SRV655349 TBG655347:TBR655349 TLC655347:TLN655349 TUY655347:TVJ655349 UEU655347:UFF655349 UOQ655347:UPB655349 UYM655347:UYX655349 VII655347:VIT655349 VSE655347:VSP655349 WCA655347:WCL655349 WLW655347:WMH655349 WVS655347:WWD655349 JG720883:JR720885 TC720883:TN720885 ACY720883:ADJ720885 AMU720883:ANF720885 AWQ720883:AXB720885 BGM720883:BGX720885 BQI720883:BQT720885 CAE720883:CAP720885 CKA720883:CKL720885 CTW720883:CUH720885 DDS720883:DED720885 DNO720883:DNZ720885 DXK720883:DXV720885 EHG720883:EHR720885 ERC720883:ERN720885 FAY720883:FBJ720885 FKU720883:FLF720885 FUQ720883:FVB720885 GEM720883:GEX720885 GOI720883:GOT720885 GYE720883:GYP720885 HIA720883:HIL720885 HRW720883:HSH720885 IBS720883:ICD720885 ILO720883:ILZ720885 IVK720883:IVV720885 JFG720883:JFR720885 JPC720883:JPN720885 JYY720883:JZJ720885 KIU720883:KJF720885 KSQ720883:KTB720885 LCM720883:LCX720885 LMI720883:LMT720885 LWE720883:LWP720885 MGA720883:MGL720885 MPW720883:MQH720885 MZS720883:NAD720885 NJO720883:NJZ720885 NTK720883:NTV720885 ODG720883:ODR720885 ONC720883:ONN720885 OWY720883:OXJ720885 PGU720883:PHF720885 PQQ720883:PRB720885 QAM720883:QAX720885 QKI720883:QKT720885 QUE720883:QUP720885 REA720883:REL720885 RNW720883:ROH720885 RXS720883:RYD720885 SHO720883:SHZ720885 SRK720883:SRV720885 TBG720883:TBR720885 TLC720883:TLN720885 TUY720883:TVJ720885 UEU720883:UFF720885 UOQ720883:UPB720885 UYM720883:UYX720885 VII720883:VIT720885 VSE720883:VSP720885 WCA720883:WCL720885 WLW720883:WMH720885 WVS720883:WWD720885 JG786419:JR786421 TC786419:TN786421 ACY786419:ADJ786421 AMU786419:ANF786421 AWQ786419:AXB786421 BGM786419:BGX786421 BQI786419:BQT786421 CAE786419:CAP786421 CKA786419:CKL786421 CTW786419:CUH786421 DDS786419:DED786421 DNO786419:DNZ786421 DXK786419:DXV786421 EHG786419:EHR786421 ERC786419:ERN786421 FAY786419:FBJ786421 FKU786419:FLF786421 FUQ786419:FVB786421 GEM786419:GEX786421 GOI786419:GOT786421 GYE786419:GYP786421 HIA786419:HIL786421 HRW786419:HSH786421 IBS786419:ICD786421 ILO786419:ILZ786421 IVK786419:IVV786421 JFG786419:JFR786421 JPC786419:JPN786421 JYY786419:JZJ786421 KIU786419:KJF786421 KSQ786419:KTB786421 LCM786419:LCX786421 LMI786419:LMT786421 LWE786419:LWP786421 MGA786419:MGL786421 MPW786419:MQH786421 MZS786419:NAD786421 NJO786419:NJZ786421 NTK786419:NTV786421 ODG786419:ODR786421 ONC786419:ONN786421 OWY786419:OXJ786421 PGU786419:PHF786421 PQQ786419:PRB786421 QAM786419:QAX786421 QKI786419:QKT786421 QUE786419:QUP786421 REA786419:REL786421 RNW786419:ROH786421 RXS786419:RYD786421 SHO786419:SHZ786421 SRK786419:SRV786421 TBG786419:TBR786421 TLC786419:TLN786421 TUY786419:TVJ786421 UEU786419:UFF786421 UOQ786419:UPB786421 UYM786419:UYX786421 VII786419:VIT786421 VSE786419:VSP786421 WCA786419:WCL786421 WLW786419:WMH786421 WVS786419:WWD786421 JG851955:JR851957 TC851955:TN851957 ACY851955:ADJ851957 AMU851955:ANF851957 AWQ851955:AXB851957 BGM851955:BGX851957 BQI851955:BQT851957 CAE851955:CAP851957 CKA851955:CKL851957 CTW851955:CUH851957 DDS851955:DED851957 DNO851955:DNZ851957 DXK851955:DXV851957 EHG851955:EHR851957 ERC851955:ERN851957 FAY851955:FBJ851957 FKU851955:FLF851957 FUQ851955:FVB851957 GEM851955:GEX851957 GOI851955:GOT851957 GYE851955:GYP851957 HIA851955:HIL851957 HRW851955:HSH851957 IBS851955:ICD851957 ILO851955:ILZ851957 IVK851955:IVV851957 JFG851955:JFR851957 JPC851955:JPN851957 JYY851955:JZJ851957 KIU851955:KJF851957 KSQ851955:KTB851957 LCM851955:LCX851957 LMI851955:LMT851957 LWE851955:LWP851957 MGA851955:MGL851957 MPW851955:MQH851957 MZS851955:NAD851957 NJO851955:NJZ851957 NTK851955:NTV851957 ODG851955:ODR851957 ONC851955:ONN851957 OWY851955:OXJ851957 PGU851955:PHF851957 PQQ851955:PRB851957 QAM851955:QAX851957 QKI851955:QKT851957 QUE851955:QUP851957 REA851955:REL851957 RNW851955:ROH851957 RXS851955:RYD851957 SHO851955:SHZ851957 SRK851955:SRV851957 TBG851955:TBR851957 TLC851955:TLN851957 TUY851955:TVJ851957 UEU851955:UFF851957 UOQ851955:UPB851957 UYM851955:UYX851957 VII851955:VIT851957 VSE851955:VSP851957 WCA851955:WCL851957 WLW851955:WMH851957 WVS851955:WWD851957 JG917491:JR917493 TC917491:TN917493 ACY917491:ADJ917493 AMU917491:ANF917493 AWQ917491:AXB917493 BGM917491:BGX917493 BQI917491:BQT917493 CAE917491:CAP917493 CKA917491:CKL917493 CTW917491:CUH917493 DDS917491:DED917493 DNO917491:DNZ917493 DXK917491:DXV917493 EHG917491:EHR917493 ERC917491:ERN917493 FAY917491:FBJ917493 FKU917491:FLF917493 FUQ917491:FVB917493 GEM917491:GEX917493 GOI917491:GOT917493 GYE917491:GYP917493 HIA917491:HIL917493 HRW917491:HSH917493 IBS917491:ICD917493 ILO917491:ILZ917493 IVK917491:IVV917493 JFG917491:JFR917493 JPC917491:JPN917493 JYY917491:JZJ917493 KIU917491:KJF917493 KSQ917491:KTB917493 LCM917491:LCX917493 LMI917491:LMT917493 LWE917491:LWP917493 MGA917491:MGL917493 MPW917491:MQH917493 MZS917491:NAD917493 NJO917491:NJZ917493 NTK917491:NTV917493 ODG917491:ODR917493 ONC917491:ONN917493 OWY917491:OXJ917493 PGU917491:PHF917493 PQQ917491:PRB917493 QAM917491:QAX917493 QKI917491:QKT917493 QUE917491:QUP917493 REA917491:REL917493 RNW917491:ROH917493 RXS917491:RYD917493 SHO917491:SHZ917493 SRK917491:SRV917493 TBG917491:TBR917493 TLC917491:TLN917493 TUY917491:TVJ917493 UEU917491:UFF917493 UOQ917491:UPB917493 UYM917491:UYX917493 VII917491:VIT917493 VSE917491:VSP917493 WCA917491:WCL917493 WLW917491:WMH917493 WVS917491:WWD917493 JG983027:JR983029 TC983027:TN983029 ACY983027:ADJ983029 AMU983027:ANF983029 AWQ983027:AXB983029 BGM983027:BGX983029 BQI983027:BQT983029 CAE983027:CAP983029 CKA983027:CKL983029 CTW983027:CUH983029 DDS983027:DED983029 DNO983027:DNZ983029 DXK983027:DXV983029 EHG983027:EHR983029 ERC983027:ERN983029 FAY983027:FBJ983029 FKU983027:FLF983029 FUQ983027:FVB983029 GEM983027:GEX983029 GOI983027:GOT983029 GYE983027:GYP983029 HIA983027:HIL983029 HRW983027:HSH983029 IBS983027:ICD983029 ILO983027:ILZ983029 IVK983027:IVV983029 JFG983027:JFR983029 JPC983027:JPN983029 JYY983027:JZJ983029 KIU983027:KJF983029 KSQ983027:KTB983029 LCM983027:LCX983029 LMI983027:LMT983029 LWE983027:LWP983029 MGA983027:MGL983029 MPW983027:MQH983029 MZS983027:NAD983029 NJO983027:NJZ983029 NTK983027:NTV983029 ODG983027:ODR983029 ONC983027:ONN983029 OWY983027:OXJ983029 PGU983027:PHF983029 PQQ983027:PRB983029 QAM983027:QAX983029 QKI983027:QKT983029 QUE983027:QUP983029 REA983027:REL983029 RNW983027:ROH983029 RXS983027:RYD983029 SHO983027:SHZ983029 SRK983027:SRV983029 TBG983027:TBR983029 TLC983027:TLN983029 TUY983027:TVJ983029 UEU983027:UFF983029 UOQ983027:UPB983029 UYM983027:UYX983029 VII983027:VIT983029 VSE983027:VSP983029 WCA983027:WCL983029 WLW983027:WMH983029 WVS983027:WWD983029 WVS983032:WWD983034 JG65528:JR65530 TC65528:TN65530 ACY65528:ADJ65530 AMU65528:ANF65530 AWQ65528:AXB65530 BGM65528:BGX65530 BQI65528:BQT65530 CAE65528:CAP65530 CKA65528:CKL65530 CTW65528:CUH65530 DDS65528:DED65530 DNO65528:DNZ65530 DXK65528:DXV65530 EHG65528:EHR65530 ERC65528:ERN65530 FAY65528:FBJ65530 FKU65528:FLF65530 FUQ65528:FVB65530 GEM65528:GEX65530 GOI65528:GOT65530 GYE65528:GYP65530 HIA65528:HIL65530 HRW65528:HSH65530 IBS65528:ICD65530 ILO65528:ILZ65530 IVK65528:IVV65530 JFG65528:JFR65530 JPC65528:JPN65530 JYY65528:JZJ65530 KIU65528:KJF65530 KSQ65528:KTB65530 LCM65528:LCX65530 LMI65528:LMT65530 LWE65528:LWP65530 MGA65528:MGL65530 MPW65528:MQH65530 MZS65528:NAD65530 NJO65528:NJZ65530 NTK65528:NTV65530 ODG65528:ODR65530 ONC65528:ONN65530 OWY65528:OXJ65530 PGU65528:PHF65530 PQQ65528:PRB65530 QAM65528:QAX65530 QKI65528:QKT65530 QUE65528:QUP65530 REA65528:REL65530 RNW65528:ROH65530 RXS65528:RYD65530 SHO65528:SHZ65530 SRK65528:SRV65530 TBG65528:TBR65530 TLC65528:TLN65530 TUY65528:TVJ65530 UEU65528:UFF65530 UOQ65528:UPB65530 UYM65528:UYX65530 VII65528:VIT65530 VSE65528:VSP65530 WCA65528:WCL65530 WLW65528:WMH65530 WVS65528:WWD65530 JG131064:JR131066 TC131064:TN131066 ACY131064:ADJ131066 AMU131064:ANF131066 AWQ131064:AXB131066 BGM131064:BGX131066 BQI131064:BQT131066 CAE131064:CAP131066 CKA131064:CKL131066 CTW131064:CUH131066 DDS131064:DED131066 DNO131064:DNZ131066 DXK131064:DXV131066 EHG131064:EHR131066 ERC131064:ERN131066 FAY131064:FBJ131066 FKU131064:FLF131066 FUQ131064:FVB131066 GEM131064:GEX131066 GOI131064:GOT131066 GYE131064:GYP131066 HIA131064:HIL131066 HRW131064:HSH131066 IBS131064:ICD131066 ILO131064:ILZ131066 IVK131064:IVV131066 JFG131064:JFR131066 JPC131064:JPN131066 JYY131064:JZJ131066 KIU131064:KJF131066 KSQ131064:KTB131066 LCM131064:LCX131066 LMI131064:LMT131066 LWE131064:LWP131066 MGA131064:MGL131066 MPW131064:MQH131066 MZS131064:NAD131066 NJO131064:NJZ131066 NTK131064:NTV131066 ODG131064:ODR131066 ONC131064:ONN131066 OWY131064:OXJ131066 PGU131064:PHF131066 PQQ131064:PRB131066 QAM131064:QAX131066 QKI131064:QKT131066 QUE131064:QUP131066 REA131064:REL131066 RNW131064:ROH131066 RXS131064:RYD131066 SHO131064:SHZ131066 SRK131064:SRV131066 TBG131064:TBR131066 TLC131064:TLN131066 TUY131064:TVJ131066 UEU131064:UFF131066 UOQ131064:UPB131066 UYM131064:UYX131066 VII131064:VIT131066 VSE131064:VSP131066 WCA131064:WCL131066 WLW131064:WMH131066 WVS131064:WWD131066 JG196600:JR196602 TC196600:TN196602 ACY196600:ADJ196602 AMU196600:ANF196602 AWQ196600:AXB196602 BGM196600:BGX196602 BQI196600:BQT196602 CAE196600:CAP196602 CKA196600:CKL196602 CTW196600:CUH196602 DDS196600:DED196602 DNO196600:DNZ196602 DXK196600:DXV196602 EHG196600:EHR196602 ERC196600:ERN196602 FAY196600:FBJ196602 FKU196600:FLF196602 FUQ196600:FVB196602 GEM196600:GEX196602 GOI196600:GOT196602 GYE196600:GYP196602 HIA196600:HIL196602 HRW196600:HSH196602 IBS196600:ICD196602 ILO196600:ILZ196602 IVK196600:IVV196602 JFG196600:JFR196602 JPC196600:JPN196602 JYY196600:JZJ196602 KIU196600:KJF196602 KSQ196600:KTB196602 LCM196600:LCX196602 LMI196600:LMT196602 LWE196600:LWP196602 MGA196600:MGL196602 MPW196600:MQH196602 MZS196600:NAD196602 NJO196600:NJZ196602 NTK196600:NTV196602 ODG196600:ODR196602 ONC196600:ONN196602 OWY196600:OXJ196602 PGU196600:PHF196602 PQQ196600:PRB196602 QAM196600:QAX196602 QKI196600:QKT196602 QUE196600:QUP196602 REA196600:REL196602 RNW196600:ROH196602 RXS196600:RYD196602 SHO196600:SHZ196602 SRK196600:SRV196602 TBG196600:TBR196602 TLC196600:TLN196602 TUY196600:TVJ196602 UEU196600:UFF196602 UOQ196600:UPB196602 UYM196600:UYX196602 VII196600:VIT196602 VSE196600:VSP196602 WCA196600:WCL196602 WLW196600:WMH196602 WVS196600:WWD196602 JG262136:JR262138 TC262136:TN262138 ACY262136:ADJ262138 AMU262136:ANF262138 AWQ262136:AXB262138 BGM262136:BGX262138 BQI262136:BQT262138 CAE262136:CAP262138 CKA262136:CKL262138 CTW262136:CUH262138 DDS262136:DED262138 DNO262136:DNZ262138 DXK262136:DXV262138 EHG262136:EHR262138 ERC262136:ERN262138 FAY262136:FBJ262138 FKU262136:FLF262138 FUQ262136:FVB262138 GEM262136:GEX262138 GOI262136:GOT262138 GYE262136:GYP262138 HIA262136:HIL262138 HRW262136:HSH262138 IBS262136:ICD262138 ILO262136:ILZ262138 IVK262136:IVV262138 JFG262136:JFR262138 JPC262136:JPN262138 JYY262136:JZJ262138 KIU262136:KJF262138 KSQ262136:KTB262138 LCM262136:LCX262138 LMI262136:LMT262138 LWE262136:LWP262138 MGA262136:MGL262138 MPW262136:MQH262138 MZS262136:NAD262138 NJO262136:NJZ262138 NTK262136:NTV262138 ODG262136:ODR262138 ONC262136:ONN262138 OWY262136:OXJ262138 PGU262136:PHF262138 PQQ262136:PRB262138 QAM262136:QAX262138 QKI262136:QKT262138 QUE262136:QUP262138 REA262136:REL262138 RNW262136:ROH262138 RXS262136:RYD262138 SHO262136:SHZ262138 SRK262136:SRV262138 TBG262136:TBR262138 TLC262136:TLN262138 TUY262136:TVJ262138 UEU262136:UFF262138 UOQ262136:UPB262138 UYM262136:UYX262138 VII262136:VIT262138 VSE262136:VSP262138 WCA262136:WCL262138 WLW262136:WMH262138 WVS262136:WWD262138 JG327672:JR327674 TC327672:TN327674 ACY327672:ADJ327674 AMU327672:ANF327674 AWQ327672:AXB327674 BGM327672:BGX327674 BQI327672:BQT327674 CAE327672:CAP327674 CKA327672:CKL327674 CTW327672:CUH327674 DDS327672:DED327674 DNO327672:DNZ327674 DXK327672:DXV327674 EHG327672:EHR327674 ERC327672:ERN327674 FAY327672:FBJ327674 FKU327672:FLF327674 FUQ327672:FVB327674 GEM327672:GEX327674 GOI327672:GOT327674 GYE327672:GYP327674 HIA327672:HIL327674 HRW327672:HSH327674 IBS327672:ICD327674 ILO327672:ILZ327674 IVK327672:IVV327674 JFG327672:JFR327674 JPC327672:JPN327674 JYY327672:JZJ327674 KIU327672:KJF327674 KSQ327672:KTB327674 LCM327672:LCX327674 LMI327672:LMT327674 LWE327672:LWP327674 MGA327672:MGL327674 MPW327672:MQH327674 MZS327672:NAD327674 NJO327672:NJZ327674 NTK327672:NTV327674 ODG327672:ODR327674 ONC327672:ONN327674 OWY327672:OXJ327674 PGU327672:PHF327674 PQQ327672:PRB327674 QAM327672:QAX327674 QKI327672:QKT327674 QUE327672:QUP327674 REA327672:REL327674 RNW327672:ROH327674 RXS327672:RYD327674 SHO327672:SHZ327674 SRK327672:SRV327674 TBG327672:TBR327674 TLC327672:TLN327674 TUY327672:TVJ327674 UEU327672:UFF327674 UOQ327672:UPB327674 UYM327672:UYX327674 VII327672:VIT327674 VSE327672:VSP327674 WCA327672:WCL327674 WLW327672:WMH327674 WVS327672:WWD327674 JG393208:JR393210 TC393208:TN393210 ACY393208:ADJ393210 AMU393208:ANF393210 AWQ393208:AXB393210 BGM393208:BGX393210 BQI393208:BQT393210 CAE393208:CAP393210 CKA393208:CKL393210 CTW393208:CUH393210 DDS393208:DED393210 DNO393208:DNZ393210 DXK393208:DXV393210 EHG393208:EHR393210 ERC393208:ERN393210 FAY393208:FBJ393210 FKU393208:FLF393210 FUQ393208:FVB393210 GEM393208:GEX393210 GOI393208:GOT393210 GYE393208:GYP393210 HIA393208:HIL393210 HRW393208:HSH393210 IBS393208:ICD393210 ILO393208:ILZ393210 IVK393208:IVV393210 JFG393208:JFR393210 JPC393208:JPN393210 JYY393208:JZJ393210 KIU393208:KJF393210 KSQ393208:KTB393210 LCM393208:LCX393210 LMI393208:LMT393210 LWE393208:LWP393210 MGA393208:MGL393210 MPW393208:MQH393210 MZS393208:NAD393210 NJO393208:NJZ393210 NTK393208:NTV393210 ODG393208:ODR393210 ONC393208:ONN393210 OWY393208:OXJ393210 PGU393208:PHF393210 PQQ393208:PRB393210 QAM393208:QAX393210 QKI393208:QKT393210 QUE393208:QUP393210 REA393208:REL393210 RNW393208:ROH393210 RXS393208:RYD393210 SHO393208:SHZ393210 SRK393208:SRV393210 TBG393208:TBR393210 TLC393208:TLN393210 TUY393208:TVJ393210 UEU393208:UFF393210 UOQ393208:UPB393210 UYM393208:UYX393210 VII393208:VIT393210 VSE393208:VSP393210 WCA393208:WCL393210 WLW393208:WMH393210 WVS393208:WWD393210 JG458744:JR458746 TC458744:TN458746 ACY458744:ADJ458746 AMU458744:ANF458746 AWQ458744:AXB458746 BGM458744:BGX458746 BQI458744:BQT458746 CAE458744:CAP458746 CKA458744:CKL458746 CTW458744:CUH458746 DDS458744:DED458746 DNO458744:DNZ458746 DXK458744:DXV458746 EHG458744:EHR458746 ERC458744:ERN458746 FAY458744:FBJ458746 FKU458744:FLF458746 FUQ458744:FVB458746 GEM458744:GEX458746 GOI458744:GOT458746 GYE458744:GYP458746 HIA458744:HIL458746 HRW458744:HSH458746 IBS458744:ICD458746 ILO458744:ILZ458746 IVK458744:IVV458746 JFG458744:JFR458746 JPC458744:JPN458746 JYY458744:JZJ458746 KIU458744:KJF458746 KSQ458744:KTB458746 LCM458744:LCX458746 LMI458744:LMT458746 LWE458744:LWP458746 MGA458744:MGL458746 MPW458744:MQH458746 MZS458744:NAD458746 NJO458744:NJZ458746 NTK458744:NTV458746 ODG458744:ODR458746 ONC458744:ONN458746 OWY458744:OXJ458746 PGU458744:PHF458746 PQQ458744:PRB458746 QAM458744:QAX458746 QKI458744:QKT458746 QUE458744:QUP458746 REA458744:REL458746 RNW458744:ROH458746 RXS458744:RYD458746 SHO458744:SHZ458746 SRK458744:SRV458746 TBG458744:TBR458746 TLC458744:TLN458746 TUY458744:TVJ458746 UEU458744:UFF458746 UOQ458744:UPB458746 UYM458744:UYX458746 VII458744:VIT458746 VSE458744:VSP458746 WCA458744:WCL458746 WLW458744:WMH458746 WVS458744:WWD458746 JG524280:JR524282 TC524280:TN524282 ACY524280:ADJ524282 AMU524280:ANF524282 AWQ524280:AXB524282 BGM524280:BGX524282 BQI524280:BQT524282 CAE524280:CAP524282 CKA524280:CKL524282 CTW524280:CUH524282 DDS524280:DED524282 DNO524280:DNZ524282 DXK524280:DXV524282 EHG524280:EHR524282 ERC524280:ERN524282 FAY524280:FBJ524282 FKU524280:FLF524282 FUQ524280:FVB524282 GEM524280:GEX524282 GOI524280:GOT524282 GYE524280:GYP524282 HIA524280:HIL524282 HRW524280:HSH524282 IBS524280:ICD524282 ILO524280:ILZ524282 IVK524280:IVV524282 JFG524280:JFR524282 JPC524280:JPN524282 JYY524280:JZJ524282 KIU524280:KJF524282 KSQ524280:KTB524282 LCM524280:LCX524282 LMI524280:LMT524282 LWE524280:LWP524282 MGA524280:MGL524282 MPW524280:MQH524282 MZS524280:NAD524282 NJO524280:NJZ524282 NTK524280:NTV524282 ODG524280:ODR524282 ONC524280:ONN524282 OWY524280:OXJ524282 PGU524280:PHF524282 PQQ524280:PRB524282 QAM524280:QAX524282 QKI524280:QKT524282 QUE524280:QUP524282 REA524280:REL524282 RNW524280:ROH524282 RXS524280:RYD524282 SHO524280:SHZ524282 SRK524280:SRV524282 TBG524280:TBR524282 TLC524280:TLN524282 TUY524280:TVJ524282 UEU524280:UFF524282 UOQ524280:UPB524282 UYM524280:UYX524282 VII524280:VIT524282 VSE524280:VSP524282 WCA524280:WCL524282 WLW524280:WMH524282 WVS524280:WWD524282 JG589816:JR589818 TC589816:TN589818 ACY589816:ADJ589818 AMU589816:ANF589818 AWQ589816:AXB589818 BGM589816:BGX589818 BQI589816:BQT589818 CAE589816:CAP589818 CKA589816:CKL589818 CTW589816:CUH589818 DDS589816:DED589818 DNO589816:DNZ589818 DXK589816:DXV589818 EHG589816:EHR589818 ERC589816:ERN589818 FAY589816:FBJ589818 FKU589816:FLF589818 FUQ589816:FVB589818 GEM589816:GEX589818 GOI589816:GOT589818 GYE589816:GYP589818 HIA589816:HIL589818 HRW589816:HSH589818 IBS589816:ICD589818 ILO589816:ILZ589818 IVK589816:IVV589818 JFG589816:JFR589818 JPC589816:JPN589818 JYY589816:JZJ589818 KIU589816:KJF589818 KSQ589816:KTB589818 LCM589816:LCX589818 LMI589816:LMT589818 LWE589816:LWP589818 MGA589816:MGL589818 MPW589816:MQH589818 MZS589816:NAD589818 NJO589816:NJZ589818 NTK589816:NTV589818 ODG589816:ODR589818 ONC589816:ONN589818 OWY589816:OXJ589818 PGU589816:PHF589818 PQQ589816:PRB589818 QAM589816:QAX589818 QKI589816:QKT589818 QUE589816:QUP589818 REA589816:REL589818 RNW589816:ROH589818 RXS589816:RYD589818 SHO589816:SHZ589818 SRK589816:SRV589818 TBG589816:TBR589818 TLC589816:TLN589818 TUY589816:TVJ589818 UEU589816:UFF589818 UOQ589816:UPB589818 UYM589816:UYX589818 VII589816:VIT589818 VSE589816:VSP589818 WCA589816:WCL589818 WLW589816:WMH589818 WVS589816:WWD589818 JG655352:JR655354 TC655352:TN655354 ACY655352:ADJ655354 AMU655352:ANF655354 AWQ655352:AXB655354 BGM655352:BGX655354 BQI655352:BQT655354 CAE655352:CAP655354 CKA655352:CKL655354 CTW655352:CUH655354 DDS655352:DED655354 DNO655352:DNZ655354 DXK655352:DXV655354 EHG655352:EHR655354 ERC655352:ERN655354 FAY655352:FBJ655354 FKU655352:FLF655354 FUQ655352:FVB655354 GEM655352:GEX655354 GOI655352:GOT655354 GYE655352:GYP655354 HIA655352:HIL655354 HRW655352:HSH655354 IBS655352:ICD655354 ILO655352:ILZ655354 IVK655352:IVV655354 JFG655352:JFR655354 JPC655352:JPN655354 JYY655352:JZJ655354 KIU655352:KJF655354 KSQ655352:KTB655354 LCM655352:LCX655354 LMI655352:LMT655354 LWE655352:LWP655354 MGA655352:MGL655354 MPW655352:MQH655354 MZS655352:NAD655354 NJO655352:NJZ655354 NTK655352:NTV655354 ODG655352:ODR655354 ONC655352:ONN655354 OWY655352:OXJ655354 PGU655352:PHF655354 PQQ655352:PRB655354 QAM655352:QAX655354 QKI655352:QKT655354 QUE655352:QUP655354 REA655352:REL655354 RNW655352:ROH655354 RXS655352:RYD655354 SHO655352:SHZ655354 SRK655352:SRV655354 TBG655352:TBR655354 TLC655352:TLN655354 TUY655352:TVJ655354 UEU655352:UFF655354 UOQ655352:UPB655354 UYM655352:UYX655354 VII655352:VIT655354 VSE655352:VSP655354 WCA655352:WCL655354 WLW655352:WMH655354 WVS655352:WWD655354 JG720888:JR720890 TC720888:TN720890 ACY720888:ADJ720890 AMU720888:ANF720890 AWQ720888:AXB720890 BGM720888:BGX720890 BQI720888:BQT720890 CAE720888:CAP720890 CKA720888:CKL720890 CTW720888:CUH720890 DDS720888:DED720890 DNO720888:DNZ720890 DXK720888:DXV720890 EHG720888:EHR720890 ERC720888:ERN720890 FAY720888:FBJ720890 FKU720888:FLF720890 FUQ720888:FVB720890 GEM720888:GEX720890 GOI720888:GOT720890 GYE720888:GYP720890 HIA720888:HIL720890 HRW720888:HSH720890 IBS720888:ICD720890 ILO720888:ILZ720890 IVK720888:IVV720890 JFG720888:JFR720890 JPC720888:JPN720890 JYY720888:JZJ720890 KIU720888:KJF720890 KSQ720888:KTB720890 LCM720888:LCX720890 LMI720888:LMT720890 LWE720888:LWP720890 MGA720888:MGL720890 MPW720888:MQH720890 MZS720888:NAD720890 NJO720888:NJZ720890 NTK720888:NTV720890 ODG720888:ODR720890 ONC720888:ONN720890 OWY720888:OXJ720890 PGU720888:PHF720890 PQQ720888:PRB720890 QAM720888:QAX720890 QKI720888:QKT720890 QUE720888:QUP720890 REA720888:REL720890 RNW720888:ROH720890 RXS720888:RYD720890 SHO720888:SHZ720890 SRK720888:SRV720890 TBG720888:TBR720890 TLC720888:TLN720890 TUY720888:TVJ720890 UEU720888:UFF720890 UOQ720888:UPB720890 UYM720888:UYX720890 VII720888:VIT720890 VSE720888:VSP720890 WCA720888:WCL720890 WLW720888:WMH720890 WVS720888:WWD720890 JG786424:JR786426 TC786424:TN786426 ACY786424:ADJ786426 AMU786424:ANF786426 AWQ786424:AXB786426 BGM786424:BGX786426 BQI786424:BQT786426 CAE786424:CAP786426 CKA786424:CKL786426 CTW786424:CUH786426 DDS786424:DED786426 DNO786424:DNZ786426 DXK786424:DXV786426 EHG786424:EHR786426 ERC786424:ERN786426 FAY786424:FBJ786426 FKU786424:FLF786426 FUQ786424:FVB786426 GEM786424:GEX786426 GOI786424:GOT786426 GYE786424:GYP786426 HIA786424:HIL786426 HRW786424:HSH786426 IBS786424:ICD786426 ILO786424:ILZ786426 IVK786424:IVV786426 JFG786424:JFR786426 JPC786424:JPN786426 JYY786424:JZJ786426 KIU786424:KJF786426 KSQ786424:KTB786426 LCM786424:LCX786426 LMI786424:LMT786426 LWE786424:LWP786426 MGA786424:MGL786426 MPW786424:MQH786426 MZS786424:NAD786426 NJO786424:NJZ786426 NTK786424:NTV786426 ODG786424:ODR786426 ONC786424:ONN786426 OWY786424:OXJ786426 PGU786424:PHF786426 PQQ786424:PRB786426 QAM786424:QAX786426 QKI786424:QKT786426 QUE786424:QUP786426 REA786424:REL786426 RNW786424:ROH786426 RXS786424:RYD786426 SHO786424:SHZ786426 SRK786424:SRV786426 TBG786424:TBR786426 TLC786424:TLN786426 TUY786424:TVJ786426 UEU786424:UFF786426 UOQ786424:UPB786426 UYM786424:UYX786426 VII786424:VIT786426 VSE786424:VSP786426 WCA786424:WCL786426 WLW786424:WMH786426 WVS786424:WWD786426 JG851960:JR851962 TC851960:TN851962 ACY851960:ADJ851962 AMU851960:ANF851962 AWQ851960:AXB851962 BGM851960:BGX851962 BQI851960:BQT851962 CAE851960:CAP851962 CKA851960:CKL851962 CTW851960:CUH851962 DDS851960:DED851962 DNO851960:DNZ851962 DXK851960:DXV851962 EHG851960:EHR851962 ERC851960:ERN851962 FAY851960:FBJ851962 FKU851960:FLF851962 FUQ851960:FVB851962 GEM851960:GEX851962 GOI851960:GOT851962 GYE851960:GYP851962 HIA851960:HIL851962 HRW851960:HSH851962 IBS851960:ICD851962 ILO851960:ILZ851962 IVK851960:IVV851962 JFG851960:JFR851962 JPC851960:JPN851962 JYY851960:JZJ851962 KIU851960:KJF851962 KSQ851960:KTB851962 LCM851960:LCX851962 LMI851960:LMT851962 LWE851960:LWP851962 MGA851960:MGL851962 MPW851960:MQH851962 MZS851960:NAD851962 NJO851960:NJZ851962 NTK851960:NTV851962 ODG851960:ODR851962 ONC851960:ONN851962 OWY851960:OXJ851962 PGU851960:PHF851962 PQQ851960:PRB851962 QAM851960:QAX851962 QKI851960:QKT851962 QUE851960:QUP851962 REA851960:REL851962 RNW851960:ROH851962 RXS851960:RYD851962 SHO851960:SHZ851962 SRK851960:SRV851962 TBG851960:TBR851962 TLC851960:TLN851962 TUY851960:TVJ851962 UEU851960:UFF851962 UOQ851960:UPB851962 UYM851960:UYX851962 VII851960:VIT851962 VSE851960:VSP851962 WCA851960:WCL851962 WLW851960:WMH851962 WVS851960:WWD851962 JG917496:JR917498 TC917496:TN917498 ACY917496:ADJ917498 AMU917496:ANF917498 AWQ917496:AXB917498 BGM917496:BGX917498 BQI917496:BQT917498 CAE917496:CAP917498 CKA917496:CKL917498 CTW917496:CUH917498 DDS917496:DED917498 DNO917496:DNZ917498 DXK917496:DXV917498 EHG917496:EHR917498 ERC917496:ERN917498 FAY917496:FBJ917498 FKU917496:FLF917498 FUQ917496:FVB917498 GEM917496:GEX917498 GOI917496:GOT917498 GYE917496:GYP917498 HIA917496:HIL917498 HRW917496:HSH917498 IBS917496:ICD917498 ILO917496:ILZ917498 IVK917496:IVV917498 JFG917496:JFR917498 JPC917496:JPN917498 JYY917496:JZJ917498 KIU917496:KJF917498 KSQ917496:KTB917498 LCM917496:LCX917498 LMI917496:LMT917498 LWE917496:LWP917498 MGA917496:MGL917498 MPW917496:MQH917498 MZS917496:NAD917498 NJO917496:NJZ917498 NTK917496:NTV917498 ODG917496:ODR917498 ONC917496:ONN917498 OWY917496:OXJ917498 PGU917496:PHF917498 PQQ917496:PRB917498 QAM917496:QAX917498 QKI917496:QKT917498 QUE917496:QUP917498 REA917496:REL917498 RNW917496:ROH917498 RXS917496:RYD917498 SHO917496:SHZ917498 SRK917496:SRV917498 TBG917496:TBR917498 TLC917496:TLN917498 TUY917496:TVJ917498 UEU917496:UFF917498 UOQ917496:UPB917498 UYM917496:UYX917498 VII917496:VIT917498 VSE917496:VSP917498 WCA917496:WCL917498 WLW917496:WMH917498 WVS917496:WWD917498 JG983032:JR983034 TC983032:TN983034 ACY983032:ADJ983034 AMU983032:ANF983034 AWQ983032:AXB983034 BGM983032:BGX983034 BQI983032:BQT983034 CAE983032:CAP983034 CKA983032:CKL983034 CTW983032:CUH983034 DDS983032:DED983034 DNO983032:DNZ983034 DXK983032:DXV983034 EHG983032:EHR983034 ERC983032:ERN983034 FAY983032:FBJ983034 FKU983032:FLF983034 FUQ983032:FVB983034 GEM983032:GEX983034 GOI983032:GOT983034 GYE983032:GYP983034 HIA983032:HIL983034 HRW983032:HSH983034 IBS983032:ICD983034 ILO983032:ILZ983034 IVK983032:IVV983034 JFG983032:JFR983034 JPC983032:JPN983034 JYY983032:JZJ983034 KIU983032:KJF983034 KSQ983032:KTB983034 LCM983032:LCX983034 LMI983032:LMT983034 LWE983032:LWP983034 MGA983032:MGL983034 MPW983032:MQH983034 MZS983032:NAD983034 NJO983032:NJZ983034 NTK983032:NTV983034 ODG983032:ODR983034 ONC983032:ONN983034 OWY983032:OXJ983034 PGU983032:PHF983034 PQQ983032:PRB983034 QAM983032:QAX983034 QKI983032:QKT983034 QUE983032:QUP983034 REA983032:REL983034 RNW983032:ROH983034 RXS983032:RYD983034 SHO983032:SHZ983034 SRK983032:SRV983034 TBG983032:TBR983034 TLC983032:TLN983034 TUY983032:TVJ983034 UEU983032:UFF983034 UOQ983032:UPB983034 UYM983032:UYX983034 VII983032:VIT983034 VSE983032:VSP983034 WCA983032:WCL983034 WLW983032:WMH983034 Z262131:AJ262133 Z196595:AJ196597 Z131059:AJ131061 Z65523:AJ65525 Z983032:AJ983034 Z917496:AJ917498 Z851960:AJ851962 Z786424:AJ786426 Z720888:AJ720890 Z655352:AJ655354 Z589816:AJ589818 Z524280:AJ524282 Z458744:AJ458746 Z393208:AJ393210 Z327672:AJ327674 Z262136:AJ262138 Z196600:AJ196602 Z131064:AJ131066 Z65528:AJ65530 Z983027:AJ983029 Z917491:AJ917493 Z851955:AJ851957 Z786419:AJ786421 Z720883:AJ720885 Z655347:AJ655349 Z589811:AJ589813 Z524275:AJ524277 Z458739:AJ458741 Z393203:AJ393205 Z327667:AJ327669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AA8:AA48">
      <formula1>"datetime,int,numeric,varchar,nvarchar"</formula1>
    </dataValidation>
    <dataValidation type="list" allowBlank="1" showInputMessage="1" showErrorMessage="1" sqref="Y8:Z48">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dimension ref="A1:BE85"/>
  <sheetViews>
    <sheetView showGridLines="0" zoomScaleNormal="100" zoomScaleSheetLayoutView="100" workbookViewId="0">
      <pane ySplit="7" topLeftCell="A8" activePane="bottomLeft" state="frozen"/>
      <selection pane="bottomLeft" sqref="A1:H4"/>
    </sheetView>
  </sheetViews>
  <sheetFormatPr defaultColWidth="2.6328125" defaultRowHeight="14.4"/>
  <cols>
    <col min="1" max="1" width="4.6328125" style="16" customWidth="1"/>
    <col min="2" max="26" width="2.6328125" style="16"/>
    <col min="27" max="27" width="2.6328125" style="16" customWidth="1"/>
    <col min="28" max="29" width="2.6328125" style="16"/>
    <col min="30" max="30" width="4.6328125" style="16" customWidth="1"/>
    <col min="31" max="31" width="2.6328125" style="16" customWidth="1"/>
    <col min="32" max="33" width="2.6328125" style="16"/>
    <col min="34" max="34" width="6.6328125" style="16" customWidth="1"/>
    <col min="35" max="16384" width="2.6328125" style="16"/>
  </cols>
  <sheetData>
    <row r="1" spans="1:57" s="15" customForma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7" s="15" customForma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製品在庫情報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7" s="15" customForma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7" s="15" customFormat="1" ht="16.2">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t_seihin_zaiko</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7">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7">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7">
      <c r="A8" s="93">
        <f>IF(B8="","",COUNTA($B$8:B8))</f>
        <v>1</v>
      </c>
      <c r="B8" s="374" t="s">
        <v>1835</v>
      </c>
      <c r="C8" s="375"/>
      <c r="D8" s="375"/>
      <c r="E8" s="375"/>
      <c r="F8" s="375"/>
      <c r="G8" s="375"/>
      <c r="H8" s="375"/>
      <c r="I8" s="376" t="s">
        <v>1831</v>
      </c>
      <c r="J8" s="377"/>
      <c r="K8" s="377"/>
      <c r="L8" s="377"/>
      <c r="M8" s="377"/>
      <c r="N8" s="377"/>
      <c r="O8" s="377"/>
      <c r="P8" s="377"/>
      <c r="Q8" s="377"/>
      <c r="R8" s="374" t="s">
        <v>1835</v>
      </c>
      <c r="S8" s="375"/>
      <c r="T8" s="375"/>
      <c r="U8" s="375"/>
      <c r="V8" s="375"/>
      <c r="W8" s="375"/>
      <c r="X8" s="375"/>
      <c r="Y8" s="325" t="s">
        <v>141</v>
      </c>
      <c r="Z8" s="326"/>
      <c r="AA8" s="649" t="s">
        <v>1285</v>
      </c>
      <c r="AB8" s="650"/>
      <c r="AC8" s="651"/>
      <c r="AD8" s="94">
        <v>15</v>
      </c>
      <c r="AE8" s="330" t="s">
        <v>1585</v>
      </c>
      <c r="AF8" s="330" t="s">
        <v>116</v>
      </c>
      <c r="AG8" s="330" t="s">
        <v>84</v>
      </c>
      <c r="AH8" s="330"/>
      <c r="AI8" s="330"/>
      <c r="AJ8" s="330"/>
      <c r="AK8" s="330"/>
      <c r="AL8" s="330"/>
      <c r="AM8" s="330"/>
      <c r="AN8" s="330"/>
      <c r="AO8" s="95"/>
      <c r="AP8" s="95"/>
      <c r="AQ8" s="95"/>
      <c r="AR8" s="95"/>
      <c r="AS8" s="87" t="s">
        <v>1787</v>
      </c>
      <c r="AT8" s="88"/>
      <c r="AU8" s="88"/>
      <c r="AV8" s="88"/>
      <c r="AW8" s="88"/>
      <c r="AX8" s="88"/>
      <c r="AY8" s="88"/>
      <c r="AZ8" s="88"/>
      <c r="BA8" s="88"/>
      <c r="BB8" s="88"/>
      <c r="BC8" s="88"/>
      <c r="BD8" s="89"/>
      <c r="BE8" s="291" t="s">
        <v>1836</v>
      </c>
    </row>
    <row r="9" spans="1:57">
      <c r="A9" s="96" t="str">
        <f>IF(B9="","",COUNTA($B$8:B9))</f>
        <v/>
      </c>
      <c r="B9" s="97"/>
      <c r="C9" s="98"/>
      <c r="D9" s="98"/>
      <c r="E9" s="98"/>
      <c r="F9" s="98"/>
      <c r="G9" s="98"/>
      <c r="H9" s="98"/>
      <c r="I9" s="90"/>
      <c r="J9" s="99"/>
      <c r="K9" s="99"/>
      <c r="L9" s="99"/>
      <c r="M9" s="99"/>
      <c r="N9" s="99"/>
      <c r="O9" s="99"/>
      <c r="P9" s="99"/>
      <c r="Q9" s="99"/>
      <c r="R9" s="97"/>
      <c r="S9" s="98"/>
      <c r="T9" s="98"/>
      <c r="U9" s="98"/>
      <c r="V9" s="98"/>
      <c r="W9" s="98"/>
      <c r="X9" s="98"/>
      <c r="Y9" s="97"/>
      <c r="Z9" s="100"/>
      <c r="AA9" s="644"/>
      <c r="AB9" s="645"/>
      <c r="AC9" s="646"/>
      <c r="AD9" s="101"/>
      <c r="AE9" s="102"/>
      <c r="AF9" s="102"/>
      <c r="AG9" s="102"/>
      <c r="AH9" s="102"/>
      <c r="AI9" s="102"/>
      <c r="AJ9" s="102"/>
      <c r="AK9" s="102"/>
      <c r="AL9" s="102"/>
      <c r="AM9" s="102"/>
      <c r="AN9" s="102"/>
      <c r="AO9" s="103"/>
      <c r="AP9" s="103"/>
      <c r="AQ9" s="103"/>
      <c r="AR9" s="103"/>
      <c r="AS9" s="90" t="s">
        <v>1788</v>
      </c>
      <c r="AT9" s="91"/>
      <c r="AU9" s="91"/>
      <c r="AV9" s="91"/>
      <c r="AW9" s="91"/>
      <c r="AX9" s="91"/>
      <c r="AY9" s="91"/>
      <c r="AZ9" s="91"/>
      <c r="BA9" s="91"/>
      <c r="BB9" s="91"/>
      <c r="BC9" s="91"/>
      <c r="BD9" s="92"/>
    </row>
    <row r="10" spans="1:57" s="1" customFormat="1">
      <c r="A10" s="358">
        <f>IF(B10="","",COUNTA($B$8:B10))</f>
        <v>2</v>
      </c>
      <c r="B10" s="359" t="s">
        <v>1823</v>
      </c>
      <c r="C10" s="360"/>
      <c r="D10" s="360"/>
      <c r="E10" s="360"/>
      <c r="F10" s="360"/>
      <c r="G10" s="360"/>
      <c r="H10" s="360"/>
      <c r="I10" s="359" t="s">
        <v>1824</v>
      </c>
      <c r="J10" s="361"/>
      <c r="K10" s="361"/>
      <c r="L10" s="361"/>
      <c r="M10" s="361"/>
      <c r="N10" s="361"/>
      <c r="O10" s="361"/>
      <c r="P10" s="361"/>
      <c r="Q10" s="361"/>
      <c r="R10" s="359" t="s">
        <v>1825</v>
      </c>
      <c r="S10" s="360"/>
      <c r="T10" s="360"/>
      <c r="U10" s="360"/>
      <c r="V10" s="360"/>
      <c r="W10" s="360"/>
      <c r="X10" s="360"/>
      <c r="Y10" s="663" t="s">
        <v>1294</v>
      </c>
      <c r="Z10" s="664"/>
      <c r="AA10" s="660" t="s">
        <v>1295</v>
      </c>
      <c r="AB10" s="661"/>
      <c r="AC10" s="662"/>
      <c r="AD10" s="362">
        <v>3</v>
      </c>
      <c r="AE10" s="363"/>
      <c r="AF10" s="363">
        <v>2</v>
      </c>
      <c r="AG10" s="363" t="s">
        <v>84</v>
      </c>
      <c r="AH10" s="363"/>
      <c r="AI10" s="363"/>
      <c r="AJ10" s="363"/>
      <c r="AK10" s="363"/>
      <c r="AL10" s="363"/>
      <c r="AM10" s="363"/>
      <c r="AN10" s="363"/>
      <c r="AO10" s="363"/>
      <c r="AP10" s="363"/>
      <c r="AQ10" s="363"/>
      <c r="AR10" s="363"/>
      <c r="AS10" s="359" t="s">
        <v>1826</v>
      </c>
      <c r="AT10" s="364"/>
      <c r="AU10" s="364"/>
      <c r="AV10" s="364"/>
      <c r="AW10" s="364"/>
      <c r="AX10" s="364"/>
      <c r="AY10" s="364"/>
      <c r="AZ10" s="364"/>
      <c r="BA10" s="364"/>
      <c r="BB10" s="364"/>
      <c r="BC10" s="364"/>
      <c r="BD10" s="365"/>
      <c r="BE10" s="16" t="s">
        <v>1821</v>
      </c>
    </row>
    <row r="11" spans="1:57">
      <c r="A11" s="93">
        <f>IF(B11="","",COUNTA($B$8:B11))</f>
        <v>3</v>
      </c>
      <c r="B11" s="325" t="s">
        <v>1711</v>
      </c>
      <c r="C11" s="328"/>
      <c r="D11" s="328"/>
      <c r="E11" s="328"/>
      <c r="F11" s="328"/>
      <c r="G11" s="328"/>
      <c r="H11" s="328"/>
      <c r="I11" s="87" t="s">
        <v>1818</v>
      </c>
      <c r="J11" s="329"/>
      <c r="K11" s="329"/>
      <c r="L11" s="329"/>
      <c r="M11" s="329"/>
      <c r="N11" s="329"/>
      <c r="O11" s="329"/>
      <c r="P11" s="329"/>
      <c r="Q11" s="329"/>
      <c r="R11" s="325" t="s">
        <v>1711</v>
      </c>
      <c r="S11" s="328"/>
      <c r="T11" s="328"/>
      <c r="U11" s="328"/>
      <c r="V11" s="328"/>
      <c r="W11" s="328"/>
      <c r="X11" s="328"/>
      <c r="Y11" s="325" t="s">
        <v>141</v>
      </c>
      <c r="Z11" s="326"/>
      <c r="AA11" s="649" t="s">
        <v>1285</v>
      </c>
      <c r="AB11" s="650"/>
      <c r="AC11" s="651"/>
      <c r="AD11" s="94">
        <v>8</v>
      </c>
      <c r="AE11" s="330" t="s">
        <v>1585</v>
      </c>
      <c r="AF11" s="330"/>
      <c r="AG11" s="330" t="s">
        <v>84</v>
      </c>
      <c r="AH11" s="330"/>
      <c r="AI11" s="330" t="s">
        <v>1802</v>
      </c>
      <c r="AJ11" s="330"/>
      <c r="AK11" s="330"/>
      <c r="AL11" s="330"/>
      <c r="AM11" s="330"/>
      <c r="AN11" s="330"/>
      <c r="AO11" s="95"/>
      <c r="AP11" s="95"/>
      <c r="AQ11" s="95"/>
      <c r="AR11" s="95"/>
      <c r="AS11" s="87" t="s">
        <v>1787</v>
      </c>
      <c r="AT11" s="88"/>
      <c r="AU11" s="88"/>
      <c r="AV11" s="88"/>
      <c r="AW11" s="88"/>
      <c r="AX11" s="88"/>
      <c r="AY11" s="88"/>
      <c r="AZ11" s="88"/>
      <c r="BA11" s="88"/>
      <c r="BB11" s="88"/>
      <c r="BC11" s="88"/>
      <c r="BD11" s="89"/>
    </row>
    <row r="12" spans="1:57">
      <c r="A12" s="96" t="str">
        <f>IF(B12="","",COUNTA($B$8:B12))</f>
        <v/>
      </c>
      <c r="B12" s="97"/>
      <c r="C12" s="98"/>
      <c r="D12" s="98"/>
      <c r="E12" s="98"/>
      <c r="F12" s="98"/>
      <c r="G12" s="98"/>
      <c r="H12" s="98"/>
      <c r="I12" s="90"/>
      <c r="J12" s="99"/>
      <c r="K12" s="99"/>
      <c r="L12" s="99"/>
      <c r="M12" s="99"/>
      <c r="N12" s="99"/>
      <c r="O12" s="99"/>
      <c r="P12" s="99"/>
      <c r="Q12" s="99"/>
      <c r="R12" s="97"/>
      <c r="S12" s="98"/>
      <c r="T12" s="98"/>
      <c r="U12" s="98"/>
      <c r="V12" s="98"/>
      <c r="W12" s="98"/>
      <c r="X12" s="98"/>
      <c r="Y12" s="97"/>
      <c r="Z12" s="100"/>
      <c r="AA12" s="644"/>
      <c r="AB12" s="645"/>
      <c r="AC12" s="646"/>
      <c r="AD12" s="101"/>
      <c r="AE12" s="102"/>
      <c r="AF12" s="102"/>
      <c r="AG12" s="102"/>
      <c r="AH12" s="102"/>
      <c r="AI12" s="102"/>
      <c r="AJ12" s="102"/>
      <c r="AK12" s="102"/>
      <c r="AL12" s="102"/>
      <c r="AM12" s="102"/>
      <c r="AN12" s="102"/>
      <c r="AO12" s="103"/>
      <c r="AP12" s="103"/>
      <c r="AQ12" s="103"/>
      <c r="AR12" s="103"/>
      <c r="AS12" s="90" t="s">
        <v>1789</v>
      </c>
      <c r="AT12" s="91"/>
      <c r="AU12" s="91"/>
      <c r="AV12" s="91"/>
      <c r="AW12" s="91"/>
      <c r="AX12" s="91"/>
      <c r="AY12" s="91"/>
      <c r="AZ12" s="91"/>
      <c r="BA12" s="91"/>
      <c r="BB12" s="91"/>
      <c r="BC12" s="91"/>
      <c r="BD12" s="92"/>
    </row>
    <row r="13" spans="1:57">
      <c r="A13" s="37">
        <f>IF(B13="","",COUNTA($B$8:B13))</f>
        <v>4</v>
      </c>
      <c r="B13" s="35" t="s">
        <v>1792</v>
      </c>
      <c r="C13" s="34"/>
      <c r="D13" s="34"/>
      <c r="E13" s="34"/>
      <c r="F13" s="34"/>
      <c r="G13" s="34"/>
      <c r="H13" s="34"/>
      <c r="I13" s="35" t="s">
        <v>1793</v>
      </c>
      <c r="J13" s="27"/>
      <c r="K13" s="27"/>
      <c r="L13" s="27"/>
      <c r="M13" s="27"/>
      <c r="N13" s="27"/>
      <c r="O13" s="27"/>
      <c r="P13" s="27"/>
      <c r="Q13" s="27"/>
      <c r="R13" s="35" t="s">
        <v>1792</v>
      </c>
      <c r="S13" s="34"/>
      <c r="T13" s="34"/>
      <c r="U13" s="34"/>
      <c r="V13" s="34"/>
      <c r="W13" s="34"/>
      <c r="X13" s="34"/>
      <c r="Y13" s="589" t="s">
        <v>141</v>
      </c>
      <c r="Z13" s="590"/>
      <c r="AA13" s="591" t="s">
        <v>1285</v>
      </c>
      <c r="AB13" s="592"/>
      <c r="AC13" s="593"/>
      <c r="AD13" s="53">
        <v>50</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7">
      <c r="A14" s="37">
        <f>IF(B14="","",COUNTA($B$8:B14))</f>
        <v>5</v>
      </c>
      <c r="B14" s="35" t="s">
        <v>1786</v>
      </c>
      <c r="C14" s="34"/>
      <c r="D14" s="34"/>
      <c r="E14" s="34"/>
      <c r="F14" s="34"/>
      <c r="G14" s="34"/>
      <c r="H14" s="34"/>
      <c r="I14" s="35" t="s">
        <v>1794</v>
      </c>
      <c r="J14" s="27"/>
      <c r="K14" s="27"/>
      <c r="L14" s="27"/>
      <c r="M14" s="27"/>
      <c r="N14" s="27"/>
      <c r="O14" s="27"/>
      <c r="P14" s="27"/>
      <c r="Q14" s="27"/>
      <c r="R14" s="35" t="s">
        <v>1786</v>
      </c>
      <c r="S14" s="34"/>
      <c r="T14" s="34"/>
      <c r="U14" s="34"/>
      <c r="V14" s="34"/>
      <c r="W14" s="34"/>
      <c r="X14" s="34"/>
      <c r="Y14" s="589" t="s">
        <v>141</v>
      </c>
      <c r="Z14" s="636"/>
      <c r="AA14" s="591" t="s">
        <v>1285</v>
      </c>
      <c r="AB14" s="592"/>
      <c r="AC14" s="593"/>
      <c r="AD14" s="371">
        <v>30</v>
      </c>
      <c r="AE14" s="25"/>
      <c r="AF14" s="25"/>
      <c r="AG14" s="25"/>
      <c r="AH14" s="25"/>
      <c r="AI14" s="25"/>
      <c r="AJ14" s="25">
        <v>1</v>
      </c>
      <c r="AK14" s="25"/>
      <c r="AL14" s="25"/>
      <c r="AM14" s="25"/>
      <c r="AN14" s="25"/>
      <c r="AO14" s="25"/>
      <c r="AP14" s="25"/>
      <c r="AQ14" s="25"/>
      <c r="AR14" s="25"/>
      <c r="AS14" s="347" t="s">
        <v>1837</v>
      </c>
      <c r="AT14" s="372"/>
      <c r="AU14" s="372"/>
      <c r="AV14" s="372"/>
      <c r="AW14" s="372"/>
      <c r="AX14" s="372"/>
      <c r="AY14" s="372"/>
      <c r="AZ14" s="372"/>
      <c r="BA14" s="372"/>
      <c r="BB14" s="372"/>
      <c r="BC14" s="372"/>
      <c r="BD14" s="373"/>
      <c r="BE14" s="16" t="s">
        <v>1836</v>
      </c>
    </row>
    <row r="15" spans="1:57">
      <c r="A15" s="37">
        <f>IF(B15="","",COUNTA($B$8:B15))</f>
        <v>6</v>
      </c>
      <c r="B15" s="35" t="s">
        <v>1805</v>
      </c>
      <c r="C15" s="34"/>
      <c r="D15" s="34"/>
      <c r="E15" s="34"/>
      <c r="F15" s="34"/>
      <c r="G15" s="34"/>
      <c r="H15" s="34"/>
      <c r="I15" s="35" t="s">
        <v>1806</v>
      </c>
      <c r="J15" s="27"/>
      <c r="K15" s="27"/>
      <c r="L15" s="27"/>
      <c r="M15" s="27"/>
      <c r="N15" s="27"/>
      <c r="O15" s="27"/>
      <c r="P15" s="27"/>
      <c r="Q15" s="27"/>
      <c r="R15" s="35" t="s">
        <v>1805</v>
      </c>
      <c r="S15" s="34"/>
      <c r="T15" s="34"/>
      <c r="U15" s="34"/>
      <c r="V15" s="34"/>
      <c r="W15" s="34"/>
      <c r="X15" s="34"/>
      <c r="Y15" s="589" t="s">
        <v>141</v>
      </c>
      <c r="Z15" s="636"/>
      <c r="AA15" s="591" t="s">
        <v>1285</v>
      </c>
      <c r="AB15" s="592"/>
      <c r="AC15" s="593"/>
      <c r="AD15" s="53">
        <v>6</v>
      </c>
      <c r="AE15" s="25"/>
      <c r="AF15" s="25"/>
      <c r="AG15" s="25"/>
      <c r="AH15" s="25"/>
      <c r="AI15" s="25"/>
      <c r="AJ15" s="25">
        <v>2</v>
      </c>
      <c r="AK15" s="25"/>
      <c r="AL15" s="25"/>
      <c r="AM15" s="25"/>
      <c r="AN15" s="25"/>
      <c r="AO15" s="25"/>
      <c r="AP15" s="25"/>
      <c r="AQ15" s="25"/>
      <c r="AR15" s="25"/>
      <c r="AS15" s="35" t="s">
        <v>1807</v>
      </c>
      <c r="AT15" s="36"/>
      <c r="AU15" s="36"/>
      <c r="AV15" s="36"/>
      <c r="AW15" s="36"/>
      <c r="AX15" s="36"/>
      <c r="AY15" s="36"/>
      <c r="AZ15" s="36"/>
      <c r="BA15" s="36"/>
      <c r="BB15" s="36"/>
      <c r="BC15" s="36"/>
      <c r="BD15" s="50"/>
    </row>
    <row r="16" spans="1:57" s="1" customFormat="1">
      <c r="A16" s="37">
        <f>IF(B16="","",COUNTA($B$8:B16))</f>
        <v>7</v>
      </c>
      <c r="B16" s="6" t="s">
        <v>383</v>
      </c>
      <c r="C16" s="207"/>
      <c r="D16" s="207"/>
      <c r="E16" s="207"/>
      <c r="F16" s="207"/>
      <c r="G16" s="207"/>
      <c r="H16" s="331"/>
      <c r="I16" s="332" t="s">
        <v>1406</v>
      </c>
      <c r="J16" s="209"/>
      <c r="K16" s="209"/>
      <c r="L16" s="209"/>
      <c r="M16" s="209"/>
      <c r="N16" s="209"/>
      <c r="O16" s="209"/>
      <c r="P16" s="209"/>
      <c r="Q16" s="333"/>
      <c r="R16" s="6" t="s">
        <v>383</v>
      </c>
      <c r="S16" s="209"/>
      <c r="T16" s="209"/>
      <c r="U16" s="209"/>
      <c r="V16" s="209"/>
      <c r="W16" s="209"/>
      <c r="X16" s="331"/>
      <c r="Y16" s="665" t="s">
        <v>141</v>
      </c>
      <c r="Z16" s="666"/>
      <c r="AA16" s="667" t="s">
        <v>1285</v>
      </c>
      <c r="AB16" s="668"/>
      <c r="AC16" s="669"/>
      <c r="AD16" s="334">
        <v>4</v>
      </c>
      <c r="AE16" s="335"/>
      <c r="AF16" s="335"/>
      <c r="AG16" s="335"/>
      <c r="AH16" s="336"/>
      <c r="AI16" s="336"/>
      <c r="AJ16" s="336" t="s">
        <v>1811</v>
      </c>
      <c r="AK16" s="336"/>
      <c r="AL16" s="336"/>
      <c r="AM16" s="336"/>
      <c r="AN16" s="336"/>
      <c r="AO16" s="335"/>
      <c r="AP16" s="335"/>
      <c r="AQ16" s="335"/>
      <c r="AR16" s="335"/>
      <c r="AS16" s="275"/>
      <c r="AT16" s="217"/>
      <c r="AU16" s="217"/>
      <c r="AV16" s="217"/>
      <c r="AW16" s="217"/>
      <c r="AX16" s="217"/>
      <c r="AY16" s="217"/>
      <c r="AZ16" s="217"/>
      <c r="BA16" s="217"/>
      <c r="BB16" s="217"/>
      <c r="BC16" s="217"/>
      <c r="BD16" s="337"/>
    </row>
    <row r="17" spans="1:57" s="1" customFormat="1">
      <c r="A17" s="37">
        <f>IF(B17="","",COUNTA($B$8:B17))</f>
        <v>8</v>
      </c>
      <c r="B17" s="6" t="s">
        <v>1803</v>
      </c>
      <c r="C17" s="207"/>
      <c r="D17" s="207"/>
      <c r="E17" s="207"/>
      <c r="F17" s="207"/>
      <c r="G17" s="207"/>
      <c r="H17" s="331"/>
      <c r="I17" s="332" t="s">
        <v>1804</v>
      </c>
      <c r="J17" s="209"/>
      <c r="K17" s="209"/>
      <c r="L17" s="209"/>
      <c r="M17" s="209"/>
      <c r="N17" s="209"/>
      <c r="O17" s="209"/>
      <c r="P17" s="209"/>
      <c r="Q17" s="333"/>
      <c r="R17" s="6" t="s">
        <v>1803</v>
      </c>
      <c r="S17" s="209"/>
      <c r="T17" s="209"/>
      <c r="U17" s="209"/>
      <c r="V17" s="209"/>
      <c r="W17" s="209"/>
      <c r="X17" s="331"/>
      <c r="Y17" s="665" t="s">
        <v>141</v>
      </c>
      <c r="Z17" s="666"/>
      <c r="AA17" s="667" t="s">
        <v>1285</v>
      </c>
      <c r="AB17" s="668"/>
      <c r="AC17" s="669"/>
      <c r="AD17" s="334">
        <v>4</v>
      </c>
      <c r="AE17" s="335"/>
      <c r="AF17" s="335"/>
      <c r="AG17" s="335"/>
      <c r="AH17" s="336"/>
      <c r="AI17" s="336"/>
      <c r="AJ17" s="336"/>
      <c r="AK17" s="336"/>
      <c r="AL17" s="336"/>
      <c r="AM17" s="336"/>
      <c r="AN17" s="336"/>
      <c r="AO17" s="335"/>
      <c r="AP17" s="335"/>
      <c r="AQ17" s="335"/>
      <c r="AR17" s="335"/>
      <c r="AS17" s="6"/>
      <c r="AT17" s="217"/>
      <c r="AU17" s="217"/>
      <c r="AV17" s="217"/>
      <c r="AW17" s="217"/>
      <c r="AX17" s="217"/>
      <c r="AY17" s="217"/>
      <c r="AZ17" s="217"/>
      <c r="BA17" s="217"/>
      <c r="BB17" s="217"/>
      <c r="BC17" s="217"/>
      <c r="BD17" s="337"/>
    </row>
    <row r="18" spans="1:57">
      <c r="A18" s="37">
        <f>IF(B18="","",COUNTA($B$8:B18))</f>
        <v>9</v>
      </c>
      <c r="B18" s="35" t="s">
        <v>1795</v>
      </c>
      <c r="C18" s="34"/>
      <c r="D18" s="34"/>
      <c r="E18" s="34"/>
      <c r="F18" s="34"/>
      <c r="G18" s="34"/>
      <c r="H18" s="34"/>
      <c r="I18" s="35" t="s">
        <v>1796</v>
      </c>
      <c r="J18" s="27"/>
      <c r="K18" s="27"/>
      <c r="L18" s="27"/>
      <c r="M18" s="27"/>
      <c r="N18" s="27"/>
      <c r="O18" s="27"/>
      <c r="P18" s="27"/>
      <c r="Q18" s="27"/>
      <c r="R18" s="35" t="s">
        <v>1795</v>
      </c>
      <c r="S18" s="34"/>
      <c r="T18" s="34"/>
      <c r="U18" s="34"/>
      <c r="V18" s="34"/>
      <c r="W18" s="34"/>
      <c r="X18" s="34"/>
      <c r="Y18" s="589" t="s">
        <v>141</v>
      </c>
      <c r="Z18" s="636"/>
      <c r="AA18" s="591" t="s">
        <v>1285</v>
      </c>
      <c r="AB18" s="592"/>
      <c r="AC18" s="593"/>
      <c r="AD18" s="53">
        <v>30</v>
      </c>
      <c r="AE18" s="25"/>
      <c r="AF18" s="25"/>
      <c r="AG18" s="25"/>
      <c r="AH18" s="25"/>
      <c r="AI18" s="25"/>
      <c r="AJ18" s="25"/>
      <c r="AK18" s="25"/>
      <c r="AL18" s="25"/>
      <c r="AM18" s="25"/>
      <c r="AN18" s="25"/>
      <c r="AO18" s="25"/>
      <c r="AP18" s="25"/>
      <c r="AQ18" s="25"/>
      <c r="AR18" s="25"/>
      <c r="AS18" s="35" t="s">
        <v>1797</v>
      </c>
      <c r="AT18" s="36"/>
      <c r="AU18" s="36"/>
      <c r="AV18" s="36"/>
      <c r="AW18" s="36"/>
      <c r="AX18" s="36"/>
      <c r="AY18" s="36"/>
      <c r="AZ18" s="36"/>
      <c r="BA18" s="36"/>
      <c r="BB18" s="36"/>
      <c r="BC18" s="36"/>
      <c r="BD18" s="50"/>
    </row>
    <row r="19" spans="1:57">
      <c r="A19" s="37">
        <f>IF(B19="","",COUNTA($B$8:B19))</f>
        <v>10</v>
      </c>
      <c r="B19" s="26" t="s">
        <v>1798</v>
      </c>
      <c r="C19" s="34"/>
      <c r="D19" s="34"/>
      <c r="E19" s="34"/>
      <c r="F19" s="34"/>
      <c r="G19" s="34"/>
      <c r="H19" s="34"/>
      <c r="I19" s="202" t="s">
        <v>1799</v>
      </c>
      <c r="J19" s="27"/>
      <c r="K19" s="27"/>
      <c r="L19" s="27"/>
      <c r="M19" s="27"/>
      <c r="N19" s="27"/>
      <c r="O19" s="27"/>
      <c r="P19" s="27"/>
      <c r="Q19" s="27"/>
      <c r="R19" s="26" t="s">
        <v>1798</v>
      </c>
      <c r="S19" s="34"/>
      <c r="T19" s="34"/>
      <c r="U19" s="34"/>
      <c r="V19" s="34"/>
      <c r="W19" s="34"/>
      <c r="X19" s="34"/>
      <c r="Y19" s="589" t="s">
        <v>111</v>
      </c>
      <c r="Z19" s="590"/>
      <c r="AA19" s="591" t="s">
        <v>106</v>
      </c>
      <c r="AB19" s="592"/>
      <c r="AC19" s="593"/>
      <c r="AD19" s="53">
        <v>2</v>
      </c>
      <c r="AE19" s="25"/>
      <c r="AF19" s="25"/>
      <c r="AG19" s="25"/>
      <c r="AH19" s="25"/>
      <c r="AI19" s="25"/>
      <c r="AJ19" s="25"/>
      <c r="AK19" s="25"/>
      <c r="AL19" s="25"/>
      <c r="AM19" s="25"/>
      <c r="AN19" s="25"/>
      <c r="AO19" s="25"/>
      <c r="AP19" s="25"/>
      <c r="AQ19" s="25"/>
      <c r="AR19" s="25"/>
      <c r="AS19" s="35" t="s">
        <v>1800</v>
      </c>
      <c r="AT19" s="36"/>
      <c r="AU19" s="36"/>
      <c r="AV19" s="36"/>
      <c r="AW19" s="36"/>
      <c r="AX19" s="36"/>
      <c r="AY19" s="36"/>
      <c r="AZ19" s="36"/>
      <c r="BA19" s="36"/>
      <c r="BB19" s="36"/>
      <c r="BC19" s="36"/>
      <c r="BD19" s="50"/>
    </row>
    <row r="20" spans="1:57">
      <c r="A20" s="37">
        <f>IF(B20="","",COUNTA($B$8:B20))</f>
        <v>11</v>
      </c>
      <c r="B20" s="35" t="s">
        <v>1344</v>
      </c>
      <c r="C20" s="34"/>
      <c r="D20" s="34"/>
      <c r="E20" s="34"/>
      <c r="F20" s="34"/>
      <c r="G20" s="34"/>
      <c r="H20" s="34"/>
      <c r="I20" s="35" t="s">
        <v>1444</v>
      </c>
      <c r="J20" s="27"/>
      <c r="K20" s="27"/>
      <c r="L20" s="27"/>
      <c r="M20" s="27"/>
      <c r="N20" s="27"/>
      <c r="O20" s="27"/>
      <c r="P20" s="27"/>
      <c r="Q20" s="27"/>
      <c r="R20" s="35" t="s">
        <v>1344</v>
      </c>
      <c r="S20" s="34"/>
      <c r="T20" s="34"/>
      <c r="U20" s="34"/>
      <c r="V20" s="34"/>
      <c r="W20" s="34"/>
      <c r="X20" s="34"/>
      <c r="Y20" s="589" t="s">
        <v>141</v>
      </c>
      <c r="Z20" s="636"/>
      <c r="AA20" s="591" t="s">
        <v>1285</v>
      </c>
      <c r="AB20" s="592"/>
      <c r="AC20" s="593"/>
      <c r="AD20" s="53">
        <v>30</v>
      </c>
      <c r="AE20" s="25"/>
      <c r="AF20" s="25"/>
      <c r="AG20" s="25"/>
      <c r="AH20" s="25"/>
      <c r="AI20" s="25"/>
      <c r="AJ20" s="25"/>
      <c r="AK20" s="25"/>
      <c r="AL20" s="25"/>
      <c r="AM20" s="25"/>
      <c r="AN20" s="25"/>
      <c r="AO20" s="25"/>
      <c r="AP20" s="25"/>
      <c r="AQ20" s="25"/>
      <c r="AR20" s="25"/>
      <c r="AS20" s="35" t="s">
        <v>1280</v>
      </c>
      <c r="AT20" s="36"/>
      <c r="AU20" s="36"/>
      <c r="AV20" s="36"/>
      <c r="AW20" s="36"/>
      <c r="AX20" s="36"/>
      <c r="AY20" s="36"/>
      <c r="AZ20" s="36"/>
      <c r="BA20" s="36"/>
      <c r="BB20" s="36"/>
      <c r="BC20" s="36"/>
      <c r="BD20" s="50"/>
    </row>
    <row r="21" spans="1:57">
      <c r="A21" s="206">
        <f>IF(B21="","",COUNTA($B$8:B21))</f>
        <v>12</v>
      </c>
      <c r="B21" s="344" t="s">
        <v>456</v>
      </c>
      <c r="C21" s="345"/>
      <c r="D21" s="345"/>
      <c r="E21" s="345"/>
      <c r="F21" s="345"/>
      <c r="G21" s="345"/>
      <c r="H21" s="346"/>
      <c r="I21" s="347" t="s">
        <v>1817</v>
      </c>
      <c r="J21" s="348"/>
      <c r="K21" s="348"/>
      <c r="L21" s="348"/>
      <c r="M21" s="348"/>
      <c r="N21" s="348"/>
      <c r="O21" s="349"/>
      <c r="P21" s="348"/>
      <c r="Q21" s="346"/>
      <c r="R21" s="344" t="s">
        <v>456</v>
      </c>
      <c r="S21" s="348"/>
      <c r="T21" s="348"/>
      <c r="U21" s="348"/>
      <c r="V21" s="348"/>
      <c r="W21" s="348"/>
      <c r="X21" s="346"/>
      <c r="Y21" s="655" t="s">
        <v>141</v>
      </c>
      <c r="Z21" s="656"/>
      <c r="AA21" s="657" t="s">
        <v>1285</v>
      </c>
      <c r="AB21" s="658"/>
      <c r="AC21" s="659"/>
      <c r="AD21" s="350">
        <v>5</v>
      </c>
      <c r="AE21" s="351"/>
      <c r="AF21" s="351"/>
      <c r="AG21" s="351"/>
      <c r="AH21" s="352"/>
      <c r="AI21" s="352"/>
      <c r="AJ21" s="352"/>
      <c r="AK21" s="352"/>
      <c r="AL21" s="352"/>
      <c r="AM21" s="352"/>
      <c r="AN21" s="352"/>
      <c r="AO21" s="351"/>
      <c r="AP21" s="351"/>
      <c r="AQ21" s="351"/>
      <c r="AR21" s="351"/>
      <c r="AS21" s="347"/>
      <c r="AT21" s="353"/>
      <c r="AU21" s="353"/>
      <c r="AV21" s="353"/>
      <c r="AW21" s="353"/>
      <c r="AX21" s="353"/>
      <c r="AY21" s="353"/>
      <c r="AZ21" s="353"/>
      <c r="BA21" s="353"/>
      <c r="BB21" s="353"/>
      <c r="BC21" s="353"/>
      <c r="BD21" s="354"/>
      <c r="BE21" s="16" t="s">
        <v>1821</v>
      </c>
    </row>
    <row r="22" spans="1:57">
      <c r="A22" s="37">
        <f>IF(B22="","",COUNTA($B$8:B22))</f>
        <v>13</v>
      </c>
      <c r="B22" s="35" t="s">
        <v>567</v>
      </c>
      <c r="C22" s="34"/>
      <c r="D22" s="34"/>
      <c r="E22" s="34"/>
      <c r="F22" s="34"/>
      <c r="G22" s="34"/>
      <c r="H22" s="34"/>
      <c r="I22" s="35" t="s">
        <v>568</v>
      </c>
      <c r="J22" s="27"/>
      <c r="K22" s="27"/>
      <c r="L22" s="27"/>
      <c r="M22" s="27"/>
      <c r="N22" s="27"/>
      <c r="O22" s="27"/>
      <c r="P22" s="27"/>
      <c r="Q22" s="27"/>
      <c r="R22" s="35" t="s">
        <v>567</v>
      </c>
      <c r="S22" s="34"/>
      <c r="T22" s="34"/>
      <c r="U22" s="34"/>
      <c r="V22" s="34"/>
      <c r="W22" s="34"/>
      <c r="X22" s="34"/>
      <c r="Y22" s="589" t="s">
        <v>141</v>
      </c>
      <c r="Z22" s="636"/>
      <c r="AA22" s="591" t="s">
        <v>1285</v>
      </c>
      <c r="AB22" s="592"/>
      <c r="AC22" s="593"/>
      <c r="AD22" s="53">
        <v>20</v>
      </c>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7">
      <c r="A23" s="37">
        <f>IF(B23="","",COUNTA($B$8:B23))</f>
        <v>14</v>
      </c>
      <c r="B23" s="35" t="s">
        <v>1515</v>
      </c>
      <c r="C23" s="34"/>
      <c r="D23" s="34"/>
      <c r="E23" s="34"/>
      <c r="F23" s="34"/>
      <c r="G23" s="34"/>
      <c r="H23" s="34"/>
      <c r="I23" s="35" t="s">
        <v>657</v>
      </c>
      <c r="J23" s="27"/>
      <c r="K23" s="27"/>
      <c r="L23" s="27"/>
      <c r="M23" s="27"/>
      <c r="N23" s="27"/>
      <c r="O23" s="27"/>
      <c r="P23" s="27"/>
      <c r="Q23" s="27"/>
      <c r="R23" s="35" t="s">
        <v>1515</v>
      </c>
      <c r="S23" s="34"/>
      <c r="T23" s="34"/>
      <c r="U23" s="34"/>
      <c r="V23" s="34"/>
      <c r="W23" s="34"/>
      <c r="X23" s="34"/>
      <c r="Y23" s="589" t="s">
        <v>141</v>
      </c>
      <c r="Z23" s="636"/>
      <c r="AA23" s="591" t="s">
        <v>1285</v>
      </c>
      <c r="AB23" s="592"/>
      <c r="AC23" s="593"/>
      <c r="AD23" s="53">
        <v>30</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7">
      <c r="A24" s="37">
        <f>IF(B24="","",COUNTA($B$8:B24))</f>
        <v>15</v>
      </c>
      <c r="B24" s="35" t="s">
        <v>533</v>
      </c>
      <c r="C24" s="34"/>
      <c r="D24" s="34"/>
      <c r="E24" s="34"/>
      <c r="F24" s="34"/>
      <c r="G24" s="34"/>
      <c r="H24" s="34"/>
      <c r="I24" s="35" t="s">
        <v>534</v>
      </c>
      <c r="J24" s="27"/>
      <c r="K24" s="27"/>
      <c r="L24" s="27"/>
      <c r="M24" s="27"/>
      <c r="N24" s="27"/>
      <c r="O24" s="27"/>
      <c r="P24" s="27"/>
      <c r="Q24" s="27"/>
      <c r="R24" s="35" t="s">
        <v>533</v>
      </c>
      <c r="S24" s="34"/>
      <c r="T24" s="34"/>
      <c r="U24" s="34"/>
      <c r="V24" s="34"/>
      <c r="W24" s="34"/>
      <c r="X24" s="34"/>
      <c r="Y24" s="589" t="s">
        <v>1294</v>
      </c>
      <c r="Z24" s="590"/>
      <c r="AA24" s="591" t="s">
        <v>1295</v>
      </c>
      <c r="AB24" s="592"/>
      <c r="AC24" s="593"/>
      <c r="AD24" s="53">
        <v>5</v>
      </c>
      <c r="AE24" s="25">
        <v>2</v>
      </c>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7">
      <c r="A25" s="37">
        <f>IF(B25="","",COUNTA($B$8:B25))</f>
        <v>16</v>
      </c>
      <c r="B25" s="35" t="s">
        <v>583</v>
      </c>
      <c r="C25" s="34"/>
      <c r="D25" s="34"/>
      <c r="E25" s="34"/>
      <c r="F25" s="34"/>
      <c r="G25" s="34"/>
      <c r="H25" s="34"/>
      <c r="I25" s="35" t="s">
        <v>584</v>
      </c>
      <c r="J25" s="27"/>
      <c r="K25" s="27"/>
      <c r="L25" s="27"/>
      <c r="M25" s="27"/>
      <c r="N25" s="27"/>
      <c r="O25" s="27"/>
      <c r="P25" s="27"/>
      <c r="Q25" s="27"/>
      <c r="R25" s="35" t="s">
        <v>583</v>
      </c>
      <c r="S25" s="34"/>
      <c r="T25" s="34"/>
      <c r="U25" s="34"/>
      <c r="V25" s="34"/>
      <c r="W25" s="34"/>
      <c r="X25" s="34"/>
      <c r="Y25" s="589" t="s">
        <v>1294</v>
      </c>
      <c r="Z25" s="590"/>
      <c r="AA25" s="591" t="s">
        <v>1295</v>
      </c>
      <c r="AB25" s="592"/>
      <c r="AC25" s="593"/>
      <c r="AD25" s="53">
        <v>4</v>
      </c>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7">
      <c r="A26" s="37">
        <f>IF(B26="","",COUNTA($B$8:B26))</f>
        <v>17</v>
      </c>
      <c r="B26" s="35" t="s">
        <v>525</v>
      </c>
      <c r="C26" s="34"/>
      <c r="D26" s="34"/>
      <c r="E26" s="34"/>
      <c r="F26" s="34"/>
      <c r="G26" s="34"/>
      <c r="H26" s="34"/>
      <c r="I26" s="35" t="s">
        <v>526</v>
      </c>
      <c r="J26" s="27"/>
      <c r="K26" s="27"/>
      <c r="L26" s="27"/>
      <c r="M26" s="27"/>
      <c r="N26" s="27"/>
      <c r="O26" s="27"/>
      <c r="P26" s="27"/>
      <c r="Q26" s="27"/>
      <c r="R26" s="35" t="s">
        <v>525</v>
      </c>
      <c r="S26" s="34"/>
      <c r="T26" s="34"/>
      <c r="U26" s="34"/>
      <c r="V26" s="34"/>
      <c r="W26" s="34"/>
      <c r="X26" s="34"/>
      <c r="Y26" s="589" t="s">
        <v>1294</v>
      </c>
      <c r="Z26" s="590"/>
      <c r="AA26" s="591" t="s">
        <v>1295</v>
      </c>
      <c r="AB26" s="592"/>
      <c r="AC26" s="593"/>
      <c r="AD26" s="53">
        <v>5</v>
      </c>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7">
      <c r="A27" s="37">
        <f>IF(B27="","",COUNTA($B$8:B27))</f>
        <v>18</v>
      </c>
      <c r="B27" s="35" t="s">
        <v>1521</v>
      </c>
      <c r="C27" s="34"/>
      <c r="D27" s="34"/>
      <c r="E27" s="34"/>
      <c r="F27" s="34"/>
      <c r="G27" s="34"/>
      <c r="H27" s="34"/>
      <c r="I27" s="35" t="s">
        <v>1102</v>
      </c>
      <c r="J27" s="27"/>
      <c r="K27" s="27"/>
      <c r="L27" s="27"/>
      <c r="M27" s="27"/>
      <c r="N27" s="27"/>
      <c r="O27" s="27"/>
      <c r="P27" s="27"/>
      <c r="Q27" s="27"/>
      <c r="R27" s="35" t="s">
        <v>1521</v>
      </c>
      <c r="S27" s="34"/>
      <c r="T27" s="34"/>
      <c r="U27" s="34"/>
      <c r="V27" s="34"/>
      <c r="W27" s="34"/>
      <c r="X27" s="34"/>
      <c r="Y27" s="589" t="s">
        <v>1294</v>
      </c>
      <c r="Z27" s="590"/>
      <c r="AA27" s="591" t="s">
        <v>1295</v>
      </c>
      <c r="AB27" s="592"/>
      <c r="AC27" s="593"/>
      <c r="AD27" s="53">
        <v>7</v>
      </c>
      <c r="AE27" s="25">
        <v>2</v>
      </c>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7">
      <c r="A28" s="37">
        <f>IF(B28="","",COUNTA($B$8:B28))</f>
        <v>19</v>
      </c>
      <c r="B28" s="17" t="s">
        <v>1336</v>
      </c>
      <c r="C28" s="18"/>
      <c r="D28" s="18"/>
      <c r="E28" s="18"/>
      <c r="F28" s="18"/>
      <c r="G28" s="18"/>
      <c r="H28" s="18"/>
      <c r="I28" s="19" t="s">
        <v>1847</v>
      </c>
      <c r="J28" s="20"/>
      <c r="K28" s="20"/>
      <c r="L28" s="20"/>
      <c r="M28" s="20"/>
      <c r="N28" s="20"/>
      <c r="O28" s="20"/>
      <c r="P28" s="20"/>
      <c r="Q28" s="20"/>
      <c r="R28" s="17" t="s">
        <v>1524</v>
      </c>
      <c r="S28" s="18"/>
      <c r="T28" s="18"/>
      <c r="U28" s="18"/>
      <c r="V28" s="18"/>
      <c r="W28" s="18"/>
      <c r="X28" s="18"/>
      <c r="Y28" s="589" t="s">
        <v>1294</v>
      </c>
      <c r="Z28" s="590"/>
      <c r="AA28" s="591" t="s">
        <v>1295</v>
      </c>
      <c r="AB28" s="592"/>
      <c r="AC28" s="593"/>
      <c r="AD28" s="53">
        <v>5</v>
      </c>
      <c r="AE28" s="30" t="s">
        <v>1585</v>
      </c>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7">
      <c r="A29" s="37">
        <f>IF(B29="","",COUNTA($B$8:B29))</f>
        <v>20</v>
      </c>
      <c r="B29" s="35" t="s">
        <v>505</v>
      </c>
      <c r="C29" s="34"/>
      <c r="D29" s="34"/>
      <c r="E29" s="34"/>
      <c r="F29" s="34"/>
      <c r="G29" s="34"/>
      <c r="H29" s="34"/>
      <c r="I29" s="35" t="s">
        <v>506</v>
      </c>
      <c r="J29" s="27"/>
      <c r="K29" s="27"/>
      <c r="L29" s="27"/>
      <c r="M29" s="27"/>
      <c r="N29" s="27"/>
      <c r="O29" s="27"/>
      <c r="P29" s="27"/>
      <c r="Q29" s="27"/>
      <c r="R29" s="35" t="s">
        <v>505</v>
      </c>
      <c r="S29" s="34"/>
      <c r="T29" s="34"/>
      <c r="U29" s="34"/>
      <c r="V29" s="34"/>
      <c r="W29" s="34"/>
      <c r="X29" s="34"/>
      <c r="Y29" s="589" t="s">
        <v>141</v>
      </c>
      <c r="Z29" s="590"/>
      <c r="AA29" s="591" t="s">
        <v>1285</v>
      </c>
      <c r="AB29" s="592"/>
      <c r="AC29" s="593"/>
      <c r="AD29" s="53">
        <v>4</v>
      </c>
      <c r="AE29" s="25"/>
      <c r="AF29" s="25"/>
      <c r="AG29" s="25"/>
      <c r="AH29" s="25"/>
      <c r="AI29" s="25"/>
      <c r="AJ29" s="25"/>
      <c r="AK29" s="25"/>
      <c r="AL29" s="25"/>
      <c r="AM29" s="25"/>
      <c r="AN29" s="25"/>
      <c r="AO29" s="25"/>
      <c r="AP29" s="25"/>
      <c r="AQ29" s="25"/>
      <c r="AR29" s="25"/>
      <c r="AS29" s="35"/>
      <c r="AT29" s="36"/>
      <c r="AU29" s="36"/>
      <c r="AV29" s="36"/>
      <c r="AW29" s="36"/>
      <c r="AX29" s="36"/>
      <c r="AY29" s="36"/>
      <c r="AZ29" s="36"/>
      <c r="BA29" s="36"/>
      <c r="BB29" s="36"/>
      <c r="BC29" s="36"/>
      <c r="BD29" s="50"/>
    </row>
    <row r="30" spans="1:57">
      <c r="A30" s="93">
        <f>IF(B30="","",COUNTA($B$8:B30))</f>
        <v>21</v>
      </c>
      <c r="B30" s="87" t="s">
        <v>127</v>
      </c>
      <c r="C30" s="181"/>
      <c r="D30" s="181"/>
      <c r="E30" s="181"/>
      <c r="F30" s="181"/>
      <c r="G30" s="181"/>
      <c r="H30" s="181"/>
      <c r="I30" s="87" t="s">
        <v>709</v>
      </c>
      <c r="J30" s="182"/>
      <c r="K30" s="182"/>
      <c r="L30" s="182"/>
      <c r="M30" s="182"/>
      <c r="N30" s="182"/>
      <c r="O30" s="182"/>
      <c r="P30" s="182"/>
      <c r="Q30" s="182"/>
      <c r="R30" s="87" t="s">
        <v>127</v>
      </c>
      <c r="S30" s="181"/>
      <c r="T30" s="181"/>
      <c r="U30" s="181"/>
      <c r="V30" s="181"/>
      <c r="W30" s="181"/>
      <c r="X30" s="181"/>
      <c r="Y30" s="647" t="s">
        <v>1294</v>
      </c>
      <c r="Z30" s="648"/>
      <c r="AA30" s="649" t="s">
        <v>1295</v>
      </c>
      <c r="AB30" s="650"/>
      <c r="AC30" s="651"/>
      <c r="AD30" s="94">
        <v>7</v>
      </c>
      <c r="AE30" s="95">
        <v>2</v>
      </c>
      <c r="AF30" s="95"/>
      <c r="AG30" s="95"/>
      <c r="AH30" s="95"/>
      <c r="AI30" s="95"/>
      <c r="AJ30" s="95"/>
      <c r="AK30" s="95"/>
      <c r="AL30" s="95"/>
      <c r="AM30" s="95"/>
      <c r="AN30" s="95"/>
      <c r="AO30" s="95"/>
      <c r="AP30" s="95"/>
      <c r="AQ30" s="95"/>
      <c r="AR30" s="95"/>
      <c r="AS30" s="87" t="s">
        <v>1375</v>
      </c>
      <c r="AT30" s="88"/>
      <c r="AU30" s="88"/>
      <c r="AV30" s="88"/>
      <c r="AW30" s="88"/>
      <c r="AX30" s="88"/>
      <c r="AY30" s="88"/>
      <c r="AZ30" s="88"/>
      <c r="BA30" s="88"/>
      <c r="BB30" s="88"/>
      <c r="BC30" s="88"/>
      <c r="BD30" s="89"/>
    </row>
    <row r="31" spans="1:57">
      <c r="A31" s="294" t="str">
        <f>IF(B31="","",COUNTA($B$8:B31))</f>
        <v/>
      </c>
      <c r="B31" s="298"/>
      <c r="C31" s="299"/>
      <c r="D31" s="299"/>
      <c r="E31" s="299"/>
      <c r="F31" s="299"/>
      <c r="G31" s="299"/>
      <c r="H31" s="299"/>
      <c r="I31" s="298"/>
      <c r="J31" s="300"/>
      <c r="K31" s="300"/>
      <c r="L31" s="300"/>
      <c r="M31" s="300"/>
      <c r="N31" s="300"/>
      <c r="O31" s="300"/>
      <c r="P31" s="300"/>
      <c r="Q31" s="300"/>
      <c r="R31" s="298"/>
      <c r="S31" s="299"/>
      <c r="T31" s="299"/>
      <c r="U31" s="299"/>
      <c r="V31" s="299"/>
      <c r="W31" s="299"/>
      <c r="X31" s="299"/>
      <c r="Y31" s="670"/>
      <c r="Z31" s="671"/>
      <c r="AA31" s="672"/>
      <c r="AB31" s="673"/>
      <c r="AC31" s="674"/>
      <c r="AD31" s="306"/>
      <c r="AE31" s="307"/>
      <c r="AF31" s="307"/>
      <c r="AG31" s="307"/>
      <c r="AH31" s="307"/>
      <c r="AI31" s="307"/>
      <c r="AJ31" s="307"/>
      <c r="AK31" s="307"/>
      <c r="AL31" s="307"/>
      <c r="AM31" s="307"/>
      <c r="AN31" s="307"/>
      <c r="AO31" s="307"/>
      <c r="AP31" s="307"/>
      <c r="AQ31" s="307"/>
      <c r="AR31" s="307"/>
      <c r="AS31" s="298" t="s">
        <v>1808</v>
      </c>
      <c r="AT31" s="338"/>
      <c r="AU31" s="338"/>
      <c r="AV31" s="338"/>
      <c r="AW31" s="338"/>
      <c r="AX31" s="338"/>
      <c r="AY31" s="338"/>
      <c r="AZ31" s="338"/>
      <c r="BA31" s="338"/>
      <c r="BB31" s="338"/>
      <c r="BC31" s="338"/>
      <c r="BD31" s="339"/>
    </row>
    <row r="32" spans="1:57">
      <c r="A32" s="96" t="str">
        <f>IF(B32="","",COUNTA($B$8:B32))</f>
        <v/>
      </c>
      <c r="B32" s="90"/>
      <c r="C32" s="249"/>
      <c r="D32" s="249"/>
      <c r="E32" s="249"/>
      <c r="F32" s="249"/>
      <c r="G32" s="249"/>
      <c r="H32" s="249"/>
      <c r="I32" s="90"/>
      <c r="J32" s="250"/>
      <c r="K32" s="250"/>
      <c r="L32" s="250"/>
      <c r="M32" s="250"/>
      <c r="N32" s="250"/>
      <c r="O32" s="250"/>
      <c r="P32" s="250"/>
      <c r="Q32" s="250"/>
      <c r="R32" s="90"/>
      <c r="S32" s="249"/>
      <c r="T32" s="249"/>
      <c r="U32" s="249"/>
      <c r="V32" s="249"/>
      <c r="W32" s="249"/>
      <c r="X32" s="249"/>
      <c r="Y32" s="642"/>
      <c r="Z32" s="643"/>
      <c r="AA32" s="644"/>
      <c r="AB32" s="645"/>
      <c r="AC32" s="646"/>
      <c r="AD32" s="101"/>
      <c r="AE32" s="103"/>
      <c r="AF32" s="103"/>
      <c r="AG32" s="103"/>
      <c r="AH32" s="103"/>
      <c r="AI32" s="103"/>
      <c r="AJ32" s="103"/>
      <c r="AK32" s="103"/>
      <c r="AL32" s="103"/>
      <c r="AM32" s="103"/>
      <c r="AN32" s="103"/>
      <c r="AO32" s="103"/>
      <c r="AP32" s="103"/>
      <c r="AQ32" s="103"/>
      <c r="AR32" s="103"/>
      <c r="AS32" s="355" t="s">
        <v>1822</v>
      </c>
      <c r="AT32" s="356"/>
      <c r="AU32" s="356"/>
      <c r="AV32" s="356"/>
      <c r="AW32" s="356"/>
      <c r="AX32" s="356"/>
      <c r="AY32" s="356"/>
      <c r="AZ32" s="356"/>
      <c r="BA32" s="356"/>
      <c r="BB32" s="356"/>
      <c r="BC32" s="356"/>
      <c r="BD32" s="357"/>
      <c r="BE32" s="16" t="s">
        <v>1821</v>
      </c>
    </row>
    <row r="33" spans="1:57">
      <c r="A33" s="206">
        <f>IF(B33="","",COUNTA($B$8:B33))</f>
        <v>22</v>
      </c>
      <c r="B33" s="344" t="s">
        <v>1819</v>
      </c>
      <c r="C33" s="345"/>
      <c r="D33" s="345"/>
      <c r="E33" s="345"/>
      <c r="F33" s="345"/>
      <c r="G33" s="345"/>
      <c r="H33" s="346"/>
      <c r="I33" s="347" t="s">
        <v>1820</v>
      </c>
      <c r="J33" s="348"/>
      <c r="K33" s="348"/>
      <c r="L33" s="348"/>
      <c r="M33" s="348"/>
      <c r="N33" s="348"/>
      <c r="O33" s="349"/>
      <c r="P33" s="348"/>
      <c r="Q33" s="346"/>
      <c r="R33" s="344" t="s">
        <v>1819</v>
      </c>
      <c r="S33" s="348"/>
      <c r="T33" s="348"/>
      <c r="U33" s="348"/>
      <c r="V33" s="348"/>
      <c r="W33" s="348"/>
      <c r="X33" s="346"/>
      <c r="Y33" s="655" t="s">
        <v>1294</v>
      </c>
      <c r="Z33" s="656"/>
      <c r="AA33" s="657" t="s">
        <v>1295</v>
      </c>
      <c r="AB33" s="658"/>
      <c r="AC33" s="659"/>
      <c r="AD33" s="350">
        <v>5</v>
      </c>
      <c r="AE33" s="351"/>
      <c r="AF33" s="351"/>
      <c r="AG33" s="351"/>
      <c r="AH33" s="352"/>
      <c r="AI33" s="352"/>
      <c r="AJ33" s="352"/>
      <c r="AK33" s="352"/>
      <c r="AL33" s="352"/>
      <c r="AM33" s="352"/>
      <c r="AN33" s="352"/>
      <c r="AO33" s="351"/>
      <c r="AP33" s="351"/>
      <c r="AQ33" s="351"/>
      <c r="AR33" s="351"/>
      <c r="AS33" s="347" t="s">
        <v>1839</v>
      </c>
      <c r="AT33" s="353"/>
      <c r="AU33" s="353"/>
      <c r="AV33" s="353"/>
      <c r="AW33" s="353"/>
      <c r="AX33" s="353"/>
      <c r="AY33" s="353"/>
      <c r="AZ33" s="353"/>
      <c r="BA33" s="353"/>
      <c r="BB33" s="353"/>
      <c r="BC33" s="353"/>
      <c r="BD33" s="354"/>
      <c r="BE33" s="16" t="s">
        <v>1821</v>
      </c>
    </row>
    <row r="34" spans="1:57">
      <c r="A34" s="37">
        <f>IF(B34="","",COUNTA($B$8:B34))</f>
        <v>23</v>
      </c>
      <c r="B34" s="370" t="s">
        <v>1291</v>
      </c>
      <c r="C34" s="378"/>
      <c r="D34" s="378"/>
      <c r="E34" s="378"/>
      <c r="F34" s="378"/>
      <c r="G34" s="378"/>
      <c r="H34" s="378"/>
      <c r="I34" s="367" t="s">
        <v>1292</v>
      </c>
      <c r="J34" s="379"/>
      <c r="K34" s="379"/>
      <c r="L34" s="379"/>
      <c r="M34" s="379"/>
      <c r="N34" s="379"/>
      <c r="O34" s="379"/>
      <c r="P34" s="379"/>
      <c r="Q34" s="379"/>
      <c r="R34" s="370" t="s">
        <v>1291</v>
      </c>
      <c r="S34" s="378"/>
      <c r="T34" s="378"/>
      <c r="U34" s="378"/>
      <c r="V34" s="378"/>
      <c r="W34" s="378"/>
      <c r="X34" s="378"/>
      <c r="Y34" s="655" t="s">
        <v>141</v>
      </c>
      <c r="Z34" s="656"/>
      <c r="AA34" s="657" t="s">
        <v>1285</v>
      </c>
      <c r="AB34" s="658"/>
      <c r="AC34" s="659"/>
      <c r="AD34" s="382">
        <v>30</v>
      </c>
      <c r="AE34" s="351"/>
      <c r="AF34" s="351"/>
      <c r="AG34" s="351"/>
      <c r="AH34" s="351"/>
      <c r="AI34" s="351"/>
      <c r="AJ34" s="351"/>
      <c r="AK34" s="351"/>
      <c r="AL34" s="351"/>
      <c r="AM34" s="351"/>
      <c r="AN34" s="351"/>
      <c r="AO34" s="351"/>
      <c r="AP34" s="351"/>
      <c r="AQ34" s="351"/>
      <c r="AR34" s="351"/>
      <c r="AS34" s="347" t="s">
        <v>1311</v>
      </c>
      <c r="AT34" s="372"/>
      <c r="AU34" s="372"/>
      <c r="AV34" s="372"/>
      <c r="AW34" s="372"/>
      <c r="AX34" s="372"/>
      <c r="AY34" s="353"/>
      <c r="AZ34" s="353"/>
      <c r="BA34" s="353"/>
      <c r="BB34" s="353"/>
      <c r="BC34" s="353"/>
      <c r="BD34" s="354"/>
      <c r="BE34" s="16" t="s">
        <v>1851</v>
      </c>
    </row>
    <row r="35" spans="1:57">
      <c r="A35" s="206">
        <f>IF(B35="","",COUNTA($B$8:B35))</f>
        <v>24</v>
      </c>
      <c r="B35" s="344" t="s">
        <v>1840</v>
      </c>
      <c r="C35" s="345"/>
      <c r="D35" s="345"/>
      <c r="E35" s="345"/>
      <c r="F35" s="345"/>
      <c r="G35" s="345"/>
      <c r="H35" s="346"/>
      <c r="I35" s="347" t="s">
        <v>736</v>
      </c>
      <c r="J35" s="348"/>
      <c r="K35" s="348"/>
      <c r="L35" s="348"/>
      <c r="M35" s="348"/>
      <c r="N35" s="348"/>
      <c r="O35" s="349"/>
      <c r="P35" s="348"/>
      <c r="Q35" s="346"/>
      <c r="R35" s="344" t="s">
        <v>1840</v>
      </c>
      <c r="S35" s="348"/>
      <c r="T35" s="348"/>
      <c r="U35" s="348"/>
      <c r="V35" s="348"/>
      <c r="W35" s="348"/>
      <c r="X35" s="346"/>
      <c r="Y35" s="655" t="s">
        <v>1294</v>
      </c>
      <c r="Z35" s="656"/>
      <c r="AA35" s="657" t="s">
        <v>1295</v>
      </c>
      <c r="AB35" s="658"/>
      <c r="AC35" s="659"/>
      <c r="AD35" s="350">
        <v>5</v>
      </c>
      <c r="AE35" s="351"/>
      <c r="AF35" s="351"/>
      <c r="AG35" s="351"/>
      <c r="AH35" s="352"/>
      <c r="AI35" s="352"/>
      <c r="AJ35" s="352"/>
      <c r="AK35" s="352"/>
      <c r="AL35" s="352"/>
      <c r="AM35" s="352"/>
      <c r="AN35" s="352"/>
      <c r="AO35" s="351"/>
      <c r="AP35" s="351"/>
      <c r="AQ35" s="351"/>
      <c r="AR35" s="351"/>
      <c r="AS35" s="347" t="s">
        <v>1841</v>
      </c>
      <c r="AT35" s="353"/>
      <c r="AU35" s="353"/>
      <c r="AV35" s="353"/>
      <c r="AW35" s="353"/>
      <c r="AX35" s="353"/>
      <c r="AY35" s="353"/>
      <c r="AZ35" s="353"/>
      <c r="BA35" s="353"/>
      <c r="BB35" s="353"/>
      <c r="BC35" s="353"/>
      <c r="BD35" s="354"/>
      <c r="BE35" s="16" t="s">
        <v>1834</v>
      </c>
    </row>
    <row r="36" spans="1:57">
      <c r="A36" s="206">
        <f>IF(B36="","",COUNTA($B$8:B36))</f>
        <v>25</v>
      </c>
      <c r="B36" s="380" t="s">
        <v>1849</v>
      </c>
      <c r="C36" s="345"/>
      <c r="D36" s="345"/>
      <c r="E36" s="345"/>
      <c r="F36" s="345"/>
      <c r="G36" s="345"/>
      <c r="H36" s="346"/>
      <c r="I36" s="347" t="s">
        <v>1850</v>
      </c>
      <c r="J36" s="348"/>
      <c r="K36" s="348"/>
      <c r="L36" s="348"/>
      <c r="M36" s="348"/>
      <c r="N36" s="348"/>
      <c r="O36" s="381"/>
      <c r="P36" s="348"/>
      <c r="Q36" s="346"/>
      <c r="R36" s="380" t="s">
        <v>1849</v>
      </c>
      <c r="S36" s="348"/>
      <c r="T36" s="348"/>
      <c r="U36" s="348"/>
      <c r="V36" s="348"/>
      <c r="W36" s="348"/>
      <c r="X36" s="346"/>
      <c r="Y36" s="655" t="s">
        <v>1294</v>
      </c>
      <c r="Z36" s="656"/>
      <c r="AA36" s="657" t="s">
        <v>1295</v>
      </c>
      <c r="AB36" s="658"/>
      <c r="AC36" s="659"/>
      <c r="AD36" s="350">
        <v>5</v>
      </c>
      <c r="AE36" s="351"/>
      <c r="AF36" s="351"/>
      <c r="AG36" s="351"/>
      <c r="AH36" s="352"/>
      <c r="AI36" s="352"/>
      <c r="AJ36" s="352"/>
      <c r="AK36" s="352"/>
      <c r="AL36" s="352"/>
      <c r="AM36" s="352"/>
      <c r="AN36" s="352"/>
      <c r="AO36" s="351"/>
      <c r="AP36" s="351"/>
      <c r="AQ36" s="351"/>
      <c r="AR36" s="351"/>
      <c r="AS36" s="347" t="s">
        <v>1841</v>
      </c>
      <c r="AT36" s="353"/>
      <c r="AU36" s="353"/>
      <c r="AV36" s="353"/>
      <c r="AW36" s="353"/>
      <c r="AX36" s="353"/>
      <c r="AY36" s="353"/>
      <c r="AZ36" s="353"/>
      <c r="BA36" s="353"/>
      <c r="BB36" s="353"/>
      <c r="BC36" s="353"/>
      <c r="BD36" s="354"/>
      <c r="BE36" s="16" t="s">
        <v>1851</v>
      </c>
    </row>
    <row r="37" spans="1:57">
      <c r="A37" s="206">
        <f>IF(B37="","",COUNTA($B$8:B37))</f>
        <v>26</v>
      </c>
      <c r="B37" s="366" t="s">
        <v>1827</v>
      </c>
      <c r="C37" s="345"/>
      <c r="D37" s="345"/>
      <c r="E37" s="345"/>
      <c r="F37" s="345"/>
      <c r="G37" s="345"/>
      <c r="H37" s="346"/>
      <c r="I37" s="367" t="s">
        <v>1828</v>
      </c>
      <c r="J37" s="348"/>
      <c r="K37" s="348"/>
      <c r="L37" s="348"/>
      <c r="M37" s="348"/>
      <c r="N37" s="348"/>
      <c r="O37" s="348"/>
      <c r="P37" s="348"/>
      <c r="Q37" s="368"/>
      <c r="R37" s="366" t="s">
        <v>1827</v>
      </c>
      <c r="S37" s="348"/>
      <c r="T37" s="348"/>
      <c r="U37" s="348"/>
      <c r="V37" s="348"/>
      <c r="W37" s="348"/>
      <c r="X37" s="346"/>
      <c r="Y37" s="655" t="s">
        <v>1294</v>
      </c>
      <c r="Z37" s="656"/>
      <c r="AA37" s="657" t="s">
        <v>1295</v>
      </c>
      <c r="AB37" s="658"/>
      <c r="AC37" s="659"/>
      <c r="AD37" s="369">
        <v>5</v>
      </c>
      <c r="AE37" s="351"/>
      <c r="AF37" s="351"/>
      <c r="AG37" s="351"/>
      <c r="AH37" s="352"/>
      <c r="AI37" s="352"/>
      <c r="AJ37" s="352"/>
      <c r="AK37" s="352"/>
      <c r="AL37" s="352"/>
      <c r="AM37" s="352"/>
      <c r="AN37" s="352"/>
      <c r="AO37" s="351"/>
      <c r="AP37" s="351"/>
      <c r="AQ37" s="351"/>
      <c r="AR37" s="351"/>
      <c r="AS37" s="347" t="s">
        <v>1829</v>
      </c>
      <c r="AT37" s="353"/>
      <c r="AU37" s="353"/>
      <c r="AV37" s="353"/>
      <c r="AW37" s="353"/>
      <c r="AX37" s="353"/>
      <c r="AY37" s="353"/>
      <c r="AZ37" s="353"/>
      <c r="BA37" s="353"/>
      <c r="BB37" s="353"/>
      <c r="BC37" s="353"/>
      <c r="BD37" s="354"/>
      <c r="BE37" s="16" t="s">
        <v>1821</v>
      </c>
    </row>
    <row r="38" spans="1:57">
      <c r="A38" s="37">
        <f>IF(B38="","",COUNTA($B$8:B38))</f>
        <v>27</v>
      </c>
      <c r="B38" s="35" t="s">
        <v>1616</v>
      </c>
      <c r="C38" s="34"/>
      <c r="D38" s="34"/>
      <c r="E38" s="34"/>
      <c r="F38" s="34"/>
      <c r="G38" s="34"/>
      <c r="H38" s="34"/>
      <c r="I38" s="35" t="s">
        <v>1445</v>
      </c>
      <c r="J38" s="27"/>
      <c r="K38" s="27"/>
      <c r="L38" s="27"/>
      <c r="M38" s="27"/>
      <c r="N38" s="27"/>
      <c r="O38" s="27"/>
      <c r="P38" s="27"/>
      <c r="Q38" s="27"/>
      <c r="R38" s="35" t="s">
        <v>1616</v>
      </c>
      <c r="S38" s="34"/>
      <c r="T38" s="34"/>
      <c r="U38" s="34"/>
      <c r="V38" s="34"/>
      <c r="W38" s="34"/>
      <c r="X38" s="34"/>
      <c r="Y38" s="589" t="s">
        <v>1294</v>
      </c>
      <c r="Z38" s="590"/>
      <c r="AA38" s="591" t="s">
        <v>1295</v>
      </c>
      <c r="AB38" s="592"/>
      <c r="AC38" s="593"/>
      <c r="AD38" s="53">
        <v>2</v>
      </c>
      <c r="AE38" s="25"/>
      <c r="AF38" s="25"/>
      <c r="AG38" s="25"/>
      <c r="AH38" s="25"/>
      <c r="AI38" s="25"/>
      <c r="AJ38" s="25"/>
      <c r="AK38" s="25"/>
      <c r="AL38" s="25"/>
      <c r="AM38" s="25"/>
      <c r="AN38" s="25"/>
      <c r="AO38" s="25"/>
      <c r="AP38" s="25"/>
      <c r="AQ38" s="25"/>
      <c r="AR38" s="25"/>
      <c r="AS38" s="35"/>
      <c r="AT38" s="36"/>
      <c r="AU38" s="36"/>
      <c r="AV38" s="36"/>
      <c r="AW38" s="36"/>
      <c r="AX38" s="36"/>
      <c r="AY38" s="36"/>
      <c r="AZ38" s="36"/>
      <c r="BA38" s="36"/>
      <c r="BB38" s="36"/>
      <c r="BC38" s="36"/>
      <c r="BD38" s="50"/>
    </row>
    <row r="39" spans="1:57">
      <c r="A39" s="37">
        <f>IF(B39="","",COUNTA($B$8:B39))</f>
        <v>28</v>
      </c>
      <c r="B39" s="35" t="s">
        <v>1814</v>
      </c>
      <c r="C39" s="34"/>
      <c r="D39" s="34"/>
      <c r="E39" s="34"/>
      <c r="F39" s="34"/>
      <c r="G39" s="34"/>
      <c r="H39" s="34"/>
      <c r="I39" s="35" t="s">
        <v>1815</v>
      </c>
      <c r="J39" s="27"/>
      <c r="K39" s="27"/>
      <c r="L39" s="27"/>
      <c r="M39" s="27"/>
      <c r="N39" s="27"/>
      <c r="O39" s="27"/>
      <c r="P39" s="27"/>
      <c r="Q39" s="27"/>
      <c r="R39" s="35" t="s">
        <v>1814</v>
      </c>
      <c r="S39" s="34"/>
      <c r="T39" s="34"/>
      <c r="U39" s="34"/>
      <c r="V39" s="34"/>
      <c r="W39" s="34"/>
      <c r="X39" s="34"/>
      <c r="Y39" s="589" t="s">
        <v>141</v>
      </c>
      <c r="Z39" s="636"/>
      <c r="AA39" s="591" t="s">
        <v>1285</v>
      </c>
      <c r="AB39" s="592"/>
      <c r="AC39" s="593"/>
      <c r="AD39" s="53">
        <v>30</v>
      </c>
      <c r="AE39" s="25"/>
      <c r="AF39" s="25"/>
      <c r="AG39" s="25"/>
      <c r="AH39" s="25"/>
      <c r="AI39" s="25"/>
      <c r="AJ39" s="25"/>
      <c r="AK39" s="25"/>
      <c r="AL39" s="25"/>
      <c r="AM39" s="25"/>
      <c r="AN39" s="25"/>
      <c r="AO39" s="25"/>
      <c r="AP39" s="25"/>
      <c r="AQ39" s="25"/>
      <c r="AR39" s="25"/>
      <c r="AS39" s="35" t="s">
        <v>1816</v>
      </c>
      <c r="AT39" s="36"/>
      <c r="AU39" s="36"/>
      <c r="AV39" s="36"/>
      <c r="AW39" s="36"/>
      <c r="AX39" s="36"/>
      <c r="AY39" s="36"/>
      <c r="AZ39" s="36"/>
      <c r="BA39" s="36"/>
      <c r="BB39" s="36"/>
      <c r="BC39" s="36"/>
      <c r="BD39" s="50"/>
    </row>
    <row r="40" spans="1:57">
      <c r="A40" s="37">
        <f>IF(B40="","",COUNTA($B$8:B40))</f>
        <v>29</v>
      </c>
      <c r="B40" s="26" t="s">
        <v>1790</v>
      </c>
      <c r="C40" s="34"/>
      <c r="D40" s="34"/>
      <c r="E40" s="34"/>
      <c r="F40" s="34"/>
      <c r="G40" s="34"/>
      <c r="H40" s="34"/>
      <c r="I40" s="202" t="s">
        <v>1791</v>
      </c>
      <c r="J40" s="27"/>
      <c r="K40" s="27"/>
      <c r="L40" s="27"/>
      <c r="M40" s="27"/>
      <c r="N40" s="27"/>
      <c r="O40" s="27"/>
      <c r="P40" s="27"/>
      <c r="Q40" s="27"/>
      <c r="R40" s="26" t="s">
        <v>1790</v>
      </c>
      <c r="S40" s="34"/>
      <c r="T40" s="34"/>
      <c r="U40" s="34"/>
      <c r="V40" s="34"/>
      <c r="W40" s="34"/>
      <c r="X40" s="34"/>
      <c r="Y40" s="589" t="s">
        <v>111</v>
      </c>
      <c r="Z40" s="590"/>
      <c r="AA40" s="591" t="s">
        <v>106</v>
      </c>
      <c r="AB40" s="592"/>
      <c r="AC40" s="593"/>
      <c r="AD40" s="53">
        <v>20</v>
      </c>
      <c r="AE40" s="25"/>
      <c r="AF40" s="25"/>
      <c r="AG40" s="25"/>
      <c r="AH40" s="25"/>
      <c r="AI40" s="25"/>
      <c r="AJ40" s="25"/>
      <c r="AK40" s="25"/>
      <c r="AL40" s="25"/>
      <c r="AM40" s="25"/>
      <c r="AN40" s="25"/>
      <c r="AO40" s="25"/>
      <c r="AP40" s="25"/>
      <c r="AQ40" s="25"/>
      <c r="AR40" s="25"/>
      <c r="AS40" s="35"/>
      <c r="AT40" s="36"/>
      <c r="AU40" s="36"/>
      <c r="AV40" s="36"/>
      <c r="AW40" s="36"/>
      <c r="AX40" s="36"/>
      <c r="AY40" s="36"/>
      <c r="AZ40" s="36"/>
      <c r="BA40" s="36"/>
      <c r="BB40" s="36"/>
      <c r="BC40" s="36"/>
      <c r="BD40" s="50"/>
    </row>
    <row r="41" spans="1:57">
      <c r="A41" s="206">
        <f>IF(B41="","",COUNTA($B$8:B41))</f>
        <v>30</v>
      </c>
      <c r="B41" s="17" t="s">
        <v>1801</v>
      </c>
      <c r="C41" s="18"/>
      <c r="D41" s="18"/>
      <c r="E41" s="18"/>
      <c r="F41" s="18"/>
      <c r="G41" s="18"/>
      <c r="H41" s="203"/>
      <c r="I41" s="26" t="s">
        <v>1389</v>
      </c>
      <c r="J41" s="20"/>
      <c r="K41" s="20"/>
      <c r="L41" s="20"/>
      <c r="M41" s="20"/>
      <c r="N41" s="20"/>
      <c r="O41" s="28"/>
      <c r="P41" s="20"/>
      <c r="Q41" s="203"/>
      <c r="R41" s="17" t="s">
        <v>1801</v>
      </c>
      <c r="S41" s="20"/>
      <c r="T41" s="20"/>
      <c r="U41" s="20"/>
      <c r="V41" s="20"/>
      <c r="W41" s="20"/>
      <c r="X41" s="203"/>
      <c r="Y41" s="589" t="s">
        <v>141</v>
      </c>
      <c r="Z41" s="636"/>
      <c r="AA41" s="591" t="s">
        <v>1285</v>
      </c>
      <c r="AB41" s="592"/>
      <c r="AC41" s="593"/>
      <c r="AD41" s="23">
        <v>15</v>
      </c>
      <c r="AE41" s="25"/>
      <c r="AF41" s="25"/>
      <c r="AG41" s="25"/>
      <c r="AH41" s="24"/>
      <c r="AI41" s="24"/>
      <c r="AJ41" s="24"/>
      <c r="AK41" s="24"/>
      <c r="AL41" s="24"/>
      <c r="AM41" s="24"/>
      <c r="AN41" s="24"/>
      <c r="AO41" s="25"/>
      <c r="AP41" s="25"/>
      <c r="AQ41" s="25"/>
      <c r="AR41" s="25"/>
      <c r="AS41" s="35"/>
      <c r="AT41" s="36"/>
      <c r="AU41" s="36"/>
      <c r="AV41" s="36"/>
      <c r="AW41" s="36"/>
      <c r="AX41" s="36"/>
      <c r="AY41" s="36"/>
      <c r="AZ41" s="36"/>
      <c r="BA41" s="36"/>
      <c r="BB41" s="36"/>
      <c r="BC41" s="36"/>
      <c r="BD41" s="50"/>
    </row>
    <row r="42" spans="1:57">
      <c r="A42" s="93">
        <f>IF(B42="","",COUNTA($B$8:B42))</f>
        <v>31</v>
      </c>
      <c r="B42" s="87" t="s">
        <v>157</v>
      </c>
      <c r="C42" s="181"/>
      <c r="D42" s="181"/>
      <c r="E42" s="181"/>
      <c r="F42" s="181"/>
      <c r="G42" s="181"/>
      <c r="H42" s="181"/>
      <c r="I42" s="340" t="s">
        <v>1284</v>
      </c>
      <c r="J42" s="182"/>
      <c r="K42" s="182"/>
      <c r="L42" s="182"/>
      <c r="M42" s="182"/>
      <c r="N42" s="182"/>
      <c r="O42" s="182"/>
      <c r="P42" s="182"/>
      <c r="Q42" s="182"/>
      <c r="R42" s="87" t="s">
        <v>157</v>
      </c>
      <c r="S42" s="181"/>
      <c r="T42" s="181"/>
      <c r="U42" s="181"/>
      <c r="V42" s="181"/>
      <c r="W42" s="181"/>
      <c r="X42" s="181"/>
      <c r="Y42" s="647" t="s">
        <v>141</v>
      </c>
      <c r="Z42" s="675"/>
      <c r="AA42" s="649" t="s">
        <v>1285</v>
      </c>
      <c r="AB42" s="650"/>
      <c r="AC42" s="651"/>
      <c r="AD42" s="94">
        <v>15</v>
      </c>
      <c r="AE42" s="95"/>
      <c r="AF42" s="95"/>
      <c r="AG42" s="95"/>
      <c r="AH42" s="95"/>
      <c r="AI42" s="95"/>
      <c r="AJ42" s="95"/>
      <c r="AK42" s="95"/>
      <c r="AL42" s="95"/>
      <c r="AM42" s="95"/>
      <c r="AN42" s="95"/>
      <c r="AO42" s="95"/>
      <c r="AP42" s="95"/>
      <c r="AQ42" s="95"/>
      <c r="AR42" s="95"/>
      <c r="AS42" s="341" t="s">
        <v>1809</v>
      </c>
      <c r="AT42" s="88"/>
      <c r="AU42" s="88"/>
      <c r="AV42" s="88"/>
      <c r="AW42" s="88"/>
      <c r="AX42" s="88"/>
      <c r="AY42" s="88"/>
      <c r="AZ42" s="88"/>
      <c r="BA42" s="88"/>
      <c r="BB42" s="88"/>
      <c r="BC42" s="88"/>
      <c r="BD42" s="89"/>
    </row>
    <row r="43" spans="1:57">
      <c r="A43" s="96" t="str">
        <f>IF(B43="","",COUNTA($B$8:B43))</f>
        <v/>
      </c>
      <c r="B43" s="90"/>
      <c r="C43" s="249"/>
      <c r="D43" s="249"/>
      <c r="E43" s="249"/>
      <c r="F43" s="249"/>
      <c r="G43" s="249"/>
      <c r="H43" s="249"/>
      <c r="I43" s="342"/>
      <c r="J43" s="250"/>
      <c r="K43" s="250"/>
      <c r="L43" s="250"/>
      <c r="M43" s="250"/>
      <c r="N43" s="250"/>
      <c r="O43" s="250"/>
      <c r="P43" s="250"/>
      <c r="Q43" s="250"/>
      <c r="R43" s="90"/>
      <c r="S43" s="249"/>
      <c r="T43" s="249"/>
      <c r="U43" s="249"/>
      <c r="V43" s="249"/>
      <c r="W43" s="249"/>
      <c r="X43" s="249"/>
      <c r="Y43" s="642"/>
      <c r="Z43" s="676"/>
      <c r="AA43" s="644"/>
      <c r="AB43" s="645"/>
      <c r="AC43" s="646"/>
      <c r="AD43" s="101"/>
      <c r="AE43" s="103"/>
      <c r="AF43" s="103"/>
      <c r="AG43" s="103"/>
      <c r="AH43" s="103"/>
      <c r="AI43" s="103"/>
      <c r="AJ43" s="103"/>
      <c r="AK43" s="103"/>
      <c r="AL43" s="103"/>
      <c r="AM43" s="103"/>
      <c r="AN43" s="103"/>
      <c r="AO43" s="103"/>
      <c r="AP43" s="103"/>
      <c r="AQ43" s="103"/>
      <c r="AR43" s="103"/>
      <c r="AS43" s="343" t="s">
        <v>1810</v>
      </c>
      <c r="AT43" s="91"/>
      <c r="AU43" s="91"/>
      <c r="AV43" s="91"/>
      <c r="AW43" s="91"/>
      <c r="AX43" s="91"/>
      <c r="AY43" s="91"/>
      <c r="AZ43" s="91"/>
      <c r="BA43" s="91"/>
      <c r="BB43" s="91"/>
      <c r="BC43" s="91"/>
      <c r="BD43" s="92"/>
    </row>
    <row r="44" spans="1:57">
      <c r="A44" s="37">
        <f>IF(B44="","",COUNTA($B$8:B44))</f>
        <v>32</v>
      </c>
      <c r="B44" s="17" t="s">
        <v>1812</v>
      </c>
      <c r="C44" s="34"/>
      <c r="D44" s="34"/>
      <c r="E44" s="34"/>
      <c r="F44" s="34"/>
      <c r="G44" s="34"/>
      <c r="H44" s="34"/>
      <c r="I44" s="35" t="s">
        <v>1813</v>
      </c>
      <c r="J44" s="27"/>
      <c r="K44" s="27"/>
      <c r="L44" s="27"/>
      <c r="M44" s="27"/>
      <c r="N44" s="27"/>
      <c r="O44" s="27"/>
      <c r="P44" s="27"/>
      <c r="Q44" s="27"/>
      <c r="R44" s="17" t="s">
        <v>1812</v>
      </c>
      <c r="S44" s="34"/>
      <c r="T44" s="34"/>
      <c r="U44" s="34"/>
      <c r="V44" s="34"/>
      <c r="W44" s="34"/>
      <c r="X44" s="34"/>
      <c r="Y44" s="589" t="s">
        <v>1286</v>
      </c>
      <c r="Z44" s="590"/>
      <c r="AA44" s="591" t="s">
        <v>1287</v>
      </c>
      <c r="AB44" s="592"/>
      <c r="AC44" s="593"/>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7">
      <c r="A45" s="37">
        <f>IF(B45="","",COUNTA($B$8:B45))</f>
        <v>33</v>
      </c>
      <c r="B45" s="35" t="s">
        <v>1742</v>
      </c>
      <c r="C45" s="34"/>
      <c r="D45" s="34"/>
      <c r="E45" s="34"/>
      <c r="F45" s="34"/>
      <c r="G45" s="34"/>
      <c r="H45" s="34"/>
      <c r="I45" s="35" t="s">
        <v>1741</v>
      </c>
      <c r="J45" s="27"/>
      <c r="K45" s="27"/>
      <c r="L45" s="27"/>
      <c r="M45" s="27"/>
      <c r="N45" s="27"/>
      <c r="O45" s="27"/>
      <c r="P45" s="27"/>
      <c r="Q45" s="27"/>
      <c r="R45" s="35" t="s">
        <v>1742</v>
      </c>
      <c r="S45" s="34"/>
      <c r="T45" s="34"/>
      <c r="U45" s="34"/>
      <c r="V45" s="34"/>
      <c r="W45" s="34"/>
      <c r="X45" s="34"/>
      <c r="Y45" s="589" t="s">
        <v>141</v>
      </c>
      <c r="Z45" s="590"/>
      <c r="AA45" s="591" t="s">
        <v>1285</v>
      </c>
      <c r="AB45" s="592"/>
      <c r="AC45" s="593"/>
      <c r="AD45" s="53">
        <v>3</v>
      </c>
      <c r="AE45" s="25"/>
      <c r="AF45" s="25"/>
      <c r="AG45" s="25"/>
      <c r="AH45" s="25"/>
      <c r="AI45" s="25"/>
      <c r="AJ45" s="25"/>
      <c r="AK45" s="25"/>
      <c r="AL45" s="25"/>
      <c r="AM45" s="25"/>
      <c r="AN45" s="25"/>
      <c r="AO45" s="25"/>
      <c r="AP45" s="25"/>
      <c r="AQ45" s="25"/>
      <c r="AR45" s="25"/>
      <c r="AS45" s="35" t="s">
        <v>271</v>
      </c>
      <c r="AT45" s="36"/>
      <c r="AU45" s="36"/>
      <c r="AV45" s="36"/>
      <c r="AW45" s="36"/>
      <c r="AX45" s="36"/>
      <c r="AY45" s="36"/>
      <c r="AZ45" s="36"/>
      <c r="BA45" s="36"/>
      <c r="BB45" s="36"/>
      <c r="BC45" s="36"/>
      <c r="BD45" s="50"/>
    </row>
    <row r="46" spans="1:57">
      <c r="A46" s="37">
        <f>IF(B46="","",COUNTA($B$8:B46))</f>
        <v>34</v>
      </c>
      <c r="B46" s="35" t="s">
        <v>1744</v>
      </c>
      <c r="C46" s="34"/>
      <c r="D46" s="34"/>
      <c r="E46" s="34"/>
      <c r="F46" s="34"/>
      <c r="G46" s="34"/>
      <c r="H46" s="34"/>
      <c r="I46" s="35" t="s">
        <v>1751</v>
      </c>
      <c r="J46" s="27"/>
      <c r="K46" s="27"/>
      <c r="L46" s="27"/>
      <c r="M46" s="27"/>
      <c r="N46" s="27"/>
      <c r="O46" s="27"/>
      <c r="P46" s="27"/>
      <c r="Q46" s="27"/>
      <c r="R46" s="35" t="s">
        <v>1744</v>
      </c>
      <c r="S46" s="34"/>
      <c r="T46" s="34"/>
      <c r="U46" s="34"/>
      <c r="V46" s="34"/>
      <c r="W46" s="34"/>
      <c r="X46" s="34"/>
      <c r="Y46" s="589" t="s">
        <v>141</v>
      </c>
      <c r="Z46" s="590"/>
      <c r="AA46" s="591" t="s">
        <v>1295</v>
      </c>
      <c r="AB46" s="592"/>
      <c r="AC46" s="593"/>
      <c r="AD46" s="53">
        <v>7</v>
      </c>
      <c r="AE46" s="25">
        <v>2</v>
      </c>
      <c r="AF46" s="25"/>
      <c r="AG46" s="25"/>
      <c r="AH46" s="25"/>
      <c r="AI46" s="25"/>
      <c r="AJ46" s="25"/>
      <c r="AK46" s="25"/>
      <c r="AL46" s="25"/>
      <c r="AM46" s="25"/>
      <c r="AN46" s="25"/>
      <c r="AO46" s="25"/>
      <c r="AP46" s="25"/>
      <c r="AQ46" s="25"/>
      <c r="AR46" s="25"/>
      <c r="AS46" s="35"/>
      <c r="AT46" s="36"/>
      <c r="AU46" s="36"/>
      <c r="AV46" s="36"/>
      <c r="AW46" s="36"/>
      <c r="AX46" s="36"/>
      <c r="AY46" s="36"/>
      <c r="AZ46" s="36"/>
      <c r="BA46" s="36"/>
      <c r="BB46" s="36"/>
      <c r="BC46" s="36"/>
      <c r="BD46" s="50"/>
    </row>
    <row r="47" spans="1:57">
      <c r="A47" s="37">
        <f>IF(B47="","",COUNTA($B$8:B47))</f>
        <v>35</v>
      </c>
      <c r="B47" s="35" t="s">
        <v>1745</v>
      </c>
      <c r="C47" s="34"/>
      <c r="D47" s="34"/>
      <c r="E47" s="34"/>
      <c r="F47" s="34"/>
      <c r="G47" s="34"/>
      <c r="H47" s="34"/>
      <c r="I47" s="35" t="s">
        <v>1752</v>
      </c>
      <c r="J47" s="27"/>
      <c r="K47" s="27"/>
      <c r="L47" s="27"/>
      <c r="M47" s="27"/>
      <c r="N47" s="27"/>
      <c r="O47" s="27"/>
      <c r="P47" s="27"/>
      <c r="Q47" s="27"/>
      <c r="R47" s="35" t="s">
        <v>1745</v>
      </c>
      <c r="S47" s="34"/>
      <c r="T47" s="34"/>
      <c r="U47" s="34"/>
      <c r="V47" s="34"/>
      <c r="W47" s="34"/>
      <c r="X47" s="34"/>
      <c r="Y47" s="589" t="s">
        <v>141</v>
      </c>
      <c r="Z47" s="590"/>
      <c r="AA47" s="591" t="s">
        <v>1295</v>
      </c>
      <c r="AB47" s="592"/>
      <c r="AC47" s="593"/>
      <c r="AD47" s="53">
        <v>7</v>
      </c>
      <c r="AE47" s="25">
        <v>2</v>
      </c>
      <c r="AF47" s="25"/>
      <c r="AG47" s="25"/>
      <c r="AH47" s="25"/>
      <c r="AI47" s="25"/>
      <c r="AJ47" s="25"/>
      <c r="AK47" s="25"/>
      <c r="AL47" s="25"/>
      <c r="AM47" s="25"/>
      <c r="AN47" s="25"/>
      <c r="AO47" s="25"/>
      <c r="AP47" s="25"/>
      <c r="AQ47" s="25"/>
      <c r="AR47" s="25"/>
      <c r="AS47" s="35"/>
      <c r="AT47" s="36"/>
      <c r="AU47" s="36"/>
      <c r="AV47" s="36"/>
      <c r="AW47" s="36"/>
      <c r="AX47" s="36"/>
      <c r="AY47" s="36"/>
      <c r="AZ47" s="36"/>
      <c r="BA47" s="36"/>
      <c r="BB47" s="36"/>
      <c r="BC47" s="36"/>
      <c r="BD47" s="50"/>
    </row>
    <row r="48" spans="1:57">
      <c r="A48" s="37">
        <f>IF(B48="","",COUNTA($B$8:B48))</f>
        <v>36</v>
      </c>
      <c r="B48" s="35" t="s">
        <v>1746</v>
      </c>
      <c r="C48" s="34"/>
      <c r="D48" s="34"/>
      <c r="E48" s="34"/>
      <c r="F48" s="34"/>
      <c r="G48" s="34"/>
      <c r="H48" s="34"/>
      <c r="I48" s="35" t="s">
        <v>1753</v>
      </c>
      <c r="J48" s="27"/>
      <c r="K48" s="27"/>
      <c r="L48" s="27"/>
      <c r="M48" s="27"/>
      <c r="N48" s="27"/>
      <c r="O48" s="27"/>
      <c r="P48" s="27"/>
      <c r="Q48" s="27"/>
      <c r="R48" s="35" t="s">
        <v>1746</v>
      </c>
      <c r="S48" s="34"/>
      <c r="T48" s="34"/>
      <c r="U48" s="34"/>
      <c r="V48" s="34"/>
      <c r="W48" s="34"/>
      <c r="X48" s="34"/>
      <c r="Y48" s="589" t="s">
        <v>141</v>
      </c>
      <c r="Z48" s="590"/>
      <c r="AA48" s="591" t="s">
        <v>1295</v>
      </c>
      <c r="AB48" s="592"/>
      <c r="AC48" s="593"/>
      <c r="AD48" s="53">
        <v>7</v>
      </c>
      <c r="AE48" s="25">
        <v>2</v>
      </c>
      <c r="AF48" s="25"/>
      <c r="AG48" s="25"/>
      <c r="AH48" s="25"/>
      <c r="AI48" s="25"/>
      <c r="AJ48" s="25"/>
      <c r="AK48" s="25"/>
      <c r="AL48" s="25"/>
      <c r="AM48" s="25"/>
      <c r="AN48" s="25"/>
      <c r="AO48" s="25"/>
      <c r="AP48" s="25"/>
      <c r="AQ48" s="25"/>
      <c r="AR48" s="25"/>
      <c r="AS48" s="35"/>
      <c r="AT48" s="36"/>
      <c r="AU48" s="36"/>
      <c r="AV48" s="36"/>
      <c r="AW48" s="36"/>
      <c r="AX48" s="36"/>
      <c r="AY48" s="36"/>
      <c r="AZ48" s="36"/>
      <c r="BA48" s="36"/>
      <c r="BB48" s="36"/>
      <c r="BC48" s="36"/>
      <c r="BD48" s="50"/>
    </row>
    <row r="49" spans="1:57">
      <c r="A49" s="37">
        <f>IF(B49="","",COUNTA($B$8:B49))</f>
        <v>37</v>
      </c>
      <c r="B49" s="35" t="s">
        <v>1747</v>
      </c>
      <c r="C49" s="34"/>
      <c r="D49" s="34"/>
      <c r="E49" s="34"/>
      <c r="F49" s="34"/>
      <c r="G49" s="34"/>
      <c r="H49" s="34"/>
      <c r="I49" s="35" t="s">
        <v>1754</v>
      </c>
      <c r="J49" s="27"/>
      <c r="K49" s="27"/>
      <c r="L49" s="27"/>
      <c r="M49" s="27"/>
      <c r="N49" s="27"/>
      <c r="O49" s="27"/>
      <c r="P49" s="27"/>
      <c r="Q49" s="27"/>
      <c r="R49" s="35" t="s">
        <v>1747</v>
      </c>
      <c r="S49" s="34"/>
      <c r="T49" s="34"/>
      <c r="U49" s="34"/>
      <c r="V49" s="34"/>
      <c r="W49" s="34"/>
      <c r="X49" s="34"/>
      <c r="Y49" s="589" t="s">
        <v>141</v>
      </c>
      <c r="Z49" s="590"/>
      <c r="AA49" s="591" t="s">
        <v>1295</v>
      </c>
      <c r="AB49" s="592"/>
      <c r="AC49" s="593"/>
      <c r="AD49" s="53">
        <v>7</v>
      </c>
      <c r="AE49" s="25">
        <v>2</v>
      </c>
      <c r="AF49" s="25"/>
      <c r="AG49" s="25"/>
      <c r="AH49" s="25"/>
      <c r="AI49" s="25"/>
      <c r="AJ49" s="25"/>
      <c r="AK49" s="25"/>
      <c r="AL49" s="25"/>
      <c r="AM49" s="25"/>
      <c r="AN49" s="25"/>
      <c r="AO49" s="25"/>
      <c r="AP49" s="25"/>
      <c r="AQ49" s="25"/>
      <c r="AR49" s="25"/>
      <c r="AS49" s="35"/>
      <c r="AT49" s="36"/>
      <c r="AU49" s="36"/>
      <c r="AV49" s="36"/>
      <c r="AW49" s="36"/>
      <c r="AX49" s="36"/>
      <c r="AY49" s="36"/>
      <c r="AZ49" s="36"/>
      <c r="BA49" s="36"/>
      <c r="BB49" s="36"/>
      <c r="BC49" s="36"/>
      <c r="BD49" s="50"/>
    </row>
    <row r="50" spans="1:57">
      <c r="A50" s="37">
        <f>IF(B50="","",COUNTA($B$8:B50))</f>
        <v>38</v>
      </c>
      <c r="B50" s="35" t="s">
        <v>1748</v>
      </c>
      <c r="C50" s="34"/>
      <c r="D50" s="34"/>
      <c r="E50" s="34"/>
      <c r="F50" s="34"/>
      <c r="G50" s="34"/>
      <c r="H50" s="34"/>
      <c r="I50" s="35" t="s">
        <v>1755</v>
      </c>
      <c r="J50" s="27"/>
      <c r="K50" s="27"/>
      <c r="L50" s="27"/>
      <c r="M50" s="27"/>
      <c r="N50" s="27"/>
      <c r="O50" s="27"/>
      <c r="P50" s="27"/>
      <c r="Q50" s="27"/>
      <c r="R50" s="35" t="s">
        <v>1748</v>
      </c>
      <c r="S50" s="34"/>
      <c r="T50" s="34"/>
      <c r="U50" s="34"/>
      <c r="V50" s="34"/>
      <c r="W50" s="34"/>
      <c r="X50" s="34"/>
      <c r="Y50" s="589" t="s">
        <v>141</v>
      </c>
      <c r="Z50" s="590"/>
      <c r="AA50" s="591" t="s">
        <v>1295</v>
      </c>
      <c r="AB50" s="592"/>
      <c r="AC50" s="593"/>
      <c r="AD50" s="53">
        <v>7</v>
      </c>
      <c r="AE50" s="25">
        <v>2</v>
      </c>
      <c r="AF50" s="25"/>
      <c r="AG50" s="25"/>
      <c r="AH50" s="25"/>
      <c r="AI50" s="25"/>
      <c r="AJ50" s="25"/>
      <c r="AK50" s="25"/>
      <c r="AL50" s="25"/>
      <c r="AM50" s="25"/>
      <c r="AN50" s="25"/>
      <c r="AO50" s="25"/>
      <c r="AP50" s="25"/>
      <c r="AQ50" s="25"/>
      <c r="AR50" s="25"/>
      <c r="AS50" s="35"/>
      <c r="AT50" s="36"/>
      <c r="AU50" s="36"/>
      <c r="AV50" s="36"/>
      <c r="AW50" s="36"/>
      <c r="AX50" s="36"/>
      <c r="AY50" s="36"/>
      <c r="AZ50" s="36"/>
      <c r="BA50" s="36"/>
      <c r="BB50" s="36"/>
      <c r="BC50" s="36"/>
      <c r="BD50" s="50"/>
    </row>
    <row r="51" spans="1:57">
      <c r="A51" s="37">
        <f>IF(B51="","",COUNTA($B$8:B51))</f>
        <v>39</v>
      </c>
      <c r="B51" s="35" t="s">
        <v>1749</v>
      </c>
      <c r="C51" s="34"/>
      <c r="D51" s="34"/>
      <c r="E51" s="34"/>
      <c r="F51" s="34"/>
      <c r="G51" s="34"/>
      <c r="H51" s="34"/>
      <c r="I51" s="35" t="s">
        <v>1756</v>
      </c>
      <c r="J51" s="27"/>
      <c r="K51" s="27"/>
      <c r="L51" s="27"/>
      <c r="M51" s="27"/>
      <c r="N51" s="27"/>
      <c r="O51" s="27"/>
      <c r="P51" s="27"/>
      <c r="Q51" s="27"/>
      <c r="R51" s="35" t="s">
        <v>1749</v>
      </c>
      <c r="S51" s="34"/>
      <c r="T51" s="34"/>
      <c r="U51" s="34"/>
      <c r="V51" s="34"/>
      <c r="W51" s="34"/>
      <c r="X51" s="34"/>
      <c r="Y51" s="589" t="s">
        <v>141</v>
      </c>
      <c r="Z51" s="590"/>
      <c r="AA51" s="591" t="s">
        <v>1295</v>
      </c>
      <c r="AB51" s="592"/>
      <c r="AC51" s="593"/>
      <c r="AD51" s="53">
        <v>7</v>
      </c>
      <c r="AE51" s="25">
        <v>2</v>
      </c>
      <c r="AF51" s="25"/>
      <c r="AG51" s="25"/>
      <c r="AH51" s="25"/>
      <c r="AI51" s="25"/>
      <c r="AJ51" s="25"/>
      <c r="AK51" s="25"/>
      <c r="AL51" s="25"/>
      <c r="AM51" s="25"/>
      <c r="AN51" s="25"/>
      <c r="AO51" s="25"/>
      <c r="AP51" s="25"/>
      <c r="AQ51" s="25"/>
      <c r="AR51" s="25"/>
      <c r="AS51" s="35"/>
      <c r="AT51" s="36"/>
      <c r="AU51" s="36"/>
      <c r="AV51" s="36"/>
      <c r="AW51" s="36"/>
      <c r="AX51" s="36"/>
      <c r="AY51" s="36"/>
      <c r="AZ51" s="36"/>
      <c r="BA51" s="36"/>
      <c r="BB51" s="36"/>
      <c r="BC51" s="36"/>
      <c r="BD51" s="50"/>
    </row>
    <row r="52" spans="1:57">
      <c r="A52" s="37">
        <f>IF(B52="","",COUNTA($B$8:B52))</f>
        <v>40</v>
      </c>
      <c r="B52" s="35" t="s">
        <v>1750</v>
      </c>
      <c r="C52" s="34"/>
      <c r="D52" s="34"/>
      <c r="E52" s="34"/>
      <c r="F52" s="34"/>
      <c r="G52" s="34"/>
      <c r="H52" s="34"/>
      <c r="I52" s="35" t="s">
        <v>1757</v>
      </c>
      <c r="J52" s="27"/>
      <c r="K52" s="27"/>
      <c r="L52" s="27"/>
      <c r="M52" s="27"/>
      <c r="N52" s="27"/>
      <c r="O52" s="27"/>
      <c r="P52" s="27"/>
      <c r="Q52" s="27"/>
      <c r="R52" s="35" t="s">
        <v>1750</v>
      </c>
      <c r="S52" s="34"/>
      <c r="T52" s="34"/>
      <c r="U52" s="34"/>
      <c r="V52" s="34"/>
      <c r="W52" s="34"/>
      <c r="X52" s="34"/>
      <c r="Y52" s="589" t="s">
        <v>141</v>
      </c>
      <c r="Z52" s="590"/>
      <c r="AA52" s="591" t="s">
        <v>1285</v>
      </c>
      <c r="AB52" s="592"/>
      <c r="AC52" s="593"/>
      <c r="AD52" s="53">
        <v>3</v>
      </c>
      <c r="AE52" s="25"/>
      <c r="AF52" s="25"/>
      <c r="AG52" s="25"/>
      <c r="AH52" s="25"/>
      <c r="AI52" s="25"/>
      <c r="AJ52" s="25"/>
      <c r="AK52" s="25"/>
      <c r="AL52" s="25"/>
      <c r="AM52" s="25"/>
      <c r="AN52" s="25"/>
      <c r="AO52" s="25"/>
      <c r="AP52" s="25"/>
      <c r="AQ52" s="25"/>
      <c r="AR52" s="25"/>
      <c r="AS52" s="35"/>
      <c r="AT52" s="36"/>
      <c r="AU52" s="36"/>
      <c r="AV52" s="36"/>
      <c r="AW52" s="36"/>
      <c r="AX52" s="36"/>
      <c r="AY52" s="36"/>
      <c r="AZ52" s="36"/>
      <c r="BA52" s="36"/>
      <c r="BB52" s="36"/>
      <c r="BC52" s="36"/>
      <c r="BD52" s="50"/>
    </row>
    <row r="53" spans="1:57">
      <c r="A53" s="37">
        <f>IF(B53="","",COUNTA($B$8:B53))</f>
        <v>41</v>
      </c>
      <c r="B53" s="35" t="s">
        <v>589</v>
      </c>
      <c r="C53" s="34"/>
      <c r="D53" s="34"/>
      <c r="E53" s="34"/>
      <c r="F53" s="34"/>
      <c r="G53" s="34"/>
      <c r="H53" s="34"/>
      <c r="I53" s="35" t="s">
        <v>1395</v>
      </c>
      <c r="J53" s="27"/>
      <c r="K53" s="27"/>
      <c r="L53" s="27"/>
      <c r="M53" s="27"/>
      <c r="N53" s="27"/>
      <c r="O53" s="27"/>
      <c r="P53" s="27"/>
      <c r="Q53" s="27"/>
      <c r="R53" s="35" t="s">
        <v>589</v>
      </c>
      <c r="S53" s="34"/>
      <c r="T53" s="34"/>
      <c r="U53" s="34"/>
      <c r="V53" s="34"/>
      <c r="W53" s="34"/>
      <c r="X53" s="34"/>
      <c r="Y53" s="589" t="s">
        <v>141</v>
      </c>
      <c r="Z53" s="590"/>
      <c r="AA53" s="591" t="s">
        <v>1285</v>
      </c>
      <c r="AB53" s="592"/>
      <c r="AC53" s="593"/>
      <c r="AD53" s="53">
        <v>3</v>
      </c>
      <c r="AE53" s="25"/>
      <c r="AF53" s="25"/>
      <c r="AG53" s="25"/>
      <c r="AH53" s="25"/>
      <c r="AI53" s="25"/>
      <c r="AJ53" s="25"/>
      <c r="AK53" s="25"/>
      <c r="AL53" s="25"/>
      <c r="AM53" s="25"/>
      <c r="AN53" s="25"/>
      <c r="AO53" s="25"/>
      <c r="AP53" s="25"/>
      <c r="AQ53" s="25"/>
      <c r="AR53" s="25"/>
      <c r="AS53" s="35"/>
      <c r="AT53" s="36"/>
      <c r="AU53" s="36"/>
      <c r="AV53" s="36"/>
      <c r="AW53" s="36"/>
      <c r="AX53" s="36"/>
      <c r="AY53" s="36"/>
      <c r="AZ53" s="36"/>
      <c r="BA53" s="36"/>
      <c r="BB53" s="36"/>
      <c r="BC53" s="36"/>
      <c r="BD53" s="50"/>
    </row>
    <row r="54" spans="1:57">
      <c r="A54" s="37">
        <f>IF(B54="","",COUNTA($B$8:B54))</f>
        <v>42</v>
      </c>
      <c r="B54" s="35" t="s">
        <v>1690</v>
      </c>
      <c r="C54" s="34"/>
      <c r="D54" s="34"/>
      <c r="E54" s="34"/>
      <c r="F54" s="34"/>
      <c r="G54" s="34"/>
      <c r="H54" s="34"/>
      <c r="I54" s="370" t="s">
        <v>1324</v>
      </c>
      <c r="J54" s="379"/>
      <c r="K54" s="379"/>
      <c r="L54" s="379"/>
      <c r="M54" s="379"/>
      <c r="N54" s="379"/>
      <c r="O54" s="379"/>
      <c r="P54" s="379"/>
      <c r="Q54" s="379"/>
      <c r="R54" s="35" t="s">
        <v>1690</v>
      </c>
      <c r="S54" s="34"/>
      <c r="T54" s="34"/>
      <c r="U54" s="34"/>
      <c r="V54" s="34"/>
      <c r="W54" s="34"/>
      <c r="X54" s="34"/>
      <c r="Y54" s="589" t="s">
        <v>141</v>
      </c>
      <c r="Z54" s="590"/>
      <c r="AA54" s="591" t="s">
        <v>1285</v>
      </c>
      <c r="AB54" s="592"/>
      <c r="AC54" s="593"/>
      <c r="AD54" s="53">
        <v>10</v>
      </c>
      <c r="AE54" s="25"/>
      <c r="AF54" s="25"/>
      <c r="AG54" s="25"/>
      <c r="AH54" s="25"/>
      <c r="AI54" s="25"/>
      <c r="AJ54" s="25"/>
      <c r="AK54" s="25"/>
      <c r="AL54" s="25"/>
      <c r="AM54" s="25"/>
      <c r="AN54" s="25"/>
      <c r="AO54" s="25"/>
      <c r="AP54" s="25"/>
      <c r="AQ54" s="25"/>
      <c r="AR54" s="25"/>
      <c r="AS54" s="35"/>
      <c r="AT54" s="36"/>
      <c r="AU54" s="36"/>
      <c r="AV54" s="36"/>
      <c r="AW54" s="36"/>
      <c r="AX54" s="36"/>
      <c r="AY54" s="36"/>
      <c r="AZ54" s="36"/>
      <c r="BA54" s="36"/>
      <c r="BB54" s="36"/>
      <c r="BC54" s="36"/>
      <c r="BD54" s="50"/>
      <c r="BE54" s="16" t="s">
        <v>1842</v>
      </c>
    </row>
    <row r="55" spans="1:57">
      <c r="A55" s="37">
        <f>IF(B55="","",COUNTA($B$8:B55))</f>
        <v>43</v>
      </c>
      <c r="B55" s="17" t="s">
        <v>1302</v>
      </c>
      <c r="C55" s="34"/>
      <c r="D55" s="34"/>
      <c r="E55" s="34"/>
      <c r="F55" s="34"/>
      <c r="G55" s="34"/>
      <c r="H55" s="34"/>
      <c r="I55" s="35" t="s">
        <v>624</v>
      </c>
      <c r="J55" s="27"/>
      <c r="K55" s="27"/>
      <c r="L55" s="27"/>
      <c r="M55" s="27"/>
      <c r="N55" s="27"/>
      <c r="O55" s="27"/>
      <c r="P55" s="27"/>
      <c r="Q55" s="27"/>
      <c r="R55" s="17" t="s">
        <v>1302</v>
      </c>
      <c r="S55" s="34"/>
      <c r="T55" s="34"/>
      <c r="U55" s="34"/>
      <c r="V55" s="34"/>
      <c r="W55" s="34"/>
      <c r="X55" s="34"/>
      <c r="Y55" s="589" t="s">
        <v>141</v>
      </c>
      <c r="Z55" s="590"/>
      <c r="AA55" s="591" t="s">
        <v>1285</v>
      </c>
      <c r="AB55" s="592"/>
      <c r="AC55" s="593"/>
      <c r="AD55" s="23">
        <v>10</v>
      </c>
      <c r="AE55" s="25"/>
      <c r="AF55" s="25"/>
      <c r="AG55" s="25"/>
      <c r="AH55" s="25"/>
      <c r="AI55" s="25"/>
      <c r="AJ55" s="25"/>
      <c r="AK55" s="25"/>
      <c r="AL55" s="25"/>
      <c r="AM55" s="25"/>
      <c r="AN55" s="25"/>
      <c r="AO55" s="25"/>
      <c r="AP55" s="25"/>
      <c r="AQ55" s="25"/>
      <c r="AR55" s="25"/>
      <c r="AS55" s="26"/>
      <c r="AT55" s="51"/>
      <c r="AU55" s="51"/>
      <c r="AV55" s="51"/>
      <c r="AW55" s="51"/>
      <c r="AX55" s="51"/>
      <c r="AY55" s="51"/>
      <c r="AZ55" s="51"/>
      <c r="BA55" s="51"/>
      <c r="BB55" s="51"/>
      <c r="BC55" s="51"/>
      <c r="BD55" s="52"/>
    </row>
    <row r="56" spans="1:57">
      <c r="A56" s="37">
        <f>IF(B56="","",COUNTA($B$8:B56))</f>
        <v>44</v>
      </c>
      <c r="B56" s="17" t="s">
        <v>543</v>
      </c>
      <c r="C56" s="34"/>
      <c r="D56" s="34"/>
      <c r="E56" s="34"/>
      <c r="F56" s="34"/>
      <c r="G56" s="34"/>
      <c r="H56" s="34"/>
      <c r="I56" s="35" t="s">
        <v>624</v>
      </c>
      <c r="J56" s="27"/>
      <c r="K56" s="27"/>
      <c r="L56" s="27"/>
      <c r="M56" s="27"/>
      <c r="N56" s="27"/>
      <c r="O56" s="27"/>
      <c r="P56" s="27"/>
      <c r="Q56" s="27"/>
      <c r="R56" s="17" t="s">
        <v>543</v>
      </c>
      <c r="S56" s="34"/>
      <c r="T56" s="34"/>
      <c r="U56" s="34"/>
      <c r="V56" s="34"/>
      <c r="W56" s="34"/>
      <c r="X56" s="34"/>
      <c r="Y56" s="589" t="s">
        <v>141</v>
      </c>
      <c r="Z56" s="590"/>
      <c r="AA56" s="591" t="s">
        <v>1285</v>
      </c>
      <c r="AB56" s="592"/>
      <c r="AC56" s="593"/>
      <c r="AD56" s="23">
        <v>10</v>
      </c>
      <c r="AE56" s="25"/>
      <c r="AF56" s="25"/>
      <c r="AG56" s="25"/>
      <c r="AH56" s="25"/>
      <c r="AI56" s="25"/>
      <c r="AJ56" s="25"/>
      <c r="AK56" s="25"/>
      <c r="AL56" s="25"/>
      <c r="AM56" s="25"/>
      <c r="AN56" s="25"/>
      <c r="AO56" s="25"/>
      <c r="AP56" s="25"/>
      <c r="AQ56" s="25"/>
      <c r="AR56" s="25"/>
      <c r="AS56" s="26"/>
      <c r="AT56" s="51"/>
      <c r="AU56" s="51"/>
      <c r="AV56" s="51"/>
      <c r="AW56" s="51"/>
      <c r="AX56" s="51"/>
      <c r="AY56" s="51"/>
      <c r="AZ56" s="51"/>
      <c r="BA56" s="51"/>
      <c r="BB56" s="51"/>
      <c r="BC56" s="51"/>
      <c r="BD56" s="52"/>
    </row>
    <row r="57" spans="1:57">
      <c r="A57" s="37">
        <f>IF(B57="","",COUNTA($B$8:B57))</f>
        <v>45</v>
      </c>
      <c r="B57" s="17" t="s">
        <v>547</v>
      </c>
      <c r="C57" s="34"/>
      <c r="D57" s="34"/>
      <c r="E57" s="34"/>
      <c r="F57" s="34"/>
      <c r="G57" s="34"/>
      <c r="H57" s="34"/>
      <c r="I57" s="35" t="s">
        <v>548</v>
      </c>
      <c r="J57" s="27"/>
      <c r="K57" s="27"/>
      <c r="L57" s="27"/>
      <c r="M57" s="27"/>
      <c r="N57" s="27"/>
      <c r="O57" s="27"/>
      <c r="P57" s="27"/>
      <c r="Q57" s="27"/>
      <c r="R57" s="17" t="s">
        <v>547</v>
      </c>
      <c r="S57" s="34"/>
      <c r="T57" s="34"/>
      <c r="U57" s="34"/>
      <c r="V57" s="34"/>
      <c r="W57" s="34"/>
      <c r="X57" s="34"/>
      <c r="Y57" s="589" t="s">
        <v>1286</v>
      </c>
      <c r="Z57" s="590"/>
      <c r="AA57" s="591" t="s">
        <v>1287</v>
      </c>
      <c r="AB57" s="592"/>
      <c r="AC57" s="593"/>
      <c r="AD57" s="38"/>
      <c r="AE57" s="25"/>
      <c r="AF57" s="25"/>
      <c r="AG57" s="25"/>
      <c r="AH57" s="25"/>
      <c r="AI57" s="25"/>
      <c r="AJ57" s="25"/>
      <c r="AK57" s="25"/>
      <c r="AL57" s="25"/>
      <c r="AM57" s="25"/>
      <c r="AN57" s="25"/>
      <c r="AO57" s="25"/>
      <c r="AP57" s="25"/>
      <c r="AQ57" s="25"/>
      <c r="AR57" s="25"/>
      <c r="AS57" s="26"/>
      <c r="AT57" s="51"/>
      <c r="AU57" s="51"/>
      <c r="AV57" s="51"/>
      <c r="AW57" s="51"/>
      <c r="AX57" s="51"/>
      <c r="AY57" s="51"/>
      <c r="AZ57" s="51"/>
      <c r="BA57" s="51"/>
      <c r="BB57" s="51"/>
      <c r="BC57" s="51"/>
      <c r="BD57" s="52"/>
    </row>
    <row r="58" spans="1:57">
      <c r="A58" s="37">
        <f>IF(B58="","",COUNTA($B$8:B58))</f>
        <v>46</v>
      </c>
      <c r="B58" s="17" t="s">
        <v>1306</v>
      </c>
      <c r="C58" s="34"/>
      <c r="D58" s="34"/>
      <c r="E58" s="34"/>
      <c r="F58" s="34"/>
      <c r="G58" s="34"/>
      <c r="H58" s="34"/>
      <c r="I58" s="35" t="s">
        <v>626</v>
      </c>
      <c r="J58" s="27"/>
      <c r="K58" s="27"/>
      <c r="L58" s="27"/>
      <c r="M58" s="27"/>
      <c r="N58" s="27"/>
      <c r="O58" s="27"/>
      <c r="P58" s="27"/>
      <c r="Q58" s="27"/>
      <c r="R58" s="17" t="s">
        <v>1306</v>
      </c>
      <c r="S58" s="34"/>
      <c r="T58" s="34"/>
      <c r="U58" s="34"/>
      <c r="V58" s="34"/>
      <c r="W58" s="34"/>
      <c r="X58" s="34"/>
      <c r="Y58" s="589" t="s">
        <v>141</v>
      </c>
      <c r="Z58" s="590"/>
      <c r="AA58" s="591" t="s">
        <v>1285</v>
      </c>
      <c r="AB58" s="592"/>
      <c r="AC58" s="593"/>
      <c r="AD58" s="23">
        <v>10</v>
      </c>
      <c r="AE58" s="25"/>
      <c r="AF58" s="25"/>
      <c r="AG58" s="25"/>
      <c r="AH58" s="25"/>
      <c r="AI58" s="25"/>
      <c r="AJ58" s="25"/>
      <c r="AK58" s="25"/>
      <c r="AL58" s="25"/>
      <c r="AM58" s="25"/>
      <c r="AN58" s="25"/>
      <c r="AO58" s="25"/>
      <c r="AP58" s="25"/>
      <c r="AQ58" s="25"/>
      <c r="AR58" s="25"/>
      <c r="AS58" s="26"/>
      <c r="AT58" s="51"/>
      <c r="AU58" s="51"/>
      <c r="AV58" s="51"/>
      <c r="AW58" s="51"/>
      <c r="AX58" s="51"/>
      <c r="AY58" s="51"/>
      <c r="AZ58" s="51"/>
      <c r="BA58" s="51"/>
      <c r="BB58" s="51"/>
      <c r="BC58" s="51"/>
      <c r="BD58" s="52"/>
    </row>
    <row r="59" spans="1:57">
      <c r="A59" s="37">
        <f>IF(B59="","",COUNTA($B$8:B59))</f>
        <v>47</v>
      </c>
      <c r="B59" s="17" t="s">
        <v>389</v>
      </c>
      <c r="C59" s="18"/>
      <c r="D59" s="18"/>
      <c r="E59" s="18"/>
      <c r="F59" s="18"/>
      <c r="G59" s="18"/>
      <c r="H59" s="18"/>
      <c r="I59" s="35" t="s">
        <v>390</v>
      </c>
      <c r="J59" s="20"/>
      <c r="K59" s="20"/>
      <c r="L59" s="20"/>
      <c r="M59" s="20"/>
      <c r="N59" s="20"/>
      <c r="O59" s="20"/>
      <c r="P59" s="20"/>
      <c r="Q59" s="20"/>
      <c r="R59" s="17" t="s">
        <v>389</v>
      </c>
      <c r="S59" s="18"/>
      <c r="T59" s="18"/>
      <c r="U59" s="18"/>
      <c r="V59" s="18"/>
      <c r="W59" s="18"/>
      <c r="X59" s="18"/>
      <c r="Y59" s="589" t="s">
        <v>141</v>
      </c>
      <c r="Z59" s="590"/>
      <c r="AA59" s="591" t="s">
        <v>1285</v>
      </c>
      <c r="AB59" s="592"/>
      <c r="AC59" s="593"/>
      <c r="AD59" s="38">
        <v>10</v>
      </c>
      <c r="AE59" s="30" t="s">
        <v>1585</v>
      </c>
      <c r="AF59" s="30"/>
      <c r="AG59" s="30"/>
      <c r="AH59" s="30"/>
      <c r="AI59" s="30"/>
      <c r="AJ59" s="30"/>
      <c r="AK59" s="30"/>
      <c r="AL59" s="30"/>
      <c r="AM59" s="30"/>
      <c r="AN59" s="30"/>
      <c r="AO59" s="31"/>
      <c r="AP59" s="31"/>
      <c r="AQ59" s="31"/>
      <c r="AR59" s="31"/>
      <c r="AS59" s="32"/>
      <c r="AT59" s="33"/>
      <c r="AU59" s="51"/>
      <c r="AV59" s="51"/>
      <c r="AW59" s="51"/>
      <c r="AX59" s="51"/>
      <c r="AY59" s="51"/>
      <c r="AZ59" s="51"/>
      <c r="BA59" s="51"/>
      <c r="BB59" s="51"/>
      <c r="BC59" s="51"/>
      <c r="BD59" s="52"/>
    </row>
    <row r="60" spans="1:57">
      <c r="A60" s="37">
        <f>IF(B60="","",COUNTA($B$8:B60))</f>
        <v>48</v>
      </c>
      <c r="B60" s="17" t="s">
        <v>393</v>
      </c>
      <c r="C60" s="18"/>
      <c r="D60" s="18"/>
      <c r="E60" s="18"/>
      <c r="F60" s="18"/>
      <c r="G60" s="18"/>
      <c r="H60" s="18"/>
      <c r="I60" s="35" t="s">
        <v>394</v>
      </c>
      <c r="J60" s="20"/>
      <c r="K60" s="20"/>
      <c r="L60" s="20"/>
      <c r="M60" s="20"/>
      <c r="N60" s="20"/>
      <c r="O60" s="20"/>
      <c r="P60" s="20"/>
      <c r="Q60" s="20"/>
      <c r="R60" s="17" t="s">
        <v>393</v>
      </c>
      <c r="S60" s="18"/>
      <c r="T60" s="18"/>
      <c r="U60" s="18"/>
      <c r="V60" s="18"/>
      <c r="W60" s="18"/>
      <c r="X60" s="18"/>
      <c r="Y60" s="589" t="s">
        <v>1286</v>
      </c>
      <c r="Z60" s="590"/>
      <c r="AA60" s="591" t="s">
        <v>1287</v>
      </c>
      <c r="AB60" s="592"/>
      <c r="AC60" s="593"/>
      <c r="AD60" s="38"/>
      <c r="AE60" s="30" t="s">
        <v>1585</v>
      </c>
      <c r="AF60" s="30"/>
      <c r="AG60" s="30"/>
      <c r="AH60" s="30"/>
      <c r="AI60" s="30"/>
      <c r="AJ60" s="30"/>
      <c r="AK60" s="30"/>
      <c r="AL60" s="30"/>
      <c r="AM60" s="30"/>
      <c r="AN60" s="30"/>
      <c r="AO60" s="31"/>
      <c r="AP60" s="31"/>
      <c r="AQ60" s="31"/>
      <c r="AR60" s="31"/>
      <c r="AS60" s="32"/>
      <c r="AT60" s="33"/>
      <c r="AU60" s="51"/>
      <c r="AV60" s="51"/>
      <c r="AW60" s="51"/>
      <c r="AX60" s="51"/>
      <c r="AY60" s="51"/>
      <c r="AZ60" s="51"/>
      <c r="BA60" s="51"/>
      <c r="BB60" s="51"/>
      <c r="BC60" s="51"/>
      <c r="BD60" s="52"/>
    </row>
    <row r="61" spans="1:57">
      <c r="A61" s="37" t="str">
        <f>IF(B61="","",COUNTA($B$8:B61))</f>
        <v/>
      </c>
      <c r="B61" s="17"/>
      <c r="C61" s="18"/>
      <c r="D61" s="18"/>
      <c r="E61" s="18"/>
      <c r="F61" s="18"/>
      <c r="G61" s="18"/>
      <c r="H61" s="18"/>
      <c r="I61" s="19"/>
      <c r="J61" s="20"/>
      <c r="K61" s="20"/>
      <c r="L61" s="20"/>
      <c r="M61" s="20"/>
      <c r="N61" s="20"/>
      <c r="O61" s="20"/>
      <c r="P61" s="20"/>
      <c r="Q61" s="20"/>
      <c r="R61" s="17"/>
      <c r="S61" s="18"/>
      <c r="T61" s="18"/>
      <c r="U61" s="18"/>
      <c r="V61" s="18"/>
      <c r="W61" s="18"/>
      <c r="X61" s="18"/>
      <c r="Y61" s="17"/>
      <c r="Z61" s="28"/>
      <c r="AA61" s="21"/>
      <c r="AB61" s="22"/>
      <c r="AC61" s="29"/>
      <c r="AD61" s="38"/>
      <c r="AE61" s="30"/>
      <c r="AF61" s="30"/>
      <c r="AG61" s="30"/>
      <c r="AH61" s="30"/>
      <c r="AI61" s="30"/>
      <c r="AJ61" s="30"/>
      <c r="AK61" s="30"/>
      <c r="AL61" s="30"/>
      <c r="AM61" s="30"/>
      <c r="AN61" s="30"/>
      <c r="AO61" s="31"/>
      <c r="AP61" s="31"/>
      <c r="AQ61" s="31"/>
      <c r="AR61" s="31"/>
      <c r="AS61" s="32"/>
      <c r="AT61" s="33"/>
      <c r="AU61" s="51"/>
      <c r="AV61" s="51"/>
      <c r="AW61" s="51"/>
      <c r="AX61" s="51"/>
      <c r="AY61" s="51"/>
      <c r="AZ61" s="51"/>
      <c r="BA61" s="51"/>
      <c r="BB61" s="51"/>
      <c r="BC61" s="51"/>
      <c r="BD61" s="52"/>
    </row>
    <row r="62" spans="1:57">
      <c r="A62" s="37" t="str">
        <f>IF(B62="","",COUNTA($B$8:B62))</f>
        <v/>
      </c>
      <c r="B62" s="17"/>
      <c r="C62" s="18"/>
      <c r="D62" s="18"/>
      <c r="E62" s="18"/>
      <c r="F62" s="18"/>
      <c r="G62" s="18"/>
      <c r="H62" s="18"/>
      <c r="I62" s="19"/>
      <c r="J62" s="20"/>
      <c r="K62" s="20"/>
      <c r="L62" s="20"/>
      <c r="M62" s="20"/>
      <c r="N62" s="20"/>
      <c r="O62" s="20"/>
      <c r="P62" s="20"/>
      <c r="Q62" s="20"/>
      <c r="R62" s="17"/>
      <c r="S62" s="18"/>
      <c r="T62" s="18"/>
      <c r="U62" s="18"/>
      <c r="V62" s="18"/>
      <c r="W62" s="18"/>
      <c r="X62" s="18"/>
      <c r="Y62" s="17"/>
      <c r="Z62" s="28"/>
      <c r="AA62" s="21"/>
      <c r="AB62" s="22"/>
      <c r="AC62" s="29"/>
      <c r="AD62" s="38"/>
      <c r="AE62" s="30"/>
      <c r="AF62" s="30"/>
      <c r="AG62" s="30"/>
      <c r="AH62" s="30"/>
      <c r="AI62" s="30"/>
      <c r="AJ62" s="30"/>
      <c r="AK62" s="30"/>
      <c r="AL62" s="30"/>
      <c r="AM62" s="30"/>
      <c r="AN62" s="30"/>
      <c r="AO62" s="31"/>
      <c r="AP62" s="31"/>
      <c r="AQ62" s="31"/>
      <c r="AR62" s="31"/>
      <c r="AS62" s="32"/>
      <c r="AT62" s="33"/>
      <c r="AU62" s="51"/>
      <c r="AV62" s="51"/>
      <c r="AW62" s="51"/>
      <c r="AX62" s="51"/>
      <c r="AY62" s="51"/>
      <c r="AZ62" s="51"/>
      <c r="BA62" s="51"/>
      <c r="BB62" s="51"/>
      <c r="BC62" s="51"/>
      <c r="BD62" s="52"/>
    </row>
    <row r="63" spans="1:57">
      <c r="A63" s="37" t="str">
        <f>IF(B63="","",COUNTA($B$8:B63))</f>
        <v/>
      </c>
      <c r="B63" s="17"/>
      <c r="C63" s="18"/>
      <c r="D63" s="18"/>
      <c r="E63" s="18"/>
      <c r="F63" s="18"/>
      <c r="G63" s="18"/>
      <c r="H63" s="18"/>
      <c r="I63" s="19"/>
      <c r="J63" s="20"/>
      <c r="K63" s="20"/>
      <c r="L63" s="20"/>
      <c r="M63" s="20"/>
      <c r="N63" s="20"/>
      <c r="O63" s="20"/>
      <c r="P63" s="20"/>
      <c r="Q63" s="20"/>
      <c r="R63" s="17"/>
      <c r="S63" s="18"/>
      <c r="T63" s="18"/>
      <c r="U63" s="18"/>
      <c r="V63" s="18"/>
      <c r="W63" s="18"/>
      <c r="X63" s="18"/>
      <c r="Y63" s="17"/>
      <c r="Z63" s="28"/>
      <c r="AA63" s="21"/>
      <c r="AB63" s="22"/>
      <c r="AC63" s="29"/>
      <c r="AD63" s="38"/>
      <c r="AE63" s="30"/>
      <c r="AF63" s="30"/>
      <c r="AG63" s="30"/>
      <c r="AH63" s="30"/>
      <c r="AI63" s="30"/>
      <c r="AJ63" s="30"/>
      <c r="AK63" s="30"/>
      <c r="AL63" s="30"/>
      <c r="AM63" s="30"/>
      <c r="AN63" s="30"/>
      <c r="AO63" s="31"/>
      <c r="AP63" s="31"/>
      <c r="AQ63" s="31"/>
      <c r="AR63" s="31"/>
      <c r="AS63" s="32"/>
      <c r="AT63" s="33"/>
      <c r="AU63" s="51"/>
      <c r="AV63" s="51"/>
      <c r="AW63" s="51"/>
      <c r="AX63" s="51"/>
      <c r="AY63" s="51"/>
      <c r="AZ63" s="51"/>
      <c r="BA63" s="51"/>
      <c r="BB63" s="51"/>
      <c r="BC63" s="51"/>
      <c r="BD63" s="52"/>
    </row>
    <row r="64" spans="1:57">
      <c r="A64" s="37" t="str">
        <f>IF(B64="","",COUNTA($B$8:B64))</f>
        <v/>
      </c>
      <c r="B64" s="17"/>
      <c r="C64" s="18"/>
      <c r="D64" s="18"/>
      <c r="E64" s="18"/>
      <c r="F64" s="18"/>
      <c r="G64" s="18"/>
      <c r="H64" s="18"/>
      <c r="I64" s="19"/>
      <c r="J64" s="20"/>
      <c r="K64" s="20"/>
      <c r="L64" s="20"/>
      <c r="M64" s="20"/>
      <c r="N64" s="20"/>
      <c r="O64" s="20"/>
      <c r="P64" s="20"/>
      <c r="Q64" s="20"/>
      <c r="R64" s="17"/>
      <c r="S64" s="18"/>
      <c r="T64" s="18"/>
      <c r="U64" s="18"/>
      <c r="V64" s="18"/>
      <c r="W64" s="18"/>
      <c r="X64" s="18"/>
      <c r="Y64" s="17"/>
      <c r="Z64" s="28"/>
      <c r="AA64" s="21"/>
      <c r="AB64" s="22"/>
      <c r="AC64" s="29"/>
      <c r="AD64" s="38"/>
      <c r="AE64" s="30"/>
      <c r="AF64" s="30"/>
      <c r="AG64" s="30"/>
      <c r="AH64" s="30"/>
      <c r="AI64" s="30"/>
      <c r="AJ64" s="30"/>
      <c r="AK64" s="30"/>
      <c r="AL64" s="30"/>
      <c r="AM64" s="30"/>
      <c r="AN64" s="30"/>
      <c r="AO64" s="31"/>
      <c r="AP64" s="31"/>
      <c r="AQ64" s="31"/>
      <c r="AR64" s="31"/>
      <c r="AS64" s="32"/>
      <c r="AT64" s="33"/>
      <c r="AU64" s="51"/>
      <c r="AV64" s="51"/>
      <c r="AW64" s="51"/>
      <c r="AX64" s="51"/>
      <c r="AY64" s="51"/>
      <c r="AZ64" s="51"/>
      <c r="BA64" s="51"/>
      <c r="BB64" s="51"/>
      <c r="BC64" s="51"/>
      <c r="BD64" s="52"/>
    </row>
    <row r="65" spans="1:56">
      <c r="A65" s="37" t="str">
        <f>IF(B65="","",COUNTA($B$8:B65))</f>
        <v/>
      </c>
      <c r="B65" s="17"/>
      <c r="C65" s="18"/>
      <c r="D65" s="18"/>
      <c r="E65" s="18"/>
      <c r="F65" s="18"/>
      <c r="G65" s="18"/>
      <c r="H65" s="18"/>
      <c r="I65" s="19"/>
      <c r="J65" s="20"/>
      <c r="K65" s="20"/>
      <c r="L65" s="20"/>
      <c r="M65" s="20"/>
      <c r="N65" s="20"/>
      <c r="O65" s="20"/>
      <c r="P65" s="20"/>
      <c r="Q65" s="20"/>
      <c r="R65" s="17"/>
      <c r="S65" s="18"/>
      <c r="T65" s="18"/>
      <c r="U65" s="18"/>
      <c r="V65" s="18"/>
      <c r="W65" s="18"/>
      <c r="X65" s="18"/>
      <c r="Y65" s="17"/>
      <c r="Z65" s="28"/>
      <c r="AA65" s="21"/>
      <c r="AB65" s="22"/>
      <c r="AC65" s="29"/>
      <c r="AD65" s="38"/>
      <c r="AE65" s="30"/>
      <c r="AF65" s="30"/>
      <c r="AG65" s="30"/>
      <c r="AH65" s="30"/>
      <c r="AI65" s="30"/>
      <c r="AJ65" s="30"/>
      <c r="AK65" s="30"/>
      <c r="AL65" s="30"/>
      <c r="AM65" s="30"/>
      <c r="AN65" s="30"/>
      <c r="AO65" s="31"/>
      <c r="AP65" s="31"/>
      <c r="AQ65" s="31"/>
      <c r="AR65" s="31"/>
      <c r="AS65" s="32"/>
      <c r="AT65" s="33"/>
      <c r="AU65" s="51"/>
      <c r="AV65" s="51"/>
      <c r="AW65" s="51"/>
      <c r="AX65" s="51"/>
      <c r="AY65" s="51"/>
      <c r="AZ65" s="51"/>
      <c r="BA65" s="51"/>
      <c r="BB65" s="51"/>
      <c r="BC65" s="51"/>
      <c r="BD65" s="52"/>
    </row>
    <row r="66" spans="1:56">
      <c r="A66" s="37" t="str">
        <f>IF(B66="","",COUNTA($B$8:B66))</f>
        <v/>
      </c>
      <c r="B66" s="17"/>
      <c r="C66" s="18"/>
      <c r="D66" s="18"/>
      <c r="E66" s="18"/>
      <c r="F66" s="18"/>
      <c r="G66" s="18"/>
      <c r="H66" s="18"/>
      <c r="I66" s="19"/>
      <c r="J66" s="20"/>
      <c r="K66" s="20"/>
      <c r="L66" s="20"/>
      <c r="M66" s="20"/>
      <c r="N66" s="20"/>
      <c r="O66" s="20"/>
      <c r="P66" s="20"/>
      <c r="Q66" s="20"/>
      <c r="R66" s="17"/>
      <c r="S66" s="18"/>
      <c r="T66" s="18"/>
      <c r="U66" s="18"/>
      <c r="V66" s="18"/>
      <c r="W66" s="18"/>
      <c r="X66" s="18"/>
      <c r="Y66" s="17"/>
      <c r="Z66" s="28"/>
      <c r="AA66" s="21"/>
      <c r="AB66" s="22"/>
      <c r="AC66" s="29"/>
      <c r="AD66" s="38"/>
      <c r="AE66" s="30"/>
      <c r="AF66" s="30"/>
      <c r="AG66" s="30"/>
      <c r="AH66" s="30"/>
      <c r="AI66" s="30"/>
      <c r="AJ66" s="30"/>
      <c r="AK66" s="30"/>
      <c r="AL66" s="30"/>
      <c r="AM66" s="30"/>
      <c r="AN66" s="30"/>
      <c r="AO66" s="31"/>
      <c r="AP66" s="31"/>
      <c r="AQ66" s="31"/>
      <c r="AR66" s="31"/>
      <c r="AS66" s="32"/>
      <c r="AT66" s="33"/>
      <c r="AU66" s="51"/>
      <c r="AV66" s="51"/>
      <c r="AW66" s="51"/>
      <c r="AX66" s="51"/>
      <c r="AY66" s="51"/>
      <c r="AZ66" s="51"/>
      <c r="BA66" s="51"/>
      <c r="BB66" s="51"/>
      <c r="BC66" s="51"/>
      <c r="BD66" s="52"/>
    </row>
    <row r="67" spans="1:56">
      <c r="A67" s="37" t="str">
        <f>IF(B67="","",COUNTA($B$8:B67))</f>
        <v/>
      </c>
      <c r="B67" s="17"/>
      <c r="C67" s="18"/>
      <c r="D67" s="18"/>
      <c r="E67" s="18"/>
      <c r="F67" s="18"/>
      <c r="G67" s="18"/>
      <c r="H67" s="18"/>
      <c r="I67" s="19"/>
      <c r="J67" s="20"/>
      <c r="K67" s="20"/>
      <c r="L67" s="20"/>
      <c r="M67" s="20"/>
      <c r="N67" s="20"/>
      <c r="O67" s="20"/>
      <c r="P67" s="20"/>
      <c r="Q67" s="20"/>
      <c r="R67" s="17"/>
      <c r="S67" s="18"/>
      <c r="T67" s="18"/>
      <c r="U67" s="18"/>
      <c r="V67" s="18"/>
      <c r="W67" s="18"/>
      <c r="X67" s="18"/>
      <c r="Y67" s="17"/>
      <c r="Z67" s="28"/>
      <c r="AA67" s="21"/>
      <c r="AB67" s="22"/>
      <c r="AC67" s="29"/>
      <c r="AD67" s="38"/>
      <c r="AE67" s="30"/>
      <c r="AF67" s="30"/>
      <c r="AG67" s="30"/>
      <c r="AH67" s="30"/>
      <c r="AI67" s="30"/>
      <c r="AJ67" s="30"/>
      <c r="AK67" s="30"/>
      <c r="AL67" s="30"/>
      <c r="AM67" s="30"/>
      <c r="AN67" s="30"/>
      <c r="AO67" s="31"/>
      <c r="AP67" s="31"/>
      <c r="AQ67" s="31"/>
      <c r="AR67" s="31"/>
      <c r="AS67" s="32"/>
      <c r="AT67" s="33"/>
      <c r="AU67" s="51"/>
      <c r="AV67" s="51"/>
      <c r="AW67" s="51"/>
      <c r="AX67" s="51"/>
      <c r="AY67" s="51"/>
      <c r="AZ67" s="51"/>
      <c r="BA67" s="51"/>
      <c r="BB67" s="51"/>
      <c r="BC67" s="51"/>
      <c r="BD67" s="52"/>
    </row>
    <row r="68" spans="1:56">
      <c r="A68" s="37" t="str">
        <f>IF(B68="","",COUNTA($B$8:B68))</f>
        <v/>
      </c>
      <c r="B68" s="17"/>
      <c r="C68" s="18"/>
      <c r="D68" s="18"/>
      <c r="E68" s="18"/>
      <c r="F68" s="18"/>
      <c r="G68" s="18"/>
      <c r="H68" s="18"/>
      <c r="I68" s="19"/>
      <c r="J68" s="20"/>
      <c r="K68" s="20"/>
      <c r="L68" s="20"/>
      <c r="M68" s="20"/>
      <c r="N68" s="20"/>
      <c r="O68" s="20"/>
      <c r="P68" s="20"/>
      <c r="Q68" s="20"/>
      <c r="R68" s="17"/>
      <c r="S68" s="18"/>
      <c r="T68" s="18"/>
      <c r="U68" s="18"/>
      <c r="V68" s="18"/>
      <c r="W68" s="18"/>
      <c r="X68" s="18"/>
      <c r="Y68" s="17"/>
      <c r="Z68" s="28"/>
      <c r="AA68" s="21"/>
      <c r="AB68" s="22"/>
      <c r="AC68" s="29"/>
      <c r="AD68" s="38"/>
      <c r="AE68" s="30"/>
      <c r="AF68" s="30"/>
      <c r="AG68" s="30"/>
      <c r="AH68" s="30"/>
      <c r="AI68" s="30"/>
      <c r="AJ68" s="30"/>
      <c r="AK68" s="30"/>
      <c r="AL68" s="30"/>
      <c r="AM68" s="30"/>
      <c r="AN68" s="30"/>
      <c r="AO68" s="31"/>
      <c r="AP68" s="31"/>
      <c r="AQ68" s="31"/>
      <c r="AR68" s="31"/>
      <c r="AS68" s="32"/>
      <c r="AT68" s="33"/>
      <c r="AU68" s="51"/>
      <c r="AV68" s="51"/>
      <c r="AW68" s="51"/>
      <c r="AX68" s="51"/>
      <c r="AY68" s="51"/>
      <c r="AZ68" s="51"/>
      <c r="BA68" s="51"/>
      <c r="BB68" s="51"/>
      <c r="BC68" s="51"/>
      <c r="BD68" s="52"/>
    </row>
    <row r="69" spans="1:56">
      <c r="A69" s="37" t="str">
        <f>IF(B69="","",COUNTA($B$8:B69))</f>
        <v/>
      </c>
      <c r="B69" s="17"/>
      <c r="C69" s="18"/>
      <c r="D69" s="18"/>
      <c r="E69" s="18"/>
      <c r="F69" s="18"/>
      <c r="G69" s="18"/>
      <c r="H69" s="18"/>
      <c r="I69" s="19"/>
      <c r="J69" s="20"/>
      <c r="K69" s="20"/>
      <c r="L69" s="20"/>
      <c r="M69" s="20"/>
      <c r="N69" s="20"/>
      <c r="O69" s="20"/>
      <c r="P69" s="20"/>
      <c r="Q69" s="20"/>
      <c r="R69" s="17"/>
      <c r="S69" s="18"/>
      <c r="T69" s="18"/>
      <c r="U69" s="18"/>
      <c r="V69" s="18"/>
      <c r="W69" s="18"/>
      <c r="X69" s="18"/>
      <c r="Y69" s="17"/>
      <c r="Z69" s="28"/>
      <c r="AA69" s="21"/>
      <c r="AB69" s="22"/>
      <c r="AC69" s="29"/>
      <c r="AD69" s="38"/>
      <c r="AE69" s="30"/>
      <c r="AF69" s="30"/>
      <c r="AG69" s="30"/>
      <c r="AH69" s="30"/>
      <c r="AI69" s="30"/>
      <c r="AJ69" s="30"/>
      <c r="AK69" s="30"/>
      <c r="AL69" s="30"/>
      <c r="AM69" s="30"/>
      <c r="AN69" s="30"/>
      <c r="AO69" s="31"/>
      <c r="AP69" s="31"/>
      <c r="AQ69" s="31"/>
      <c r="AR69" s="31"/>
      <c r="AS69" s="32"/>
      <c r="AT69" s="33"/>
      <c r="AU69" s="51"/>
      <c r="AV69" s="51"/>
      <c r="AW69" s="51"/>
      <c r="AX69" s="51"/>
      <c r="AY69" s="51"/>
      <c r="AZ69" s="51"/>
      <c r="BA69" s="51"/>
      <c r="BB69" s="51"/>
      <c r="BC69" s="51"/>
      <c r="BD69" s="52"/>
    </row>
    <row r="70" spans="1:56">
      <c r="A70" s="37" t="str">
        <f>IF(B70="","",COUNTA($B$8:B70))</f>
        <v/>
      </c>
      <c r="B70" s="17"/>
      <c r="C70" s="18"/>
      <c r="D70" s="18"/>
      <c r="E70" s="18"/>
      <c r="F70" s="18"/>
      <c r="G70" s="18"/>
      <c r="H70" s="18"/>
      <c r="I70" s="19"/>
      <c r="J70" s="20"/>
      <c r="K70" s="20"/>
      <c r="L70" s="20"/>
      <c r="M70" s="20"/>
      <c r="N70" s="20"/>
      <c r="O70" s="20"/>
      <c r="P70" s="20"/>
      <c r="Q70" s="20"/>
      <c r="R70" s="17"/>
      <c r="S70" s="18"/>
      <c r="T70" s="18"/>
      <c r="U70" s="18"/>
      <c r="V70" s="18"/>
      <c r="W70" s="18"/>
      <c r="X70" s="18"/>
      <c r="Y70" s="17"/>
      <c r="Z70" s="28"/>
      <c r="AA70" s="21"/>
      <c r="AB70" s="22"/>
      <c r="AC70" s="29"/>
      <c r="AD70" s="38"/>
      <c r="AE70" s="30"/>
      <c r="AF70" s="30"/>
      <c r="AG70" s="30"/>
      <c r="AH70" s="30"/>
      <c r="AI70" s="30"/>
      <c r="AJ70" s="30"/>
      <c r="AK70" s="30"/>
      <c r="AL70" s="30"/>
      <c r="AM70" s="30"/>
      <c r="AN70" s="30"/>
      <c r="AO70" s="31"/>
      <c r="AP70" s="31"/>
      <c r="AQ70" s="31"/>
      <c r="AR70" s="31"/>
      <c r="AS70" s="32"/>
      <c r="AT70" s="33"/>
      <c r="AU70" s="51"/>
      <c r="AV70" s="51"/>
      <c r="AW70" s="51"/>
      <c r="AX70" s="51"/>
      <c r="AY70" s="51"/>
      <c r="AZ70" s="51"/>
      <c r="BA70" s="51"/>
      <c r="BB70" s="51"/>
      <c r="BC70" s="51"/>
      <c r="BD70" s="52"/>
    </row>
    <row r="71" spans="1:56">
      <c r="A71" s="37" t="str">
        <f>IF(B71="","",COUNTA($B$8:B71))</f>
        <v/>
      </c>
      <c r="B71" s="17"/>
      <c r="C71" s="18"/>
      <c r="D71" s="18"/>
      <c r="E71" s="18"/>
      <c r="F71" s="18"/>
      <c r="G71" s="18"/>
      <c r="H71" s="18"/>
      <c r="I71" s="19"/>
      <c r="J71" s="20"/>
      <c r="K71" s="20"/>
      <c r="L71" s="20"/>
      <c r="M71" s="20"/>
      <c r="N71" s="20"/>
      <c r="O71" s="20"/>
      <c r="P71" s="20"/>
      <c r="Q71" s="20"/>
      <c r="R71" s="17"/>
      <c r="S71" s="18"/>
      <c r="T71" s="18"/>
      <c r="U71" s="18"/>
      <c r="V71" s="18"/>
      <c r="W71" s="18"/>
      <c r="X71" s="18"/>
      <c r="Y71" s="17"/>
      <c r="Z71" s="28"/>
      <c r="AA71" s="21"/>
      <c r="AB71" s="22"/>
      <c r="AC71" s="29"/>
      <c r="AD71" s="38"/>
      <c r="AE71" s="30"/>
      <c r="AF71" s="30"/>
      <c r="AG71" s="30"/>
      <c r="AH71" s="30"/>
      <c r="AI71" s="30"/>
      <c r="AJ71" s="30"/>
      <c r="AK71" s="30"/>
      <c r="AL71" s="30"/>
      <c r="AM71" s="30"/>
      <c r="AN71" s="30"/>
      <c r="AO71" s="31"/>
      <c r="AP71" s="31"/>
      <c r="AQ71" s="31"/>
      <c r="AR71" s="31"/>
      <c r="AS71" s="32"/>
      <c r="AT71" s="33"/>
      <c r="AU71" s="51"/>
      <c r="AV71" s="51"/>
      <c r="AW71" s="51"/>
      <c r="AX71" s="51"/>
      <c r="AY71" s="51"/>
      <c r="AZ71" s="51"/>
      <c r="BA71" s="51"/>
      <c r="BB71" s="51"/>
      <c r="BC71" s="51"/>
      <c r="BD71" s="52"/>
    </row>
    <row r="72" spans="1:56">
      <c r="A72" s="37" t="str">
        <f>IF(B72="","",COUNTA($B$8:B72))</f>
        <v/>
      </c>
      <c r="B72" s="17"/>
      <c r="C72" s="18"/>
      <c r="D72" s="18"/>
      <c r="E72" s="18"/>
      <c r="F72" s="18"/>
      <c r="G72" s="18"/>
      <c r="H72" s="18"/>
      <c r="I72" s="19"/>
      <c r="J72" s="20"/>
      <c r="K72" s="20"/>
      <c r="L72" s="20"/>
      <c r="M72" s="20"/>
      <c r="N72" s="20"/>
      <c r="O72" s="20"/>
      <c r="P72" s="20"/>
      <c r="Q72" s="20"/>
      <c r="R72" s="17"/>
      <c r="S72" s="18"/>
      <c r="T72" s="18"/>
      <c r="U72" s="18"/>
      <c r="V72" s="18"/>
      <c r="W72" s="18"/>
      <c r="X72" s="18"/>
      <c r="Y72" s="17"/>
      <c r="Z72" s="28"/>
      <c r="AA72" s="21"/>
      <c r="AB72" s="22"/>
      <c r="AC72" s="29"/>
      <c r="AD72" s="38"/>
      <c r="AE72" s="30"/>
      <c r="AF72" s="30"/>
      <c r="AG72" s="30"/>
      <c r="AH72" s="30"/>
      <c r="AI72" s="30"/>
      <c r="AJ72" s="30"/>
      <c r="AK72" s="30"/>
      <c r="AL72" s="30"/>
      <c r="AM72" s="30"/>
      <c r="AN72" s="30"/>
      <c r="AO72" s="31"/>
      <c r="AP72" s="31"/>
      <c r="AQ72" s="31"/>
      <c r="AR72" s="31"/>
      <c r="AS72" s="32"/>
      <c r="AT72" s="33"/>
      <c r="AU72" s="51"/>
      <c r="AV72" s="51"/>
      <c r="AW72" s="51"/>
      <c r="AX72" s="51"/>
      <c r="AY72" s="51"/>
      <c r="AZ72" s="51"/>
      <c r="BA72" s="51"/>
      <c r="BB72" s="51"/>
      <c r="BC72" s="51"/>
      <c r="BD72" s="52"/>
    </row>
    <row r="73" spans="1:56">
      <c r="A73" s="37" t="str">
        <f>IF(B73="","",COUNTA($B$8:B73))</f>
        <v/>
      </c>
      <c r="B73" s="17"/>
      <c r="C73" s="18"/>
      <c r="D73" s="18"/>
      <c r="E73" s="18"/>
      <c r="F73" s="18"/>
      <c r="G73" s="18"/>
      <c r="H73" s="18"/>
      <c r="I73" s="19"/>
      <c r="J73" s="20"/>
      <c r="K73" s="20"/>
      <c r="L73" s="20"/>
      <c r="M73" s="20"/>
      <c r="N73" s="20"/>
      <c r="O73" s="20"/>
      <c r="P73" s="20"/>
      <c r="Q73" s="20"/>
      <c r="R73" s="17"/>
      <c r="S73" s="18"/>
      <c r="T73" s="18"/>
      <c r="U73" s="18"/>
      <c r="V73" s="18"/>
      <c r="W73" s="18"/>
      <c r="X73" s="18"/>
      <c r="Y73" s="17"/>
      <c r="Z73" s="28"/>
      <c r="AA73" s="21"/>
      <c r="AB73" s="22"/>
      <c r="AC73" s="29"/>
      <c r="AD73" s="38"/>
      <c r="AE73" s="30"/>
      <c r="AF73" s="30"/>
      <c r="AG73" s="30"/>
      <c r="AH73" s="30"/>
      <c r="AI73" s="30"/>
      <c r="AJ73" s="30"/>
      <c r="AK73" s="30"/>
      <c r="AL73" s="30"/>
      <c r="AM73" s="30"/>
      <c r="AN73" s="30"/>
      <c r="AO73" s="31"/>
      <c r="AP73" s="31"/>
      <c r="AQ73" s="31"/>
      <c r="AR73" s="31"/>
      <c r="AS73" s="32"/>
      <c r="AT73" s="33"/>
      <c r="AU73" s="51"/>
      <c r="AV73" s="51"/>
      <c r="AW73" s="51"/>
      <c r="AX73" s="51"/>
      <c r="AY73" s="51"/>
      <c r="AZ73" s="51"/>
      <c r="BA73" s="51"/>
      <c r="BB73" s="51"/>
      <c r="BC73" s="51"/>
      <c r="BD73" s="52"/>
    </row>
    <row r="74" spans="1:56">
      <c r="A74" s="37" t="str">
        <f>IF(B74="","",COUNTA($B$8:B74))</f>
        <v/>
      </c>
      <c r="B74" s="17"/>
      <c r="C74" s="18"/>
      <c r="D74" s="18"/>
      <c r="E74" s="18"/>
      <c r="F74" s="18"/>
      <c r="G74" s="18"/>
      <c r="H74" s="18"/>
      <c r="I74" s="19"/>
      <c r="J74" s="20"/>
      <c r="K74" s="20"/>
      <c r="L74" s="20"/>
      <c r="M74" s="20"/>
      <c r="N74" s="20"/>
      <c r="O74" s="20"/>
      <c r="P74" s="20"/>
      <c r="Q74" s="20"/>
      <c r="R74" s="17"/>
      <c r="S74" s="18"/>
      <c r="T74" s="18"/>
      <c r="U74" s="18"/>
      <c r="V74" s="18"/>
      <c r="W74" s="18"/>
      <c r="X74" s="18"/>
      <c r="Y74" s="17"/>
      <c r="Z74" s="28"/>
      <c r="AA74" s="21"/>
      <c r="AB74" s="22"/>
      <c r="AC74" s="29"/>
      <c r="AD74" s="38"/>
      <c r="AE74" s="30"/>
      <c r="AF74" s="30"/>
      <c r="AG74" s="30"/>
      <c r="AH74" s="30"/>
      <c r="AI74" s="30"/>
      <c r="AJ74" s="30"/>
      <c r="AK74" s="30"/>
      <c r="AL74" s="30"/>
      <c r="AM74" s="30"/>
      <c r="AN74" s="30"/>
      <c r="AO74" s="31"/>
      <c r="AP74" s="31"/>
      <c r="AQ74" s="31"/>
      <c r="AR74" s="31"/>
      <c r="AS74" s="32"/>
      <c r="AT74" s="33"/>
      <c r="AU74" s="51"/>
      <c r="AV74" s="51"/>
      <c r="AW74" s="51"/>
      <c r="AX74" s="51"/>
      <c r="AY74" s="51"/>
      <c r="AZ74" s="51"/>
      <c r="BA74" s="51"/>
      <c r="BB74" s="51"/>
      <c r="BC74" s="51"/>
      <c r="BD74" s="52"/>
    </row>
    <row r="75" spans="1:56">
      <c r="A75" s="37" t="str">
        <f>IF(B75="","",COUNTA($B$8:B75))</f>
        <v/>
      </c>
      <c r="B75" s="17"/>
      <c r="C75" s="18"/>
      <c r="D75" s="18"/>
      <c r="E75" s="18"/>
      <c r="F75" s="18"/>
      <c r="G75" s="18"/>
      <c r="H75" s="18"/>
      <c r="I75" s="19"/>
      <c r="J75" s="20"/>
      <c r="K75" s="20"/>
      <c r="L75" s="20"/>
      <c r="M75" s="20"/>
      <c r="N75" s="20"/>
      <c r="O75" s="20"/>
      <c r="P75" s="20"/>
      <c r="Q75" s="20"/>
      <c r="R75" s="17"/>
      <c r="S75" s="18"/>
      <c r="T75" s="18"/>
      <c r="U75" s="18"/>
      <c r="V75" s="18"/>
      <c r="W75" s="18"/>
      <c r="X75" s="18"/>
      <c r="Y75" s="17"/>
      <c r="Z75" s="28"/>
      <c r="AA75" s="21"/>
      <c r="AB75" s="22"/>
      <c r="AC75" s="29"/>
      <c r="AD75" s="38"/>
      <c r="AE75" s="30"/>
      <c r="AF75" s="30"/>
      <c r="AG75" s="30"/>
      <c r="AH75" s="30"/>
      <c r="AI75" s="30"/>
      <c r="AJ75" s="30"/>
      <c r="AK75" s="30"/>
      <c r="AL75" s="30"/>
      <c r="AM75" s="30"/>
      <c r="AN75" s="30"/>
      <c r="AO75" s="31"/>
      <c r="AP75" s="31"/>
      <c r="AQ75" s="31"/>
      <c r="AR75" s="31"/>
      <c r="AS75" s="32"/>
      <c r="AT75" s="33"/>
      <c r="AU75" s="51"/>
      <c r="AV75" s="51"/>
      <c r="AW75" s="51"/>
      <c r="AX75" s="51"/>
      <c r="AY75" s="51"/>
      <c r="AZ75" s="51"/>
      <c r="BA75" s="51"/>
      <c r="BB75" s="51"/>
      <c r="BC75" s="51"/>
      <c r="BD75" s="52"/>
    </row>
    <row r="76" spans="1:56">
      <c r="A76" s="37" t="str">
        <f>IF(B76="","",COUNTA($B$8:B76))</f>
        <v/>
      </c>
      <c r="B76" s="17"/>
      <c r="C76" s="18"/>
      <c r="D76" s="18"/>
      <c r="E76" s="18"/>
      <c r="F76" s="18"/>
      <c r="G76" s="18"/>
      <c r="H76" s="18"/>
      <c r="I76" s="19"/>
      <c r="J76" s="20"/>
      <c r="K76" s="20"/>
      <c r="L76" s="20"/>
      <c r="M76" s="20"/>
      <c r="N76" s="20"/>
      <c r="O76" s="20"/>
      <c r="P76" s="20"/>
      <c r="Q76" s="20"/>
      <c r="R76" s="17"/>
      <c r="S76" s="18"/>
      <c r="T76" s="18"/>
      <c r="U76" s="18"/>
      <c r="V76" s="18"/>
      <c r="W76" s="18"/>
      <c r="X76" s="18"/>
      <c r="Y76" s="17"/>
      <c r="Z76" s="28"/>
      <c r="AA76" s="21"/>
      <c r="AB76" s="22"/>
      <c r="AC76" s="29"/>
      <c r="AD76" s="38"/>
      <c r="AE76" s="30"/>
      <c r="AF76" s="30"/>
      <c r="AG76" s="30"/>
      <c r="AH76" s="30"/>
      <c r="AI76" s="30"/>
      <c r="AJ76" s="30"/>
      <c r="AK76" s="30"/>
      <c r="AL76" s="30"/>
      <c r="AM76" s="30"/>
      <c r="AN76" s="30"/>
      <c r="AO76" s="31"/>
      <c r="AP76" s="31"/>
      <c r="AQ76" s="31"/>
      <c r="AR76" s="31"/>
      <c r="AS76" s="32"/>
      <c r="AT76" s="33"/>
      <c r="AU76" s="51"/>
      <c r="AV76" s="51"/>
      <c r="AW76" s="51"/>
      <c r="AX76" s="51"/>
      <c r="AY76" s="51"/>
      <c r="AZ76" s="51"/>
      <c r="BA76" s="51"/>
      <c r="BB76" s="51"/>
      <c r="BC76" s="51"/>
      <c r="BD76" s="52"/>
    </row>
    <row r="77" spans="1:56">
      <c r="A77" s="37" t="str">
        <f>IF(B77="","",COUNTA($B$8:B77))</f>
        <v/>
      </c>
      <c r="B77" s="17"/>
      <c r="C77" s="18"/>
      <c r="D77" s="18"/>
      <c r="E77" s="18"/>
      <c r="F77" s="18"/>
      <c r="G77" s="18"/>
      <c r="H77" s="18"/>
      <c r="I77" s="19"/>
      <c r="J77" s="20"/>
      <c r="K77" s="20"/>
      <c r="L77" s="20"/>
      <c r="M77" s="20"/>
      <c r="N77" s="20"/>
      <c r="O77" s="20"/>
      <c r="P77" s="20"/>
      <c r="Q77" s="20"/>
      <c r="R77" s="17"/>
      <c r="S77" s="18"/>
      <c r="T77" s="18"/>
      <c r="U77" s="18"/>
      <c r="V77" s="18"/>
      <c r="W77" s="18"/>
      <c r="X77" s="18"/>
      <c r="Y77" s="17"/>
      <c r="Z77" s="28"/>
      <c r="AA77" s="21"/>
      <c r="AB77" s="22"/>
      <c r="AC77" s="29"/>
      <c r="AD77" s="38"/>
      <c r="AE77" s="30"/>
      <c r="AF77" s="30"/>
      <c r="AG77" s="30"/>
      <c r="AH77" s="30"/>
      <c r="AI77" s="30"/>
      <c r="AJ77" s="30"/>
      <c r="AK77" s="30"/>
      <c r="AL77" s="30"/>
      <c r="AM77" s="30"/>
      <c r="AN77" s="30"/>
      <c r="AO77" s="31"/>
      <c r="AP77" s="31"/>
      <c r="AQ77" s="31"/>
      <c r="AR77" s="31"/>
      <c r="AS77" s="32"/>
      <c r="AT77" s="33"/>
      <c r="AU77" s="51"/>
      <c r="AV77" s="51"/>
      <c r="AW77" s="51"/>
      <c r="AX77" s="51"/>
      <c r="AY77" s="51"/>
      <c r="AZ77" s="51"/>
      <c r="BA77" s="51"/>
      <c r="BB77" s="51"/>
      <c r="BC77" s="51"/>
      <c r="BD77" s="52"/>
    </row>
    <row r="78" spans="1:56">
      <c r="A78" s="37" t="str">
        <f>IF(B78="","",COUNTA($B$8:B78))</f>
        <v/>
      </c>
      <c r="B78" s="17"/>
      <c r="C78" s="18"/>
      <c r="D78" s="18"/>
      <c r="E78" s="18"/>
      <c r="F78" s="18"/>
      <c r="G78" s="18"/>
      <c r="H78" s="18"/>
      <c r="I78" s="19"/>
      <c r="J78" s="20"/>
      <c r="K78" s="20"/>
      <c r="L78" s="20"/>
      <c r="M78" s="20"/>
      <c r="N78" s="20"/>
      <c r="O78" s="20"/>
      <c r="P78" s="20"/>
      <c r="Q78" s="20"/>
      <c r="R78" s="17"/>
      <c r="S78" s="18"/>
      <c r="T78" s="18"/>
      <c r="U78" s="18"/>
      <c r="V78" s="18"/>
      <c r="W78" s="18"/>
      <c r="X78" s="18"/>
      <c r="Y78" s="17"/>
      <c r="Z78" s="28"/>
      <c r="AA78" s="21"/>
      <c r="AB78" s="22"/>
      <c r="AC78" s="29"/>
      <c r="AD78" s="38"/>
      <c r="AE78" s="30"/>
      <c r="AF78" s="30"/>
      <c r="AG78" s="30"/>
      <c r="AH78" s="30"/>
      <c r="AI78" s="30"/>
      <c r="AJ78" s="30"/>
      <c r="AK78" s="30"/>
      <c r="AL78" s="30"/>
      <c r="AM78" s="30"/>
      <c r="AN78" s="30"/>
      <c r="AO78" s="31"/>
      <c r="AP78" s="31"/>
      <c r="AQ78" s="31"/>
      <c r="AR78" s="31"/>
      <c r="AS78" s="32"/>
      <c r="AT78" s="33"/>
      <c r="AU78" s="51"/>
      <c r="AV78" s="51"/>
      <c r="AW78" s="51"/>
      <c r="AX78" s="51"/>
      <c r="AY78" s="51"/>
      <c r="AZ78" s="51"/>
      <c r="BA78" s="51"/>
      <c r="BB78" s="51"/>
      <c r="BC78" s="51"/>
      <c r="BD78" s="52"/>
    </row>
    <row r="79" spans="1:56">
      <c r="A79" s="37" t="str">
        <f>IF(B79="","",COUNTA($B$8:B79))</f>
        <v/>
      </c>
      <c r="B79" s="17"/>
      <c r="C79" s="18"/>
      <c r="D79" s="18"/>
      <c r="E79" s="18"/>
      <c r="F79" s="18"/>
      <c r="G79" s="18"/>
      <c r="H79" s="18"/>
      <c r="I79" s="19"/>
      <c r="J79" s="20"/>
      <c r="K79" s="20"/>
      <c r="L79" s="20"/>
      <c r="M79" s="20"/>
      <c r="N79" s="20"/>
      <c r="O79" s="20"/>
      <c r="P79" s="20"/>
      <c r="Q79" s="20"/>
      <c r="R79" s="17"/>
      <c r="S79" s="18"/>
      <c r="T79" s="18"/>
      <c r="U79" s="18"/>
      <c r="V79" s="18"/>
      <c r="W79" s="18"/>
      <c r="X79" s="18"/>
      <c r="Y79" s="17"/>
      <c r="Z79" s="28"/>
      <c r="AA79" s="21"/>
      <c r="AB79" s="22"/>
      <c r="AC79" s="29"/>
      <c r="AD79" s="38"/>
      <c r="AE79" s="30"/>
      <c r="AF79" s="30"/>
      <c r="AG79" s="30"/>
      <c r="AH79" s="30"/>
      <c r="AI79" s="30"/>
      <c r="AJ79" s="30"/>
      <c r="AK79" s="30"/>
      <c r="AL79" s="30"/>
      <c r="AM79" s="30"/>
      <c r="AN79" s="30"/>
      <c r="AO79" s="31"/>
      <c r="AP79" s="31"/>
      <c r="AQ79" s="31"/>
      <c r="AR79" s="31"/>
      <c r="AS79" s="32"/>
      <c r="AT79" s="33"/>
      <c r="AU79" s="51"/>
      <c r="AV79" s="51"/>
      <c r="AW79" s="51"/>
      <c r="AX79" s="51"/>
      <c r="AY79" s="51"/>
      <c r="AZ79" s="51"/>
      <c r="BA79" s="51"/>
      <c r="BB79" s="51"/>
      <c r="BC79" s="51"/>
      <c r="BD79" s="52"/>
    </row>
    <row r="80" spans="1:56">
      <c r="A80" s="37" t="str">
        <f>IF(B80="","",COUNTA($B$8:B80))</f>
        <v/>
      </c>
      <c r="B80" s="17"/>
      <c r="C80" s="18"/>
      <c r="D80" s="18"/>
      <c r="E80" s="18"/>
      <c r="F80" s="18"/>
      <c r="G80" s="18"/>
      <c r="H80" s="18"/>
      <c r="I80" s="19"/>
      <c r="J80" s="20"/>
      <c r="K80" s="20"/>
      <c r="L80" s="20"/>
      <c r="M80" s="20"/>
      <c r="N80" s="20"/>
      <c r="O80" s="20"/>
      <c r="P80" s="20"/>
      <c r="Q80" s="20"/>
      <c r="R80" s="17"/>
      <c r="S80" s="18"/>
      <c r="T80" s="18"/>
      <c r="U80" s="18"/>
      <c r="V80" s="18"/>
      <c r="W80" s="18"/>
      <c r="X80" s="18"/>
      <c r="Y80" s="17"/>
      <c r="Z80" s="28"/>
      <c r="AA80" s="21"/>
      <c r="AB80" s="22"/>
      <c r="AC80" s="29"/>
      <c r="AD80" s="38"/>
      <c r="AE80" s="30"/>
      <c r="AF80" s="30"/>
      <c r="AG80" s="30"/>
      <c r="AH80" s="30"/>
      <c r="AI80" s="30"/>
      <c r="AJ80" s="30"/>
      <c r="AK80" s="30"/>
      <c r="AL80" s="30"/>
      <c r="AM80" s="30"/>
      <c r="AN80" s="30"/>
      <c r="AO80" s="31"/>
      <c r="AP80" s="31"/>
      <c r="AQ80" s="31"/>
      <c r="AR80" s="31"/>
      <c r="AS80" s="32"/>
      <c r="AT80" s="33"/>
      <c r="AU80" s="51"/>
      <c r="AV80" s="51"/>
      <c r="AW80" s="51"/>
      <c r="AX80" s="51"/>
      <c r="AY80" s="51"/>
      <c r="AZ80" s="51"/>
      <c r="BA80" s="51"/>
      <c r="BB80" s="51"/>
      <c r="BC80" s="51"/>
      <c r="BD80" s="52"/>
    </row>
    <row r="81" spans="1:56">
      <c r="A81" s="37" t="str">
        <f>IF(B81="","",COUNTA($B$8:B81))</f>
        <v/>
      </c>
      <c r="B81" s="17"/>
      <c r="C81" s="18"/>
      <c r="D81" s="18"/>
      <c r="E81" s="18"/>
      <c r="F81" s="18"/>
      <c r="G81" s="18"/>
      <c r="H81" s="18"/>
      <c r="I81" s="19"/>
      <c r="J81" s="20"/>
      <c r="K81" s="20"/>
      <c r="L81" s="20"/>
      <c r="M81" s="20"/>
      <c r="N81" s="20"/>
      <c r="O81" s="20"/>
      <c r="P81" s="20"/>
      <c r="Q81" s="20"/>
      <c r="R81" s="17"/>
      <c r="S81" s="18"/>
      <c r="T81" s="18"/>
      <c r="U81" s="18"/>
      <c r="V81" s="18"/>
      <c r="W81" s="18"/>
      <c r="X81" s="18"/>
      <c r="Y81" s="17"/>
      <c r="Z81" s="28"/>
      <c r="AA81" s="21"/>
      <c r="AB81" s="22"/>
      <c r="AC81" s="29"/>
      <c r="AD81" s="38"/>
      <c r="AE81" s="30"/>
      <c r="AF81" s="30"/>
      <c r="AG81" s="30"/>
      <c r="AH81" s="30"/>
      <c r="AI81" s="30"/>
      <c r="AJ81" s="30"/>
      <c r="AK81" s="30"/>
      <c r="AL81" s="30"/>
      <c r="AM81" s="30"/>
      <c r="AN81" s="30"/>
      <c r="AO81" s="31"/>
      <c r="AP81" s="31"/>
      <c r="AQ81" s="31"/>
      <c r="AR81" s="31"/>
      <c r="AS81" s="32"/>
      <c r="AT81" s="33"/>
      <c r="AU81" s="51"/>
      <c r="AV81" s="51"/>
      <c r="AW81" s="51"/>
      <c r="AX81" s="51"/>
      <c r="AY81" s="51"/>
      <c r="AZ81" s="51"/>
      <c r="BA81" s="51"/>
      <c r="BB81" s="51"/>
      <c r="BC81" s="51"/>
      <c r="BD81" s="52"/>
    </row>
    <row r="82" spans="1:56">
      <c r="A82" s="37" t="str">
        <f>IF(B82="","",COUNTA($B$8:B82))</f>
        <v/>
      </c>
      <c r="B82" s="17"/>
      <c r="C82" s="18"/>
      <c r="D82" s="18"/>
      <c r="E82" s="18"/>
      <c r="F82" s="18"/>
      <c r="G82" s="18"/>
      <c r="H82" s="18"/>
      <c r="I82" s="19"/>
      <c r="J82" s="20"/>
      <c r="K82" s="20"/>
      <c r="L82" s="20"/>
      <c r="M82" s="20"/>
      <c r="N82" s="20"/>
      <c r="O82" s="20"/>
      <c r="P82" s="20"/>
      <c r="Q82" s="20"/>
      <c r="R82" s="17"/>
      <c r="S82" s="18"/>
      <c r="T82" s="18"/>
      <c r="U82" s="18"/>
      <c r="V82" s="18"/>
      <c r="W82" s="18"/>
      <c r="X82" s="18"/>
      <c r="Y82" s="17"/>
      <c r="Z82" s="28"/>
      <c r="AA82" s="21"/>
      <c r="AB82" s="22"/>
      <c r="AC82" s="29"/>
      <c r="AD82" s="38"/>
      <c r="AE82" s="30"/>
      <c r="AF82" s="30"/>
      <c r="AG82" s="30"/>
      <c r="AH82" s="30"/>
      <c r="AI82" s="30"/>
      <c r="AJ82" s="30"/>
      <c r="AK82" s="30"/>
      <c r="AL82" s="30"/>
      <c r="AM82" s="30"/>
      <c r="AN82" s="30"/>
      <c r="AO82" s="31"/>
      <c r="AP82" s="31"/>
      <c r="AQ82" s="31"/>
      <c r="AR82" s="31"/>
      <c r="AS82" s="32"/>
      <c r="AT82" s="33"/>
      <c r="AU82" s="51"/>
      <c r="AV82" s="51"/>
      <c r="AW82" s="51"/>
      <c r="AX82" s="51"/>
      <c r="AY82" s="51"/>
      <c r="AZ82" s="51"/>
      <c r="BA82" s="51"/>
      <c r="BB82" s="51"/>
      <c r="BC82" s="51"/>
      <c r="BD82" s="52"/>
    </row>
    <row r="83" spans="1:56">
      <c r="A83" s="37" t="str">
        <f>IF(B83="","",COUNTA($B$8:B83))</f>
        <v/>
      </c>
      <c r="B83" s="17"/>
      <c r="C83" s="18"/>
      <c r="D83" s="18"/>
      <c r="E83" s="18"/>
      <c r="F83" s="18"/>
      <c r="G83" s="18"/>
      <c r="H83" s="18"/>
      <c r="I83" s="19"/>
      <c r="J83" s="20"/>
      <c r="K83" s="20"/>
      <c r="L83" s="20"/>
      <c r="M83" s="20"/>
      <c r="N83" s="20"/>
      <c r="O83" s="20"/>
      <c r="P83" s="20"/>
      <c r="Q83" s="20"/>
      <c r="R83" s="17"/>
      <c r="S83" s="18"/>
      <c r="T83" s="18"/>
      <c r="U83" s="18"/>
      <c r="V83" s="18"/>
      <c r="W83" s="18"/>
      <c r="X83" s="18"/>
      <c r="Y83" s="17"/>
      <c r="Z83" s="28"/>
      <c r="AA83" s="21"/>
      <c r="AB83" s="22"/>
      <c r="AC83" s="29"/>
      <c r="AD83" s="38"/>
      <c r="AE83" s="30"/>
      <c r="AF83" s="30"/>
      <c r="AG83" s="30"/>
      <c r="AH83" s="30"/>
      <c r="AI83" s="30"/>
      <c r="AJ83" s="30"/>
      <c r="AK83" s="30"/>
      <c r="AL83" s="30"/>
      <c r="AM83" s="30"/>
      <c r="AN83" s="30"/>
      <c r="AO83" s="31"/>
      <c r="AP83" s="31"/>
      <c r="AQ83" s="31"/>
      <c r="AR83" s="31"/>
      <c r="AS83" s="32"/>
      <c r="AT83" s="33"/>
      <c r="AU83" s="51"/>
      <c r="AV83" s="51"/>
      <c r="AW83" s="51"/>
      <c r="AX83" s="51"/>
      <c r="AY83" s="51"/>
      <c r="AZ83" s="51"/>
      <c r="BA83" s="51"/>
      <c r="BB83" s="51"/>
      <c r="BC83" s="51"/>
      <c r="BD83" s="52"/>
    </row>
    <row r="84" spans="1:56">
      <c r="A84" s="37" t="str">
        <f>IF(B84="","",COUNTA($B$8:B84))</f>
        <v/>
      </c>
      <c r="B84" s="17"/>
      <c r="C84" s="18"/>
      <c r="D84" s="18"/>
      <c r="E84" s="18"/>
      <c r="F84" s="18"/>
      <c r="G84" s="18"/>
      <c r="H84" s="18"/>
      <c r="I84" s="19"/>
      <c r="J84" s="20"/>
      <c r="K84" s="20"/>
      <c r="L84" s="20"/>
      <c r="M84" s="20"/>
      <c r="N84" s="20"/>
      <c r="O84" s="20"/>
      <c r="P84" s="20"/>
      <c r="Q84" s="20"/>
      <c r="R84" s="17"/>
      <c r="S84" s="18"/>
      <c r="T84" s="18"/>
      <c r="U84" s="18"/>
      <c r="V84" s="18"/>
      <c r="W84" s="18"/>
      <c r="X84" s="18"/>
      <c r="Y84" s="17"/>
      <c r="Z84" s="28"/>
      <c r="AA84" s="21"/>
      <c r="AB84" s="22"/>
      <c r="AC84" s="29"/>
      <c r="AD84" s="38"/>
      <c r="AE84" s="30"/>
      <c r="AF84" s="30"/>
      <c r="AG84" s="30"/>
      <c r="AH84" s="30"/>
      <c r="AI84" s="30"/>
      <c r="AJ84" s="30"/>
      <c r="AK84" s="30"/>
      <c r="AL84" s="30"/>
      <c r="AM84" s="30"/>
      <c r="AN84" s="30"/>
      <c r="AO84" s="31"/>
      <c r="AP84" s="31"/>
      <c r="AQ84" s="31"/>
      <c r="AR84" s="31"/>
      <c r="AS84" s="32"/>
      <c r="AT84" s="33"/>
      <c r="AU84" s="51"/>
      <c r="AV84" s="51"/>
      <c r="AW84" s="51"/>
      <c r="AX84" s="51"/>
      <c r="AY84" s="51"/>
      <c r="AZ84" s="51"/>
      <c r="BA84" s="51"/>
      <c r="BB84" s="51"/>
      <c r="BC84" s="51"/>
      <c r="BD84" s="52"/>
    </row>
    <row r="85" spans="1:56">
      <c r="A85" s="37" t="str">
        <f>IF(B85="","",COUNTA($B$8:B85))</f>
        <v/>
      </c>
      <c r="B85" s="17"/>
      <c r="C85" s="18"/>
      <c r="D85" s="18"/>
      <c r="E85" s="18"/>
      <c r="F85" s="18"/>
      <c r="G85" s="18"/>
      <c r="H85" s="18"/>
      <c r="I85" s="19"/>
      <c r="J85" s="20"/>
      <c r="K85" s="20"/>
      <c r="L85" s="20"/>
      <c r="M85" s="20"/>
      <c r="N85" s="20"/>
      <c r="O85" s="20"/>
      <c r="P85" s="20"/>
      <c r="Q85" s="20"/>
      <c r="R85" s="17"/>
      <c r="S85" s="18"/>
      <c r="T85" s="18"/>
      <c r="U85" s="18"/>
      <c r="V85" s="18"/>
      <c r="W85" s="18"/>
      <c r="X85" s="18"/>
      <c r="Y85" s="17"/>
      <c r="Z85" s="28"/>
      <c r="AA85" s="21"/>
      <c r="AB85" s="22"/>
      <c r="AC85" s="29"/>
      <c r="AD85" s="38"/>
      <c r="AE85" s="30"/>
      <c r="AF85" s="30"/>
      <c r="AG85" s="30"/>
      <c r="AH85" s="30"/>
      <c r="AI85" s="30"/>
      <c r="AJ85" s="30"/>
      <c r="AK85" s="30"/>
      <c r="AL85" s="30"/>
      <c r="AM85" s="30"/>
      <c r="AN85" s="30"/>
      <c r="AO85" s="31"/>
      <c r="AP85" s="31"/>
      <c r="AQ85" s="31"/>
      <c r="AR85" s="31"/>
      <c r="AS85" s="32"/>
      <c r="AT85" s="33"/>
      <c r="AU85" s="51"/>
      <c r="AV85" s="51"/>
      <c r="AW85" s="51"/>
      <c r="AX85" s="51"/>
      <c r="AY85" s="51"/>
      <c r="AZ85" s="51"/>
      <c r="BA85" s="51"/>
      <c r="BB85" s="51"/>
      <c r="BC85" s="51"/>
      <c r="BD85" s="52"/>
    </row>
  </sheetData>
  <mergeCells count="134">
    <mergeCell ref="Y60:Z60"/>
    <mergeCell ref="AA60:AC60"/>
    <mergeCell ref="Y59:Z59"/>
    <mergeCell ref="AA59:AC59"/>
    <mergeCell ref="Y49:Z49"/>
    <mergeCell ref="Y50:Z50"/>
    <mergeCell ref="Y52:Z52"/>
    <mergeCell ref="Y53:Z53"/>
    <mergeCell ref="Y54:Z54"/>
    <mergeCell ref="Y55:Z55"/>
    <mergeCell ref="Y56:Z56"/>
    <mergeCell ref="AA54:AC54"/>
    <mergeCell ref="AA55:AC55"/>
    <mergeCell ref="AA56:AC56"/>
    <mergeCell ref="Y57:Z57"/>
    <mergeCell ref="AA57:AC57"/>
    <mergeCell ref="Y58:Z58"/>
    <mergeCell ref="AA58:AC58"/>
    <mergeCell ref="AA49:AC49"/>
    <mergeCell ref="AA50:AC50"/>
    <mergeCell ref="Y51:Z51"/>
    <mergeCell ref="AA51:AC51"/>
    <mergeCell ref="AA52:AC52"/>
    <mergeCell ref="AA53:AC53"/>
    <mergeCell ref="Y48:Z48"/>
    <mergeCell ref="AA48:AC48"/>
    <mergeCell ref="Y40:Z40"/>
    <mergeCell ref="AA40:AC40"/>
    <mergeCell ref="Y41:Z41"/>
    <mergeCell ref="AA41:AC41"/>
    <mergeCell ref="Y45:Z45"/>
    <mergeCell ref="AA45:AC45"/>
    <mergeCell ref="AA42:AC42"/>
    <mergeCell ref="Y42:Z42"/>
    <mergeCell ref="Y43:Z43"/>
    <mergeCell ref="AA43:AC43"/>
    <mergeCell ref="Y44:Z44"/>
    <mergeCell ref="AA44:AC44"/>
    <mergeCell ref="AA37:AC37"/>
    <mergeCell ref="Y38:Z38"/>
    <mergeCell ref="AA38:AC38"/>
    <mergeCell ref="Y24:Z24"/>
    <mergeCell ref="AA24:AC24"/>
    <mergeCell ref="Y46:Z46"/>
    <mergeCell ref="AA46:AC46"/>
    <mergeCell ref="Y47:Z47"/>
    <mergeCell ref="AA47:AC47"/>
    <mergeCell ref="AA16:AC16"/>
    <mergeCell ref="Y17:Z17"/>
    <mergeCell ref="AA17:AC17"/>
    <mergeCell ref="Y15:Z15"/>
    <mergeCell ref="AA15:AC15"/>
    <mergeCell ref="Y39:Z39"/>
    <mergeCell ref="AA39:AC39"/>
    <mergeCell ref="Y21:Z21"/>
    <mergeCell ref="AA21:AC21"/>
    <mergeCell ref="Y29:Z29"/>
    <mergeCell ref="AA29:AC29"/>
    <mergeCell ref="Y30:Z30"/>
    <mergeCell ref="AA30:AC30"/>
    <mergeCell ref="Y32:Z32"/>
    <mergeCell ref="AA32:AC32"/>
    <mergeCell ref="Y26:Z26"/>
    <mergeCell ref="AA26:AC26"/>
    <mergeCell ref="Y27:Z27"/>
    <mergeCell ref="AA27:AC27"/>
    <mergeCell ref="Y28:Z28"/>
    <mergeCell ref="AA28:AC28"/>
    <mergeCell ref="Y31:Z31"/>
    <mergeCell ref="AA31:AC31"/>
    <mergeCell ref="Y37:Z37"/>
    <mergeCell ref="AU1:AY1"/>
    <mergeCell ref="AP4:AT4"/>
    <mergeCell ref="AU4:AY4"/>
    <mergeCell ref="AZ1:BD1"/>
    <mergeCell ref="I2:Q4"/>
    <mergeCell ref="R2:X4"/>
    <mergeCell ref="Y2:AO3"/>
    <mergeCell ref="AP2:AT2"/>
    <mergeCell ref="AZ2:BD2"/>
    <mergeCell ref="AP3:AT3"/>
    <mergeCell ref="AU3:AY3"/>
    <mergeCell ref="AZ3:BD3"/>
    <mergeCell ref="Y4:AO4"/>
    <mergeCell ref="AZ4:BD4"/>
    <mergeCell ref="AP1:AT1"/>
    <mergeCell ref="AI6:AR6"/>
    <mergeCell ref="AS6:BD7"/>
    <mergeCell ref="Y33:Z33"/>
    <mergeCell ref="AA33:AC33"/>
    <mergeCell ref="Y35:Z35"/>
    <mergeCell ref="AA35:AC35"/>
    <mergeCell ref="AA10:AC10"/>
    <mergeCell ref="Y10:Z10"/>
    <mergeCell ref="A6:A7"/>
    <mergeCell ref="B6:H7"/>
    <mergeCell ref="I6:Q7"/>
    <mergeCell ref="R6:X7"/>
    <mergeCell ref="Y6:Z7"/>
    <mergeCell ref="AA6:AC7"/>
    <mergeCell ref="AD6:AD7"/>
    <mergeCell ref="AE6:AE7"/>
    <mergeCell ref="AF6:AF7"/>
    <mergeCell ref="Y18:Z18"/>
    <mergeCell ref="AA18:AC18"/>
    <mergeCell ref="Y19:Z19"/>
    <mergeCell ref="AA19:AC19"/>
    <mergeCell ref="Y13:Z13"/>
    <mergeCell ref="AA13:AC13"/>
    <mergeCell ref="Y16:Z16"/>
    <mergeCell ref="Y36:Z36"/>
    <mergeCell ref="AA36:AC36"/>
    <mergeCell ref="Y34:Z34"/>
    <mergeCell ref="AA34:AC34"/>
    <mergeCell ref="A1:H4"/>
    <mergeCell ref="I1:Q1"/>
    <mergeCell ref="R1:X1"/>
    <mergeCell ref="Y1:AO1"/>
    <mergeCell ref="AA9:AC9"/>
    <mergeCell ref="AA11:AC11"/>
    <mergeCell ref="AA12:AC12"/>
    <mergeCell ref="Y25:Z25"/>
    <mergeCell ref="AA25:AC25"/>
    <mergeCell ref="Y20:Z20"/>
    <mergeCell ref="AA20:AC20"/>
    <mergeCell ref="Y22:Z22"/>
    <mergeCell ref="AA22:AC22"/>
    <mergeCell ref="Y23:Z23"/>
    <mergeCell ref="AA23:AC23"/>
    <mergeCell ref="AA8:AC8"/>
    <mergeCell ref="Y14:Z14"/>
    <mergeCell ref="AA14:AC14"/>
    <mergeCell ref="AG6:AG7"/>
    <mergeCell ref="AH6:AH7"/>
  </mergeCells>
  <phoneticPr fontId="12"/>
  <dataValidations count="5">
    <dataValidation type="list" allowBlank="1" showInputMessage="1" showErrorMessage="1" sqref="AA16:AC17 AA41:AC43 AA21:AC21 AA10:AC10 AA33:AC37">
      <formula1>"int,numeric,varchar,date,datetime2(0),datetime2,varbinary(max)"</formula1>
    </dataValidation>
    <dataValidation type="list" allowBlank="1" showInputMessage="1" showErrorMessage="1" sqref="Y44:Z85 Y41:Y43 Y8:Z9 Y10 Y11:Z33 Y35:Z40 Y34">
      <formula1>"文字,数値,日付,時間"</formula1>
    </dataValidation>
    <dataValidation imeMode="hiragana" allowBlank="1" showInputMessage="1" showErrorMessage="1" sqref="JG65518:JR65520 TC65518:TN65520 ACY65518:ADJ65520 AMU65518:ANF65520 AWQ65518:AXB65520 BGM65518:BGX65520 BQI65518:BQT65520 CAE65518:CAP65520 CKA65518:CKL65520 CTW65518:CUH65520 DDS65518:DED65520 DNO65518:DNZ65520 DXK65518:DXV65520 EHG65518:EHR65520 ERC65518:ERN65520 FAY65518:FBJ65520 FKU65518:FLF65520 FUQ65518:FVB65520 GEM65518:GEX65520 GOI65518:GOT65520 GYE65518:GYP65520 HIA65518:HIL65520 HRW65518:HSH65520 IBS65518:ICD65520 ILO65518:ILZ65520 IVK65518:IVV65520 JFG65518:JFR65520 JPC65518:JPN65520 JYY65518:JZJ65520 KIU65518:KJF65520 KSQ65518:KTB65520 LCM65518:LCX65520 LMI65518:LMT65520 LWE65518:LWP65520 MGA65518:MGL65520 MPW65518:MQH65520 MZS65518:NAD65520 NJO65518:NJZ65520 NTK65518:NTV65520 ODG65518:ODR65520 ONC65518:ONN65520 OWY65518:OXJ65520 PGU65518:PHF65520 PQQ65518:PRB65520 QAM65518:QAX65520 QKI65518:QKT65520 QUE65518:QUP65520 REA65518:REL65520 RNW65518:ROH65520 RXS65518:RYD65520 SHO65518:SHZ65520 SRK65518:SRV65520 TBG65518:TBR65520 TLC65518:TLN65520 TUY65518:TVJ65520 UEU65518:UFF65520 UOQ65518:UPB65520 UYM65518:UYX65520 VII65518:VIT65520 VSE65518:VSP65520 WCA65518:WCL65520 WLW65518:WMH65520 WVS65518:WWD65520 JG131054:JR131056 TC131054:TN131056 ACY131054:ADJ131056 AMU131054:ANF131056 AWQ131054:AXB131056 BGM131054:BGX131056 BQI131054:BQT131056 CAE131054:CAP131056 CKA131054:CKL131056 CTW131054:CUH131056 DDS131054:DED131056 DNO131054:DNZ131056 DXK131054:DXV131056 EHG131054:EHR131056 ERC131054:ERN131056 FAY131054:FBJ131056 FKU131054:FLF131056 FUQ131054:FVB131056 GEM131054:GEX131056 GOI131054:GOT131056 GYE131054:GYP131056 HIA131054:HIL131056 HRW131054:HSH131056 IBS131054:ICD131056 ILO131054:ILZ131056 IVK131054:IVV131056 JFG131054:JFR131056 JPC131054:JPN131056 JYY131054:JZJ131056 KIU131054:KJF131056 KSQ131054:KTB131056 LCM131054:LCX131056 LMI131054:LMT131056 LWE131054:LWP131056 MGA131054:MGL131056 MPW131054:MQH131056 MZS131054:NAD131056 NJO131054:NJZ131056 NTK131054:NTV131056 ODG131054:ODR131056 ONC131054:ONN131056 OWY131054:OXJ131056 PGU131054:PHF131056 PQQ131054:PRB131056 QAM131054:QAX131056 QKI131054:QKT131056 QUE131054:QUP131056 REA131054:REL131056 RNW131054:ROH131056 RXS131054:RYD131056 SHO131054:SHZ131056 SRK131054:SRV131056 TBG131054:TBR131056 TLC131054:TLN131056 TUY131054:TVJ131056 UEU131054:UFF131056 UOQ131054:UPB131056 UYM131054:UYX131056 VII131054:VIT131056 VSE131054:VSP131056 WCA131054:WCL131056 WLW131054:WMH131056 WVS131054:WWD131056 JG196590:JR196592 TC196590:TN196592 ACY196590:ADJ196592 AMU196590:ANF196592 AWQ196590:AXB196592 BGM196590:BGX196592 BQI196590:BQT196592 CAE196590:CAP196592 CKA196590:CKL196592 CTW196590:CUH196592 DDS196590:DED196592 DNO196590:DNZ196592 DXK196590:DXV196592 EHG196590:EHR196592 ERC196590:ERN196592 FAY196590:FBJ196592 FKU196590:FLF196592 FUQ196590:FVB196592 GEM196590:GEX196592 GOI196590:GOT196592 GYE196590:GYP196592 HIA196590:HIL196592 HRW196590:HSH196592 IBS196590:ICD196592 ILO196590:ILZ196592 IVK196590:IVV196592 JFG196590:JFR196592 JPC196590:JPN196592 JYY196590:JZJ196592 KIU196590:KJF196592 KSQ196590:KTB196592 LCM196590:LCX196592 LMI196590:LMT196592 LWE196590:LWP196592 MGA196590:MGL196592 MPW196590:MQH196592 MZS196590:NAD196592 NJO196590:NJZ196592 NTK196590:NTV196592 ODG196590:ODR196592 ONC196590:ONN196592 OWY196590:OXJ196592 PGU196590:PHF196592 PQQ196590:PRB196592 QAM196590:QAX196592 QKI196590:QKT196592 QUE196590:QUP196592 REA196590:REL196592 RNW196590:ROH196592 RXS196590:RYD196592 SHO196590:SHZ196592 SRK196590:SRV196592 TBG196590:TBR196592 TLC196590:TLN196592 TUY196590:TVJ196592 UEU196590:UFF196592 UOQ196590:UPB196592 UYM196590:UYX196592 VII196590:VIT196592 VSE196590:VSP196592 WCA196590:WCL196592 WLW196590:WMH196592 WVS196590:WWD196592 JG262126:JR262128 TC262126:TN262128 ACY262126:ADJ262128 AMU262126:ANF262128 AWQ262126:AXB262128 BGM262126:BGX262128 BQI262126:BQT262128 CAE262126:CAP262128 CKA262126:CKL262128 CTW262126:CUH262128 DDS262126:DED262128 DNO262126:DNZ262128 DXK262126:DXV262128 EHG262126:EHR262128 ERC262126:ERN262128 FAY262126:FBJ262128 FKU262126:FLF262128 FUQ262126:FVB262128 GEM262126:GEX262128 GOI262126:GOT262128 GYE262126:GYP262128 HIA262126:HIL262128 HRW262126:HSH262128 IBS262126:ICD262128 ILO262126:ILZ262128 IVK262126:IVV262128 JFG262126:JFR262128 JPC262126:JPN262128 JYY262126:JZJ262128 KIU262126:KJF262128 KSQ262126:KTB262128 LCM262126:LCX262128 LMI262126:LMT262128 LWE262126:LWP262128 MGA262126:MGL262128 MPW262126:MQH262128 MZS262126:NAD262128 NJO262126:NJZ262128 NTK262126:NTV262128 ODG262126:ODR262128 ONC262126:ONN262128 OWY262126:OXJ262128 PGU262126:PHF262128 PQQ262126:PRB262128 QAM262126:QAX262128 QKI262126:QKT262128 QUE262126:QUP262128 REA262126:REL262128 RNW262126:ROH262128 RXS262126:RYD262128 SHO262126:SHZ262128 SRK262126:SRV262128 TBG262126:TBR262128 TLC262126:TLN262128 TUY262126:TVJ262128 UEU262126:UFF262128 UOQ262126:UPB262128 UYM262126:UYX262128 VII262126:VIT262128 VSE262126:VSP262128 WCA262126:WCL262128 WLW262126:WMH262128 WVS262126:WWD262128 JG327662:JR327664 TC327662:TN327664 ACY327662:ADJ327664 AMU327662:ANF327664 AWQ327662:AXB327664 BGM327662:BGX327664 BQI327662:BQT327664 CAE327662:CAP327664 CKA327662:CKL327664 CTW327662:CUH327664 DDS327662:DED327664 DNO327662:DNZ327664 DXK327662:DXV327664 EHG327662:EHR327664 ERC327662:ERN327664 FAY327662:FBJ327664 FKU327662:FLF327664 FUQ327662:FVB327664 GEM327662:GEX327664 GOI327662:GOT327664 GYE327662:GYP327664 HIA327662:HIL327664 HRW327662:HSH327664 IBS327662:ICD327664 ILO327662:ILZ327664 IVK327662:IVV327664 JFG327662:JFR327664 JPC327662:JPN327664 JYY327662:JZJ327664 KIU327662:KJF327664 KSQ327662:KTB327664 LCM327662:LCX327664 LMI327662:LMT327664 LWE327662:LWP327664 MGA327662:MGL327664 MPW327662:MQH327664 MZS327662:NAD327664 NJO327662:NJZ327664 NTK327662:NTV327664 ODG327662:ODR327664 ONC327662:ONN327664 OWY327662:OXJ327664 PGU327662:PHF327664 PQQ327662:PRB327664 QAM327662:QAX327664 QKI327662:QKT327664 QUE327662:QUP327664 REA327662:REL327664 RNW327662:ROH327664 RXS327662:RYD327664 SHO327662:SHZ327664 SRK327662:SRV327664 TBG327662:TBR327664 TLC327662:TLN327664 TUY327662:TVJ327664 UEU327662:UFF327664 UOQ327662:UPB327664 UYM327662:UYX327664 VII327662:VIT327664 VSE327662:VSP327664 WCA327662:WCL327664 WLW327662:WMH327664 WVS327662:WWD327664 JG393198:JR393200 TC393198:TN393200 ACY393198:ADJ393200 AMU393198:ANF393200 AWQ393198:AXB393200 BGM393198:BGX393200 BQI393198:BQT393200 CAE393198:CAP393200 CKA393198:CKL393200 CTW393198:CUH393200 DDS393198:DED393200 DNO393198:DNZ393200 DXK393198:DXV393200 EHG393198:EHR393200 ERC393198:ERN393200 FAY393198:FBJ393200 FKU393198:FLF393200 FUQ393198:FVB393200 GEM393198:GEX393200 GOI393198:GOT393200 GYE393198:GYP393200 HIA393198:HIL393200 HRW393198:HSH393200 IBS393198:ICD393200 ILO393198:ILZ393200 IVK393198:IVV393200 JFG393198:JFR393200 JPC393198:JPN393200 JYY393198:JZJ393200 KIU393198:KJF393200 KSQ393198:KTB393200 LCM393198:LCX393200 LMI393198:LMT393200 LWE393198:LWP393200 MGA393198:MGL393200 MPW393198:MQH393200 MZS393198:NAD393200 NJO393198:NJZ393200 NTK393198:NTV393200 ODG393198:ODR393200 ONC393198:ONN393200 OWY393198:OXJ393200 PGU393198:PHF393200 PQQ393198:PRB393200 QAM393198:QAX393200 QKI393198:QKT393200 QUE393198:QUP393200 REA393198:REL393200 RNW393198:ROH393200 RXS393198:RYD393200 SHO393198:SHZ393200 SRK393198:SRV393200 TBG393198:TBR393200 TLC393198:TLN393200 TUY393198:TVJ393200 UEU393198:UFF393200 UOQ393198:UPB393200 UYM393198:UYX393200 VII393198:VIT393200 VSE393198:VSP393200 WCA393198:WCL393200 WLW393198:WMH393200 WVS393198:WWD393200 JG458734:JR458736 TC458734:TN458736 ACY458734:ADJ458736 AMU458734:ANF458736 AWQ458734:AXB458736 BGM458734:BGX458736 BQI458734:BQT458736 CAE458734:CAP458736 CKA458734:CKL458736 CTW458734:CUH458736 DDS458734:DED458736 DNO458734:DNZ458736 DXK458734:DXV458736 EHG458734:EHR458736 ERC458734:ERN458736 FAY458734:FBJ458736 FKU458734:FLF458736 FUQ458734:FVB458736 GEM458734:GEX458736 GOI458734:GOT458736 GYE458734:GYP458736 HIA458734:HIL458736 HRW458734:HSH458736 IBS458734:ICD458736 ILO458734:ILZ458736 IVK458734:IVV458736 JFG458734:JFR458736 JPC458734:JPN458736 JYY458734:JZJ458736 KIU458734:KJF458736 KSQ458734:KTB458736 LCM458734:LCX458736 LMI458734:LMT458736 LWE458734:LWP458736 MGA458734:MGL458736 MPW458734:MQH458736 MZS458734:NAD458736 NJO458734:NJZ458736 NTK458734:NTV458736 ODG458734:ODR458736 ONC458734:ONN458736 OWY458734:OXJ458736 PGU458734:PHF458736 PQQ458734:PRB458736 QAM458734:QAX458736 QKI458734:QKT458736 QUE458734:QUP458736 REA458734:REL458736 RNW458734:ROH458736 RXS458734:RYD458736 SHO458734:SHZ458736 SRK458734:SRV458736 TBG458734:TBR458736 TLC458734:TLN458736 TUY458734:TVJ458736 UEU458734:UFF458736 UOQ458734:UPB458736 UYM458734:UYX458736 VII458734:VIT458736 VSE458734:VSP458736 WCA458734:WCL458736 WLW458734:WMH458736 WVS458734:WWD458736 JG524270:JR524272 TC524270:TN524272 ACY524270:ADJ524272 AMU524270:ANF524272 AWQ524270:AXB524272 BGM524270:BGX524272 BQI524270:BQT524272 CAE524270:CAP524272 CKA524270:CKL524272 CTW524270:CUH524272 DDS524270:DED524272 DNO524270:DNZ524272 DXK524270:DXV524272 EHG524270:EHR524272 ERC524270:ERN524272 FAY524270:FBJ524272 FKU524270:FLF524272 FUQ524270:FVB524272 GEM524270:GEX524272 GOI524270:GOT524272 GYE524270:GYP524272 HIA524270:HIL524272 HRW524270:HSH524272 IBS524270:ICD524272 ILO524270:ILZ524272 IVK524270:IVV524272 JFG524270:JFR524272 JPC524270:JPN524272 JYY524270:JZJ524272 KIU524270:KJF524272 KSQ524270:KTB524272 LCM524270:LCX524272 LMI524270:LMT524272 LWE524270:LWP524272 MGA524270:MGL524272 MPW524270:MQH524272 MZS524270:NAD524272 NJO524270:NJZ524272 NTK524270:NTV524272 ODG524270:ODR524272 ONC524270:ONN524272 OWY524270:OXJ524272 PGU524270:PHF524272 PQQ524270:PRB524272 QAM524270:QAX524272 QKI524270:QKT524272 QUE524270:QUP524272 REA524270:REL524272 RNW524270:ROH524272 RXS524270:RYD524272 SHO524270:SHZ524272 SRK524270:SRV524272 TBG524270:TBR524272 TLC524270:TLN524272 TUY524270:TVJ524272 UEU524270:UFF524272 UOQ524270:UPB524272 UYM524270:UYX524272 VII524270:VIT524272 VSE524270:VSP524272 WCA524270:WCL524272 WLW524270:WMH524272 WVS524270:WWD524272 JG589806:JR589808 TC589806:TN589808 ACY589806:ADJ589808 AMU589806:ANF589808 AWQ589806:AXB589808 BGM589806:BGX589808 BQI589806:BQT589808 CAE589806:CAP589808 CKA589806:CKL589808 CTW589806:CUH589808 DDS589806:DED589808 DNO589806:DNZ589808 DXK589806:DXV589808 EHG589806:EHR589808 ERC589806:ERN589808 FAY589806:FBJ589808 FKU589806:FLF589808 FUQ589806:FVB589808 GEM589806:GEX589808 GOI589806:GOT589808 GYE589806:GYP589808 HIA589806:HIL589808 HRW589806:HSH589808 IBS589806:ICD589808 ILO589806:ILZ589808 IVK589806:IVV589808 JFG589806:JFR589808 JPC589806:JPN589808 JYY589806:JZJ589808 KIU589806:KJF589808 KSQ589806:KTB589808 LCM589806:LCX589808 LMI589806:LMT589808 LWE589806:LWP589808 MGA589806:MGL589808 MPW589806:MQH589808 MZS589806:NAD589808 NJO589806:NJZ589808 NTK589806:NTV589808 ODG589806:ODR589808 ONC589806:ONN589808 OWY589806:OXJ589808 PGU589806:PHF589808 PQQ589806:PRB589808 QAM589806:QAX589808 QKI589806:QKT589808 QUE589806:QUP589808 REA589806:REL589808 RNW589806:ROH589808 RXS589806:RYD589808 SHO589806:SHZ589808 SRK589806:SRV589808 TBG589806:TBR589808 TLC589806:TLN589808 TUY589806:TVJ589808 UEU589806:UFF589808 UOQ589806:UPB589808 UYM589806:UYX589808 VII589806:VIT589808 VSE589806:VSP589808 WCA589806:WCL589808 WLW589806:WMH589808 WVS589806:WWD589808 JG655342:JR655344 TC655342:TN655344 ACY655342:ADJ655344 AMU655342:ANF655344 AWQ655342:AXB655344 BGM655342:BGX655344 BQI655342:BQT655344 CAE655342:CAP655344 CKA655342:CKL655344 CTW655342:CUH655344 DDS655342:DED655344 DNO655342:DNZ655344 DXK655342:DXV655344 EHG655342:EHR655344 ERC655342:ERN655344 FAY655342:FBJ655344 FKU655342:FLF655344 FUQ655342:FVB655344 GEM655342:GEX655344 GOI655342:GOT655344 GYE655342:GYP655344 HIA655342:HIL655344 HRW655342:HSH655344 IBS655342:ICD655344 ILO655342:ILZ655344 IVK655342:IVV655344 JFG655342:JFR655344 JPC655342:JPN655344 JYY655342:JZJ655344 KIU655342:KJF655344 KSQ655342:KTB655344 LCM655342:LCX655344 LMI655342:LMT655344 LWE655342:LWP655344 MGA655342:MGL655344 MPW655342:MQH655344 MZS655342:NAD655344 NJO655342:NJZ655344 NTK655342:NTV655344 ODG655342:ODR655344 ONC655342:ONN655344 OWY655342:OXJ655344 PGU655342:PHF655344 PQQ655342:PRB655344 QAM655342:QAX655344 QKI655342:QKT655344 QUE655342:QUP655344 REA655342:REL655344 RNW655342:ROH655344 RXS655342:RYD655344 SHO655342:SHZ655344 SRK655342:SRV655344 TBG655342:TBR655344 TLC655342:TLN655344 TUY655342:TVJ655344 UEU655342:UFF655344 UOQ655342:UPB655344 UYM655342:UYX655344 VII655342:VIT655344 VSE655342:VSP655344 WCA655342:WCL655344 WLW655342:WMH655344 WVS655342:WWD655344 JG720878:JR720880 TC720878:TN720880 ACY720878:ADJ720880 AMU720878:ANF720880 AWQ720878:AXB720880 BGM720878:BGX720880 BQI720878:BQT720880 CAE720878:CAP720880 CKA720878:CKL720880 CTW720878:CUH720880 DDS720878:DED720880 DNO720878:DNZ720880 DXK720878:DXV720880 EHG720878:EHR720880 ERC720878:ERN720880 FAY720878:FBJ720880 FKU720878:FLF720880 FUQ720878:FVB720880 GEM720878:GEX720880 GOI720878:GOT720880 GYE720878:GYP720880 HIA720878:HIL720880 HRW720878:HSH720880 IBS720878:ICD720880 ILO720878:ILZ720880 IVK720878:IVV720880 JFG720878:JFR720880 JPC720878:JPN720880 JYY720878:JZJ720880 KIU720878:KJF720880 KSQ720878:KTB720880 LCM720878:LCX720880 LMI720878:LMT720880 LWE720878:LWP720880 MGA720878:MGL720880 MPW720878:MQH720880 MZS720878:NAD720880 NJO720878:NJZ720880 NTK720878:NTV720880 ODG720878:ODR720880 ONC720878:ONN720880 OWY720878:OXJ720880 PGU720878:PHF720880 PQQ720878:PRB720880 QAM720878:QAX720880 QKI720878:QKT720880 QUE720878:QUP720880 REA720878:REL720880 RNW720878:ROH720880 RXS720878:RYD720880 SHO720878:SHZ720880 SRK720878:SRV720880 TBG720878:TBR720880 TLC720878:TLN720880 TUY720878:TVJ720880 UEU720878:UFF720880 UOQ720878:UPB720880 UYM720878:UYX720880 VII720878:VIT720880 VSE720878:VSP720880 WCA720878:WCL720880 WLW720878:WMH720880 WVS720878:WWD720880 JG786414:JR786416 TC786414:TN786416 ACY786414:ADJ786416 AMU786414:ANF786416 AWQ786414:AXB786416 BGM786414:BGX786416 BQI786414:BQT786416 CAE786414:CAP786416 CKA786414:CKL786416 CTW786414:CUH786416 DDS786414:DED786416 DNO786414:DNZ786416 DXK786414:DXV786416 EHG786414:EHR786416 ERC786414:ERN786416 FAY786414:FBJ786416 FKU786414:FLF786416 FUQ786414:FVB786416 GEM786414:GEX786416 GOI786414:GOT786416 GYE786414:GYP786416 HIA786414:HIL786416 HRW786414:HSH786416 IBS786414:ICD786416 ILO786414:ILZ786416 IVK786414:IVV786416 JFG786414:JFR786416 JPC786414:JPN786416 JYY786414:JZJ786416 KIU786414:KJF786416 KSQ786414:KTB786416 LCM786414:LCX786416 LMI786414:LMT786416 LWE786414:LWP786416 MGA786414:MGL786416 MPW786414:MQH786416 MZS786414:NAD786416 NJO786414:NJZ786416 NTK786414:NTV786416 ODG786414:ODR786416 ONC786414:ONN786416 OWY786414:OXJ786416 PGU786414:PHF786416 PQQ786414:PRB786416 QAM786414:QAX786416 QKI786414:QKT786416 QUE786414:QUP786416 REA786414:REL786416 RNW786414:ROH786416 RXS786414:RYD786416 SHO786414:SHZ786416 SRK786414:SRV786416 TBG786414:TBR786416 TLC786414:TLN786416 TUY786414:TVJ786416 UEU786414:UFF786416 UOQ786414:UPB786416 UYM786414:UYX786416 VII786414:VIT786416 VSE786414:VSP786416 WCA786414:WCL786416 WLW786414:WMH786416 WVS786414:WWD786416 JG851950:JR851952 TC851950:TN851952 ACY851950:ADJ851952 AMU851950:ANF851952 AWQ851950:AXB851952 BGM851950:BGX851952 BQI851950:BQT851952 CAE851950:CAP851952 CKA851950:CKL851952 CTW851950:CUH851952 DDS851950:DED851952 DNO851950:DNZ851952 DXK851950:DXV851952 EHG851950:EHR851952 ERC851950:ERN851952 FAY851950:FBJ851952 FKU851950:FLF851952 FUQ851950:FVB851952 GEM851950:GEX851952 GOI851950:GOT851952 GYE851950:GYP851952 HIA851950:HIL851952 HRW851950:HSH851952 IBS851950:ICD851952 ILO851950:ILZ851952 IVK851950:IVV851952 JFG851950:JFR851952 JPC851950:JPN851952 JYY851950:JZJ851952 KIU851950:KJF851952 KSQ851950:KTB851952 LCM851950:LCX851952 LMI851950:LMT851952 LWE851950:LWP851952 MGA851950:MGL851952 MPW851950:MQH851952 MZS851950:NAD851952 NJO851950:NJZ851952 NTK851950:NTV851952 ODG851950:ODR851952 ONC851950:ONN851952 OWY851950:OXJ851952 PGU851950:PHF851952 PQQ851950:PRB851952 QAM851950:QAX851952 QKI851950:QKT851952 QUE851950:QUP851952 REA851950:REL851952 RNW851950:ROH851952 RXS851950:RYD851952 SHO851950:SHZ851952 SRK851950:SRV851952 TBG851950:TBR851952 TLC851950:TLN851952 TUY851950:TVJ851952 UEU851950:UFF851952 UOQ851950:UPB851952 UYM851950:UYX851952 VII851950:VIT851952 VSE851950:VSP851952 WCA851950:WCL851952 WLW851950:WMH851952 WVS851950:WWD851952 JG917486:JR917488 TC917486:TN917488 ACY917486:ADJ917488 AMU917486:ANF917488 AWQ917486:AXB917488 BGM917486:BGX917488 BQI917486:BQT917488 CAE917486:CAP917488 CKA917486:CKL917488 CTW917486:CUH917488 DDS917486:DED917488 DNO917486:DNZ917488 DXK917486:DXV917488 EHG917486:EHR917488 ERC917486:ERN917488 FAY917486:FBJ917488 FKU917486:FLF917488 FUQ917486:FVB917488 GEM917486:GEX917488 GOI917486:GOT917488 GYE917486:GYP917488 HIA917486:HIL917488 HRW917486:HSH917488 IBS917486:ICD917488 ILO917486:ILZ917488 IVK917486:IVV917488 JFG917486:JFR917488 JPC917486:JPN917488 JYY917486:JZJ917488 KIU917486:KJF917488 KSQ917486:KTB917488 LCM917486:LCX917488 LMI917486:LMT917488 LWE917486:LWP917488 MGA917486:MGL917488 MPW917486:MQH917488 MZS917486:NAD917488 NJO917486:NJZ917488 NTK917486:NTV917488 ODG917486:ODR917488 ONC917486:ONN917488 OWY917486:OXJ917488 PGU917486:PHF917488 PQQ917486:PRB917488 QAM917486:QAX917488 QKI917486:QKT917488 QUE917486:QUP917488 REA917486:REL917488 RNW917486:ROH917488 RXS917486:RYD917488 SHO917486:SHZ917488 SRK917486:SRV917488 TBG917486:TBR917488 TLC917486:TLN917488 TUY917486:TVJ917488 UEU917486:UFF917488 UOQ917486:UPB917488 UYM917486:UYX917488 VII917486:VIT917488 VSE917486:VSP917488 WCA917486:WCL917488 WLW917486:WMH917488 WVS917486:WWD917488 JG983022:JR983024 TC983022:TN983024 ACY983022:ADJ983024 AMU983022:ANF983024 AWQ983022:AXB983024 BGM983022:BGX983024 BQI983022:BQT983024 CAE983022:CAP983024 CKA983022:CKL983024 CTW983022:CUH983024 DDS983022:DED983024 DNO983022:DNZ983024 DXK983022:DXV983024 EHG983022:EHR983024 ERC983022:ERN983024 FAY983022:FBJ983024 FKU983022:FLF983024 FUQ983022:FVB983024 GEM983022:GEX983024 GOI983022:GOT983024 GYE983022:GYP983024 HIA983022:HIL983024 HRW983022:HSH983024 IBS983022:ICD983024 ILO983022:ILZ983024 IVK983022:IVV983024 JFG983022:JFR983024 JPC983022:JPN983024 JYY983022:JZJ983024 KIU983022:KJF983024 KSQ983022:KTB983024 LCM983022:LCX983024 LMI983022:LMT983024 LWE983022:LWP983024 MGA983022:MGL983024 MPW983022:MQH983024 MZS983022:NAD983024 NJO983022:NJZ983024 NTK983022:NTV983024 ODG983022:ODR983024 ONC983022:ONN983024 OWY983022:OXJ983024 PGU983022:PHF983024 PQQ983022:PRB983024 QAM983022:QAX983024 QKI983022:QKT983024 QUE983022:QUP983024 REA983022:REL983024 RNW983022:ROH983024 RXS983022:RYD983024 SHO983022:SHZ983024 SRK983022:SRV983024 TBG983022:TBR983024 TLC983022:TLN983024 TUY983022:TVJ983024 UEU983022:UFF983024 UOQ983022:UPB983024 UYM983022:UYX983024 VII983022:VIT983024 VSE983022:VSP983024 WCA983022:WCL983024 WLW983022:WMH983024 WVS983022:WWD983024 WVS983027:WWD983029 JG65523:JR65525 TC65523:TN65525 ACY65523:ADJ65525 AMU65523:ANF65525 AWQ65523:AXB65525 BGM65523:BGX65525 BQI65523:BQT65525 CAE65523:CAP65525 CKA65523:CKL65525 CTW65523:CUH65525 DDS65523:DED65525 DNO65523:DNZ65525 DXK65523:DXV65525 EHG65523:EHR65525 ERC65523:ERN65525 FAY65523:FBJ65525 FKU65523:FLF65525 FUQ65523:FVB65525 GEM65523:GEX65525 GOI65523:GOT65525 GYE65523:GYP65525 HIA65523:HIL65525 HRW65523:HSH65525 IBS65523:ICD65525 ILO65523:ILZ65525 IVK65523:IVV65525 JFG65523:JFR65525 JPC65523:JPN65525 JYY65523:JZJ65525 KIU65523:KJF65525 KSQ65523:KTB65525 LCM65523:LCX65525 LMI65523:LMT65525 LWE65523:LWP65525 MGA65523:MGL65525 MPW65523:MQH65525 MZS65523:NAD65525 NJO65523:NJZ65525 NTK65523:NTV65525 ODG65523:ODR65525 ONC65523:ONN65525 OWY65523:OXJ65525 PGU65523:PHF65525 PQQ65523:PRB65525 QAM65523:QAX65525 QKI65523:QKT65525 QUE65523:QUP65525 REA65523:REL65525 RNW65523:ROH65525 RXS65523:RYD65525 SHO65523:SHZ65525 SRK65523:SRV65525 TBG65523:TBR65525 TLC65523:TLN65525 TUY65523:TVJ65525 UEU65523:UFF65525 UOQ65523:UPB65525 UYM65523:UYX65525 VII65523:VIT65525 VSE65523:VSP65525 WCA65523:WCL65525 WLW65523:WMH65525 WVS65523:WWD65525 JG131059:JR131061 TC131059:TN131061 ACY131059:ADJ131061 AMU131059:ANF131061 AWQ131059:AXB131061 BGM131059:BGX131061 BQI131059:BQT131061 CAE131059:CAP131061 CKA131059:CKL131061 CTW131059:CUH131061 DDS131059:DED131061 DNO131059:DNZ131061 DXK131059:DXV131061 EHG131059:EHR131061 ERC131059:ERN131061 FAY131059:FBJ131061 FKU131059:FLF131061 FUQ131059:FVB131061 GEM131059:GEX131061 GOI131059:GOT131061 GYE131059:GYP131061 HIA131059:HIL131061 HRW131059:HSH131061 IBS131059:ICD131061 ILO131059:ILZ131061 IVK131059:IVV131061 JFG131059:JFR131061 JPC131059:JPN131061 JYY131059:JZJ131061 KIU131059:KJF131061 KSQ131059:KTB131061 LCM131059:LCX131061 LMI131059:LMT131061 LWE131059:LWP131061 MGA131059:MGL131061 MPW131059:MQH131061 MZS131059:NAD131061 NJO131059:NJZ131061 NTK131059:NTV131061 ODG131059:ODR131061 ONC131059:ONN131061 OWY131059:OXJ131061 PGU131059:PHF131061 PQQ131059:PRB131061 QAM131059:QAX131061 QKI131059:QKT131061 QUE131059:QUP131061 REA131059:REL131061 RNW131059:ROH131061 RXS131059:RYD131061 SHO131059:SHZ131061 SRK131059:SRV131061 TBG131059:TBR131061 TLC131059:TLN131061 TUY131059:TVJ131061 UEU131059:UFF131061 UOQ131059:UPB131061 UYM131059:UYX131061 VII131059:VIT131061 VSE131059:VSP131061 WCA131059:WCL131061 WLW131059:WMH131061 WVS131059:WWD131061 JG196595:JR196597 TC196595:TN196597 ACY196595:ADJ196597 AMU196595:ANF196597 AWQ196595:AXB196597 BGM196595:BGX196597 BQI196595:BQT196597 CAE196595:CAP196597 CKA196595:CKL196597 CTW196595:CUH196597 DDS196595:DED196597 DNO196595:DNZ196597 DXK196595:DXV196597 EHG196595:EHR196597 ERC196595:ERN196597 FAY196595:FBJ196597 FKU196595:FLF196597 FUQ196595:FVB196597 GEM196595:GEX196597 GOI196595:GOT196597 GYE196595:GYP196597 HIA196595:HIL196597 HRW196595:HSH196597 IBS196595:ICD196597 ILO196595:ILZ196597 IVK196595:IVV196597 JFG196595:JFR196597 JPC196595:JPN196597 JYY196595:JZJ196597 KIU196595:KJF196597 KSQ196595:KTB196597 LCM196595:LCX196597 LMI196595:LMT196597 LWE196595:LWP196597 MGA196595:MGL196597 MPW196595:MQH196597 MZS196595:NAD196597 NJO196595:NJZ196597 NTK196595:NTV196597 ODG196595:ODR196597 ONC196595:ONN196597 OWY196595:OXJ196597 PGU196595:PHF196597 PQQ196595:PRB196597 QAM196595:QAX196597 QKI196595:QKT196597 QUE196595:QUP196597 REA196595:REL196597 RNW196595:ROH196597 RXS196595:RYD196597 SHO196595:SHZ196597 SRK196595:SRV196597 TBG196595:TBR196597 TLC196595:TLN196597 TUY196595:TVJ196597 UEU196595:UFF196597 UOQ196595:UPB196597 UYM196595:UYX196597 VII196595:VIT196597 VSE196595:VSP196597 WCA196595:WCL196597 WLW196595:WMH196597 WVS196595:WWD196597 JG262131:JR262133 TC262131:TN262133 ACY262131:ADJ262133 AMU262131:ANF262133 AWQ262131:AXB262133 BGM262131:BGX262133 BQI262131:BQT262133 CAE262131:CAP262133 CKA262131:CKL262133 CTW262131:CUH262133 DDS262131:DED262133 DNO262131:DNZ262133 DXK262131:DXV262133 EHG262131:EHR262133 ERC262131:ERN262133 FAY262131:FBJ262133 FKU262131:FLF262133 FUQ262131:FVB262133 GEM262131:GEX262133 GOI262131:GOT262133 GYE262131:GYP262133 HIA262131:HIL262133 HRW262131:HSH262133 IBS262131:ICD262133 ILO262131:ILZ262133 IVK262131:IVV262133 JFG262131:JFR262133 JPC262131:JPN262133 JYY262131:JZJ262133 KIU262131:KJF262133 KSQ262131:KTB262133 LCM262131:LCX262133 LMI262131:LMT262133 LWE262131:LWP262133 MGA262131:MGL262133 MPW262131:MQH262133 MZS262131:NAD262133 NJO262131:NJZ262133 NTK262131:NTV262133 ODG262131:ODR262133 ONC262131:ONN262133 OWY262131:OXJ262133 PGU262131:PHF262133 PQQ262131:PRB262133 QAM262131:QAX262133 QKI262131:QKT262133 QUE262131:QUP262133 REA262131:REL262133 RNW262131:ROH262133 RXS262131:RYD262133 SHO262131:SHZ262133 SRK262131:SRV262133 TBG262131:TBR262133 TLC262131:TLN262133 TUY262131:TVJ262133 UEU262131:UFF262133 UOQ262131:UPB262133 UYM262131:UYX262133 VII262131:VIT262133 VSE262131:VSP262133 WCA262131:WCL262133 WLW262131:WMH262133 WVS262131:WWD262133 JG327667:JR327669 TC327667:TN327669 ACY327667:ADJ327669 AMU327667:ANF327669 AWQ327667:AXB327669 BGM327667:BGX327669 BQI327667:BQT327669 CAE327667:CAP327669 CKA327667:CKL327669 CTW327667:CUH327669 DDS327667:DED327669 DNO327667:DNZ327669 DXK327667:DXV327669 EHG327667:EHR327669 ERC327667:ERN327669 FAY327667:FBJ327669 FKU327667:FLF327669 FUQ327667:FVB327669 GEM327667:GEX327669 GOI327667:GOT327669 GYE327667:GYP327669 HIA327667:HIL327669 HRW327667:HSH327669 IBS327667:ICD327669 ILO327667:ILZ327669 IVK327667:IVV327669 JFG327667:JFR327669 JPC327667:JPN327669 JYY327667:JZJ327669 KIU327667:KJF327669 KSQ327667:KTB327669 LCM327667:LCX327669 LMI327667:LMT327669 LWE327667:LWP327669 MGA327667:MGL327669 MPW327667:MQH327669 MZS327667:NAD327669 NJO327667:NJZ327669 NTK327667:NTV327669 ODG327667:ODR327669 ONC327667:ONN327669 OWY327667:OXJ327669 PGU327667:PHF327669 PQQ327667:PRB327669 QAM327667:QAX327669 QKI327667:QKT327669 QUE327667:QUP327669 REA327667:REL327669 RNW327667:ROH327669 RXS327667:RYD327669 SHO327667:SHZ327669 SRK327667:SRV327669 TBG327667:TBR327669 TLC327667:TLN327669 TUY327667:TVJ327669 UEU327667:UFF327669 UOQ327667:UPB327669 UYM327667:UYX327669 VII327667:VIT327669 VSE327667:VSP327669 WCA327667:WCL327669 WLW327667:WMH327669 WVS327667:WWD327669 JG393203:JR393205 TC393203:TN393205 ACY393203:ADJ393205 AMU393203:ANF393205 AWQ393203:AXB393205 BGM393203:BGX393205 BQI393203:BQT393205 CAE393203:CAP393205 CKA393203:CKL393205 CTW393203:CUH393205 DDS393203:DED393205 DNO393203:DNZ393205 DXK393203:DXV393205 EHG393203:EHR393205 ERC393203:ERN393205 FAY393203:FBJ393205 FKU393203:FLF393205 FUQ393203:FVB393205 GEM393203:GEX393205 GOI393203:GOT393205 GYE393203:GYP393205 HIA393203:HIL393205 HRW393203:HSH393205 IBS393203:ICD393205 ILO393203:ILZ393205 IVK393203:IVV393205 JFG393203:JFR393205 JPC393203:JPN393205 JYY393203:JZJ393205 KIU393203:KJF393205 KSQ393203:KTB393205 LCM393203:LCX393205 LMI393203:LMT393205 LWE393203:LWP393205 MGA393203:MGL393205 MPW393203:MQH393205 MZS393203:NAD393205 NJO393203:NJZ393205 NTK393203:NTV393205 ODG393203:ODR393205 ONC393203:ONN393205 OWY393203:OXJ393205 PGU393203:PHF393205 PQQ393203:PRB393205 QAM393203:QAX393205 QKI393203:QKT393205 QUE393203:QUP393205 REA393203:REL393205 RNW393203:ROH393205 RXS393203:RYD393205 SHO393203:SHZ393205 SRK393203:SRV393205 TBG393203:TBR393205 TLC393203:TLN393205 TUY393203:TVJ393205 UEU393203:UFF393205 UOQ393203:UPB393205 UYM393203:UYX393205 VII393203:VIT393205 VSE393203:VSP393205 WCA393203:WCL393205 WLW393203:WMH393205 WVS393203:WWD393205 JG458739:JR458741 TC458739:TN458741 ACY458739:ADJ458741 AMU458739:ANF458741 AWQ458739:AXB458741 BGM458739:BGX458741 BQI458739:BQT458741 CAE458739:CAP458741 CKA458739:CKL458741 CTW458739:CUH458741 DDS458739:DED458741 DNO458739:DNZ458741 DXK458739:DXV458741 EHG458739:EHR458741 ERC458739:ERN458741 FAY458739:FBJ458741 FKU458739:FLF458741 FUQ458739:FVB458741 GEM458739:GEX458741 GOI458739:GOT458741 GYE458739:GYP458741 HIA458739:HIL458741 HRW458739:HSH458741 IBS458739:ICD458741 ILO458739:ILZ458741 IVK458739:IVV458741 JFG458739:JFR458741 JPC458739:JPN458741 JYY458739:JZJ458741 KIU458739:KJF458741 KSQ458739:KTB458741 LCM458739:LCX458741 LMI458739:LMT458741 LWE458739:LWP458741 MGA458739:MGL458741 MPW458739:MQH458741 MZS458739:NAD458741 NJO458739:NJZ458741 NTK458739:NTV458741 ODG458739:ODR458741 ONC458739:ONN458741 OWY458739:OXJ458741 PGU458739:PHF458741 PQQ458739:PRB458741 QAM458739:QAX458741 QKI458739:QKT458741 QUE458739:QUP458741 REA458739:REL458741 RNW458739:ROH458741 RXS458739:RYD458741 SHO458739:SHZ458741 SRK458739:SRV458741 TBG458739:TBR458741 TLC458739:TLN458741 TUY458739:TVJ458741 UEU458739:UFF458741 UOQ458739:UPB458741 UYM458739:UYX458741 VII458739:VIT458741 VSE458739:VSP458741 WCA458739:WCL458741 WLW458739:WMH458741 WVS458739:WWD458741 JG524275:JR524277 TC524275:TN524277 ACY524275:ADJ524277 AMU524275:ANF524277 AWQ524275:AXB524277 BGM524275:BGX524277 BQI524275:BQT524277 CAE524275:CAP524277 CKA524275:CKL524277 CTW524275:CUH524277 DDS524275:DED524277 DNO524275:DNZ524277 DXK524275:DXV524277 EHG524275:EHR524277 ERC524275:ERN524277 FAY524275:FBJ524277 FKU524275:FLF524277 FUQ524275:FVB524277 GEM524275:GEX524277 GOI524275:GOT524277 GYE524275:GYP524277 HIA524275:HIL524277 HRW524275:HSH524277 IBS524275:ICD524277 ILO524275:ILZ524277 IVK524275:IVV524277 JFG524275:JFR524277 JPC524275:JPN524277 JYY524275:JZJ524277 KIU524275:KJF524277 KSQ524275:KTB524277 LCM524275:LCX524277 LMI524275:LMT524277 LWE524275:LWP524277 MGA524275:MGL524277 MPW524275:MQH524277 MZS524275:NAD524277 NJO524275:NJZ524277 NTK524275:NTV524277 ODG524275:ODR524277 ONC524275:ONN524277 OWY524275:OXJ524277 PGU524275:PHF524277 PQQ524275:PRB524277 QAM524275:QAX524277 QKI524275:QKT524277 QUE524275:QUP524277 REA524275:REL524277 RNW524275:ROH524277 RXS524275:RYD524277 SHO524275:SHZ524277 SRK524275:SRV524277 TBG524275:TBR524277 TLC524275:TLN524277 TUY524275:TVJ524277 UEU524275:UFF524277 UOQ524275:UPB524277 UYM524275:UYX524277 VII524275:VIT524277 VSE524275:VSP524277 WCA524275:WCL524277 WLW524275:WMH524277 WVS524275:WWD524277 JG589811:JR589813 TC589811:TN589813 ACY589811:ADJ589813 AMU589811:ANF589813 AWQ589811:AXB589813 BGM589811:BGX589813 BQI589811:BQT589813 CAE589811:CAP589813 CKA589811:CKL589813 CTW589811:CUH589813 DDS589811:DED589813 DNO589811:DNZ589813 DXK589811:DXV589813 EHG589811:EHR589813 ERC589811:ERN589813 FAY589811:FBJ589813 FKU589811:FLF589813 FUQ589811:FVB589813 GEM589811:GEX589813 GOI589811:GOT589813 GYE589811:GYP589813 HIA589811:HIL589813 HRW589811:HSH589813 IBS589811:ICD589813 ILO589811:ILZ589813 IVK589811:IVV589813 JFG589811:JFR589813 JPC589811:JPN589813 JYY589811:JZJ589813 KIU589811:KJF589813 KSQ589811:KTB589813 LCM589811:LCX589813 LMI589811:LMT589813 LWE589811:LWP589813 MGA589811:MGL589813 MPW589811:MQH589813 MZS589811:NAD589813 NJO589811:NJZ589813 NTK589811:NTV589813 ODG589811:ODR589813 ONC589811:ONN589813 OWY589811:OXJ589813 PGU589811:PHF589813 PQQ589811:PRB589813 QAM589811:QAX589813 QKI589811:QKT589813 QUE589811:QUP589813 REA589811:REL589813 RNW589811:ROH589813 RXS589811:RYD589813 SHO589811:SHZ589813 SRK589811:SRV589813 TBG589811:TBR589813 TLC589811:TLN589813 TUY589811:TVJ589813 UEU589811:UFF589813 UOQ589811:UPB589813 UYM589811:UYX589813 VII589811:VIT589813 VSE589811:VSP589813 WCA589811:WCL589813 WLW589811:WMH589813 WVS589811:WWD589813 JG655347:JR655349 TC655347:TN655349 ACY655347:ADJ655349 AMU655347:ANF655349 AWQ655347:AXB655349 BGM655347:BGX655349 BQI655347:BQT655349 CAE655347:CAP655349 CKA655347:CKL655349 CTW655347:CUH655349 DDS655347:DED655349 DNO655347:DNZ655349 DXK655347:DXV655349 EHG655347:EHR655349 ERC655347:ERN655349 FAY655347:FBJ655349 FKU655347:FLF655349 FUQ655347:FVB655349 GEM655347:GEX655349 GOI655347:GOT655349 GYE655347:GYP655349 HIA655347:HIL655349 HRW655347:HSH655349 IBS655347:ICD655349 ILO655347:ILZ655349 IVK655347:IVV655349 JFG655347:JFR655349 JPC655347:JPN655349 JYY655347:JZJ655349 KIU655347:KJF655349 KSQ655347:KTB655349 LCM655347:LCX655349 LMI655347:LMT655349 LWE655347:LWP655349 MGA655347:MGL655349 MPW655347:MQH655349 MZS655347:NAD655349 NJO655347:NJZ655349 NTK655347:NTV655349 ODG655347:ODR655349 ONC655347:ONN655349 OWY655347:OXJ655349 PGU655347:PHF655349 PQQ655347:PRB655349 QAM655347:QAX655349 QKI655347:QKT655349 QUE655347:QUP655349 REA655347:REL655349 RNW655347:ROH655349 RXS655347:RYD655349 SHO655347:SHZ655349 SRK655347:SRV655349 TBG655347:TBR655349 TLC655347:TLN655349 TUY655347:TVJ655349 UEU655347:UFF655349 UOQ655347:UPB655349 UYM655347:UYX655349 VII655347:VIT655349 VSE655347:VSP655349 WCA655347:WCL655349 WLW655347:WMH655349 WVS655347:WWD655349 JG720883:JR720885 TC720883:TN720885 ACY720883:ADJ720885 AMU720883:ANF720885 AWQ720883:AXB720885 BGM720883:BGX720885 BQI720883:BQT720885 CAE720883:CAP720885 CKA720883:CKL720885 CTW720883:CUH720885 DDS720883:DED720885 DNO720883:DNZ720885 DXK720883:DXV720885 EHG720883:EHR720885 ERC720883:ERN720885 FAY720883:FBJ720885 FKU720883:FLF720885 FUQ720883:FVB720885 GEM720883:GEX720885 GOI720883:GOT720885 GYE720883:GYP720885 HIA720883:HIL720885 HRW720883:HSH720885 IBS720883:ICD720885 ILO720883:ILZ720885 IVK720883:IVV720885 JFG720883:JFR720885 JPC720883:JPN720885 JYY720883:JZJ720885 KIU720883:KJF720885 KSQ720883:KTB720885 LCM720883:LCX720885 LMI720883:LMT720885 LWE720883:LWP720885 MGA720883:MGL720885 MPW720883:MQH720885 MZS720883:NAD720885 NJO720883:NJZ720885 NTK720883:NTV720885 ODG720883:ODR720885 ONC720883:ONN720885 OWY720883:OXJ720885 PGU720883:PHF720885 PQQ720883:PRB720885 QAM720883:QAX720885 QKI720883:QKT720885 QUE720883:QUP720885 REA720883:REL720885 RNW720883:ROH720885 RXS720883:RYD720885 SHO720883:SHZ720885 SRK720883:SRV720885 TBG720883:TBR720885 TLC720883:TLN720885 TUY720883:TVJ720885 UEU720883:UFF720885 UOQ720883:UPB720885 UYM720883:UYX720885 VII720883:VIT720885 VSE720883:VSP720885 WCA720883:WCL720885 WLW720883:WMH720885 WVS720883:WWD720885 JG786419:JR786421 TC786419:TN786421 ACY786419:ADJ786421 AMU786419:ANF786421 AWQ786419:AXB786421 BGM786419:BGX786421 BQI786419:BQT786421 CAE786419:CAP786421 CKA786419:CKL786421 CTW786419:CUH786421 DDS786419:DED786421 DNO786419:DNZ786421 DXK786419:DXV786421 EHG786419:EHR786421 ERC786419:ERN786421 FAY786419:FBJ786421 FKU786419:FLF786421 FUQ786419:FVB786421 GEM786419:GEX786421 GOI786419:GOT786421 GYE786419:GYP786421 HIA786419:HIL786421 HRW786419:HSH786421 IBS786419:ICD786421 ILO786419:ILZ786421 IVK786419:IVV786421 JFG786419:JFR786421 JPC786419:JPN786421 JYY786419:JZJ786421 KIU786419:KJF786421 KSQ786419:KTB786421 LCM786419:LCX786421 LMI786419:LMT786421 LWE786419:LWP786421 MGA786419:MGL786421 MPW786419:MQH786421 MZS786419:NAD786421 NJO786419:NJZ786421 NTK786419:NTV786421 ODG786419:ODR786421 ONC786419:ONN786421 OWY786419:OXJ786421 PGU786419:PHF786421 PQQ786419:PRB786421 QAM786419:QAX786421 QKI786419:QKT786421 QUE786419:QUP786421 REA786419:REL786421 RNW786419:ROH786421 RXS786419:RYD786421 SHO786419:SHZ786421 SRK786419:SRV786421 TBG786419:TBR786421 TLC786419:TLN786421 TUY786419:TVJ786421 UEU786419:UFF786421 UOQ786419:UPB786421 UYM786419:UYX786421 VII786419:VIT786421 VSE786419:VSP786421 WCA786419:WCL786421 WLW786419:WMH786421 WVS786419:WWD786421 JG851955:JR851957 TC851955:TN851957 ACY851955:ADJ851957 AMU851955:ANF851957 AWQ851955:AXB851957 BGM851955:BGX851957 BQI851955:BQT851957 CAE851955:CAP851957 CKA851955:CKL851957 CTW851955:CUH851957 DDS851955:DED851957 DNO851955:DNZ851957 DXK851955:DXV851957 EHG851955:EHR851957 ERC851955:ERN851957 FAY851955:FBJ851957 FKU851955:FLF851957 FUQ851955:FVB851957 GEM851955:GEX851957 GOI851955:GOT851957 GYE851955:GYP851957 HIA851955:HIL851957 HRW851955:HSH851957 IBS851955:ICD851957 ILO851955:ILZ851957 IVK851955:IVV851957 JFG851955:JFR851957 JPC851955:JPN851957 JYY851955:JZJ851957 KIU851955:KJF851957 KSQ851955:KTB851957 LCM851955:LCX851957 LMI851955:LMT851957 LWE851955:LWP851957 MGA851955:MGL851957 MPW851955:MQH851957 MZS851955:NAD851957 NJO851955:NJZ851957 NTK851955:NTV851957 ODG851955:ODR851957 ONC851955:ONN851957 OWY851955:OXJ851957 PGU851955:PHF851957 PQQ851955:PRB851957 QAM851955:QAX851957 QKI851955:QKT851957 QUE851955:QUP851957 REA851955:REL851957 RNW851955:ROH851957 RXS851955:RYD851957 SHO851955:SHZ851957 SRK851955:SRV851957 TBG851955:TBR851957 TLC851955:TLN851957 TUY851955:TVJ851957 UEU851955:UFF851957 UOQ851955:UPB851957 UYM851955:UYX851957 VII851955:VIT851957 VSE851955:VSP851957 WCA851955:WCL851957 WLW851955:WMH851957 WVS851955:WWD851957 JG917491:JR917493 TC917491:TN917493 ACY917491:ADJ917493 AMU917491:ANF917493 AWQ917491:AXB917493 BGM917491:BGX917493 BQI917491:BQT917493 CAE917491:CAP917493 CKA917491:CKL917493 CTW917491:CUH917493 DDS917491:DED917493 DNO917491:DNZ917493 DXK917491:DXV917493 EHG917491:EHR917493 ERC917491:ERN917493 FAY917491:FBJ917493 FKU917491:FLF917493 FUQ917491:FVB917493 GEM917491:GEX917493 GOI917491:GOT917493 GYE917491:GYP917493 HIA917491:HIL917493 HRW917491:HSH917493 IBS917491:ICD917493 ILO917491:ILZ917493 IVK917491:IVV917493 JFG917491:JFR917493 JPC917491:JPN917493 JYY917491:JZJ917493 KIU917491:KJF917493 KSQ917491:KTB917493 LCM917491:LCX917493 LMI917491:LMT917493 LWE917491:LWP917493 MGA917491:MGL917493 MPW917491:MQH917493 MZS917491:NAD917493 NJO917491:NJZ917493 NTK917491:NTV917493 ODG917491:ODR917493 ONC917491:ONN917493 OWY917491:OXJ917493 PGU917491:PHF917493 PQQ917491:PRB917493 QAM917491:QAX917493 QKI917491:QKT917493 QUE917491:QUP917493 REA917491:REL917493 RNW917491:ROH917493 RXS917491:RYD917493 SHO917491:SHZ917493 SRK917491:SRV917493 TBG917491:TBR917493 TLC917491:TLN917493 TUY917491:TVJ917493 UEU917491:UFF917493 UOQ917491:UPB917493 UYM917491:UYX917493 VII917491:VIT917493 VSE917491:VSP917493 WCA917491:WCL917493 WLW917491:WMH917493 WVS917491:WWD917493 JG983027:JR983029 TC983027:TN983029 ACY983027:ADJ983029 AMU983027:ANF983029 AWQ983027:AXB983029 BGM983027:BGX983029 BQI983027:BQT983029 CAE983027:CAP983029 CKA983027:CKL983029 CTW983027:CUH983029 DDS983027:DED983029 DNO983027:DNZ983029 DXK983027:DXV983029 EHG983027:EHR983029 ERC983027:ERN983029 FAY983027:FBJ983029 FKU983027:FLF983029 FUQ983027:FVB983029 GEM983027:GEX983029 GOI983027:GOT983029 GYE983027:GYP983029 HIA983027:HIL983029 HRW983027:HSH983029 IBS983027:ICD983029 ILO983027:ILZ983029 IVK983027:IVV983029 JFG983027:JFR983029 JPC983027:JPN983029 JYY983027:JZJ983029 KIU983027:KJF983029 KSQ983027:KTB983029 LCM983027:LCX983029 LMI983027:LMT983029 LWE983027:LWP983029 MGA983027:MGL983029 MPW983027:MQH983029 MZS983027:NAD983029 NJO983027:NJZ983029 NTK983027:NTV983029 ODG983027:ODR983029 ONC983027:ONN983029 OWY983027:OXJ983029 PGU983027:PHF983029 PQQ983027:PRB983029 QAM983027:QAX983029 QKI983027:QKT983029 QUE983027:QUP983029 REA983027:REL983029 RNW983027:ROH983029 RXS983027:RYD983029 SHO983027:SHZ983029 SRK983027:SRV983029 TBG983027:TBR983029 TLC983027:TLN983029 TUY983027:TVJ983029 UEU983027:UFF983029 UOQ983027:UPB983029 UYM983027:UYX983029 VII983027:VIT983029 VSE983027:VSP983029 WCA983027:WCL983029 WLW983027:WMH983029 Z262126:AJ262128 Z196590:AJ196592 Z131054:AJ131056 Z65518:AJ65520 Z983027:AJ983029 Z917491:AJ917493 Z851955:AJ851957 Z786419:AJ786421 Z720883:AJ720885 Z655347:AJ655349 Z589811:AJ589813 Z524275:AJ524277 Z458739:AJ458741 Z393203:AJ393205 Z327667:AJ327669 Z262131:AJ262133 Z196595:AJ196597 Z131059:AJ131061 Z65523:AJ65525 Z983022:AJ983024 Z917486:AJ917488 Z851950:AJ851952 Z786414:AJ786416 Z720878:AJ720880 Z655342:AJ655344 Z589806:AJ589808 Z524270:AJ524272 Z458734:AJ458736 Z393198:AJ393200 Z327662:AJ327664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AA19 AA40">
      <formula1>"datetime,int,numeric,varchar,nvarchar,datetime2"</formula1>
    </dataValidation>
    <dataValidation type="list" allowBlank="1" showInputMessage="1" showErrorMessage="1" sqref="AA18 AA44:AA85 AA20 AA38:AA39 AA11:AA15 AA8:AA9 AA22:AA32">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pageSetUpPr autoPageBreaks="0"/>
  </sheetPr>
  <dimension ref="A1:BI85"/>
  <sheetViews>
    <sheetView showGridLines="0" zoomScaleNormal="100" zoomScaleSheetLayoutView="85"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7"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7"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製品在庫予定情報</v>
      </c>
      <c r="Z2" s="447"/>
      <c r="AA2" s="447"/>
      <c r="AB2" s="447"/>
      <c r="AC2" s="447"/>
      <c r="AD2" s="447"/>
      <c r="AE2" s="447"/>
      <c r="AF2" s="447"/>
      <c r="AG2" s="447"/>
      <c r="AH2" s="447"/>
      <c r="AI2" s="447"/>
      <c r="AJ2" s="447"/>
      <c r="AK2" s="447"/>
      <c r="AL2" s="447"/>
      <c r="AM2" s="447"/>
      <c r="AN2" s="447"/>
      <c r="AO2" s="448"/>
      <c r="AP2" s="425"/>
      <c r="AQ2" s="426"/>
      <c r="AR2" s="426"/>
      <c r="AS2" s="426"/>
      <c r="AT2" s="427"/>
      <c r="AU2" s="46" t="s">
        <v>132</v>
      </c>
      <c r="AV2" s="47"/>
      <c r="AW2" s="47"/>
      <c r="AX2" s="47"/>
      <c r="AY2" s="48"/>
      <c r="AZ2" s="597" t="s">
        <v>15</v>
      </c>
      <c r="BA2" s="598"/>
      <c r="BB2" s="598"/>
      <c r="BC2" s="598"/>
      <c r="BD2" s="599"/>
    </row>
    <row r="3" spans="1:57"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7"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t_seihin_zaiko_yotei</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7"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7"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7" ht="14.4" customHeight="1">
      <c r="A8" s="37">
        <f>IF(B8="","",COUNTA($B8:B$8))</f>
        <v>1</v>
      </c>
      <c r="B8" s="200" t="s">
        <v>1686</v>
      </c>
      <c r="C8" s="268"/>
      <c r="D8" s="268"/>
      <c r="E8" s="268"/>
      <c r="F8" s="268"/>
      <c r="G8" s="268"/>
      <c r="H8" s="268"/>
      <c r="I8" s="193" t="e">
        <v>#N/A</v>
      </c>
      <c r="J8" s="270"/>
      <c r="K8" s="270"/>
      <c r="L8" s="270"/>
      <c r="M8" s="270"/>
      <c r="N8" s="270"/>
      <c r="O8" s="270"/>
      <c r="P8" s="270"/>
      <c r="Q8" s="270"/>
      <c r="R8" s="200" t="s">
        <v>1686</v>
      </c>
      <c r="S8" s="268"/>
      <c r="T8" s="268"/>
      <c r="U8" s="268"/>
      <c r="V8" s="268"/>
      <c r="W8" s="268"/>
      <c r="X8" s="268"/>
      <c r="Y8" s="200" t="s">
        <v>1504</v>
      </c>
      <c r="Z8" s="201"/>
      <c r="AA8" s="639" t="s">
        <v>1505</v>
      </c>
      <c r="AB8" s="640"/>
      <c r="AC8" s="641"/>
      <c r="AD8" s="196">
        <v>15</v>
      </c>
      <c r="AE8" s="247" t="s">
        <v>1585</v>
      </c>
      <c r="AF8" s="247" t="s">
        <v>116</v>
      </c>
      <c r="AG8" s="247" t="s">
        <v>84</v>
      </c>
      <c r="AH8" s="247"/>
      <c r="AI8" s="247"/>
      <c r="AJ8" s="247"/>
      <c r="AK8" s="247"/>
      <c r="AL8" s="247"/>
      <c r="AM8" s="247"/>
      <c r="AN8" s="247"/>
      <c r="AO8" s="197"/>
      <c r="AP8" s="197"/>
      <c r="AQ8" s="197"/>
      <c r="AR8" s="197"/>
      <c r="AS8" s="193" t="s">
        <v>272</v>
      </c>
      <c r="AT8" s="198"/>
      <c r="AU8" s="198"/>
      <c r="AV8" s="198"/>
      <c r="AW8" s="198"/>
      <c r="AX8" s="198"/>
      <c r="AY8" s="198"/>
      <c r="AZ8" s="198"/>
      <c r="BA8" s="198"/>
      <c r="BB8" s="198"/>
      <c r="BC8" s="198"/>
      <c r="BD8" s="199"/>
      <c r="BE8" s="16" t="s">
        <v>1418</v>
      </c>
    </row>
    <row r="9" spans="1:57" ht="14.4" customHeight="1">
      <c r="A9" s="37">
        <f>IF(B9="","",COUNTA($B$8:B9))</f>
        <v>2</v>
      </c>
      <c r="B9" s="17" t="s">
        <v>1602</v>
      </c>
      <c r="C9" s="18"/>
      <c r="D9" s="18"/>
      <c r="E9" s="18"/>
      <c r="F9" s="18"/>
      <c r="G9" s="18"/>
      <c r="H9" s="18"/>
      <c r="I9" s="19" t="s">
        <v>1533</v>
      </c>
      <c r="J9" s="20"/>
      <c r="K9" s="20"/>
      <c r="L9" s="20"/>
      <c r="M9" s="20"/>
      <c r="N9" s="20"/>
      <c r="O9" s="20"/>
      <c r="P9" s="20"/>
      <c r="Q9" s="20"/>
      <c r="R9" s="17" t="s">
        <v>1602</v>
      </c>
      <c r="S9" s="18"/>
      <c r="T9" s="18"/>
      <c r="U9" s="18"/>
      <c r="V9" s="18"/>
      <c r="W9" s="18"/>
      <c r="X9" s="18"/>
      <c r="Y9" s="589" t="s">
        <v>111</v>
      </c>
      <c r="Z9" s="590"/>
      <c r="AA9" s="591" t="s">
        <v>106</v>
      </c>
      <c r="AB9" s="592"/>
      <c r="AC9" s="593"/>
      <c r="AD9" s="23">
        <v>15</v>
      </c>
      <c r="AE9" s="24" t="s">
        <v>1585</v>
      </c>
      <c r="AF9" s="24"/>
      <c r="AG9" s="24"/>
      <c r="AH9" s="24"/>
      <c r="AI9" s="24"/>
      <c r="AJ9" s="24"/>
      <c r="AK9" s="24"/>
      <c r="AL9" s="24"/>
      <c r="AM9" s="24"/>
      <c r="AN9" s="24"/>
      <c r="AO9" s="25"/>
      <c r="AP9" s="25"/>
      <c r="AQ9" s="25"/>
      <c r="AR9" s="25"/>
      <c r="AS9" s="35"/>
      <c r="AT9" s="36"/>
      <c r="AU9" s="36"/>
      <c r="AV9" s="36"/>
      <c r="AW9" s="36"/>
      <c r="AX9" s="36"/>
      <c r="AY9" s="36"/>
      <c r="AZ9" s="36"/>
      <c r="BA9" s="36"/>
      <c r="BB9" s="36"/>
      <c r="BC9" s="36"/>
      <c r="BD9" s="50"/>
    </row>
    <row r="10" spans="1:57" ht="14.4" customHeight="1">
      <c r="A10" s="37">
        <f>IF(B10="","",COUNTA($B$8:B10))</f>
        <v>3</v>
      </c>
      <c r="B10" s="17" t="s">
        <v>1608</v>
      </c>
      <c r="C10" s="18"/>
      <c r="D10" s="18"/>
      <c r="E10" s="18"/>
      <c r="F10" s="18"/>
      <c r="G10" s="18"/>
      <c r="H10" s="18"/>
      <c r="I10" s="19" t="s">
        <v>1534</v>
      </c>
      <c r="J10" s="20"/>
      <c r="K10" s="20"/>
      <c r="L10" s="20"/>
      <c r="M10" s="20"/>
      <c r="N10" s="20"/>
      <c r="O10" s="20"/>
      <c r="P10" s="20"/>
      <c r="Q10" s="20"/>
      <c r="R10" s="17" t="s">
        <v>1608</v>
      </c>
      <c r="S10" s="18"/>
      <c r="T10" s="18"/>
      <c r="U10" s="18"/>
      <c r="V10" s="18"/>
      <c r="W10" s="18"/>
      <c r="X10" s="18"/>
      <c r="Y10" s="589" t="s">
        <v>111</v>
      </c>
      <c r="Z10" s="636"/>
      <c r="AA10" s="591" t="s">
        <v>106</v>
      </c>
      <c r="AB10" s="592"/>
      <c r="AC10" s="593"/>
      <c r="AD10" s="23">
        <v>15</v>
      </c>
      <c r="AE10" s="24" t="s">
        <v>1585</v>
      </c>
      <c r="AF10" s="24"/>
      <c r="AG10" s="24"/>
      <c r="AH10" s="24"/>
      <c r="AI10" s="24"/>
      <c r="AJ10" s="24"/>
      <c r="AK10" s="24"/>
      <c r="AL10" s="24"/>
      <c r="AM10" s="24"/>
      <c r="AN10" s="24"/>
      <c r="AO10" s="25"/>
      <c r="AP10" s="25"/>
      <c r="AQ10" s="25"/>
      <c r="AR10" s="25"/>
      <c r="AS10" s="35"/>
      <c r="AT10" s="36"/>
      <c r="AU10" s="36"/>
      <c r="AV10" s="36"/>
      <c r="AW10" s="36"/>
      <c r="AX10" s="36"/>
      <c r="AY10" s="36"/>
      <c r="AZ10" s="36"/>
      <c r="BA10" s="36"/>
      <c r="BB10" s="36"/>
      <c r="BC10" s="36"/>
      <c r="BD10" s="50"/>
    </row>
    <row r="11" spans="1:57" ht="14.4" customHeight="1">
      <c r="A11" s="37">
        <f>IF(B11="","",COUNTA($B$8:B11))</f>
        <v>4</v>
      </c>
      <c r="B11" s="17" t="s">
        <v>1609</v>
      </c>
      <c r="C11" s="18"/>
      <c r="D11" s="18"/>
      <c r="E11" s="18"/>
      <c r="F11" s="18"/>
      <c r="G11" s="18"/>
      <c r="H11" s="18"/>
      <c r="I11" s="202" t="s">
        <v>1419</v>
      </c>
      <c r="J11" s="20"/>
      <c r="K11" s="20"/>
      <c r="L11" s="20"/>
      <c r="M11" s="20"/>
      <c r="N11" s="20"/>
      <c r="O11" s="20"/>
      <c r="P11" s="20"/>
      <c r="Q11" s="20"/>
      <c r="R11" s="17" t="s">
        <v>1609</v>
      </c>
      <c r="S11" s="18"/>
      <c r="T11" s="18"/>
      <c r="U11" s="18"/>
      <c r="V11" s="18"/>
      <c r="W11" s="18"/>
      <c r="X11" s="18"/>
      <c r="Y11" s="589" t="s">
        <v>107</v>
      </c>
      <c r="Z11" s="636"/>
      <c r="AA11" s="591" t="s">
        <v>109</v>
      </c>
      <c r="AB11" s="592"/>
      <c r="AC11" s="593"/>
      <c r="AD11" s="23">
        <v>3</v>
      </c>
      <c r="AE11" s="24" t="s">
        <v>1585</v>
      </c>
      <c r="AF11" s="24"/>
      <c r="AG11" s="24"/>
      <c r="AH11" s="24"/>
      <c r="AI11" s="24"/>
      <c r="AJ11" s="24"/>
      <c r="AK11" s="24"/>
      <c r="AL11" s="24"/>
      <c r="AM11" s="24"/>
      <c r="AN11" s="24"/>
      <c r="AO11" s="25"/>
      <c r="AP11" s="25"/>
      <c r="AQ11" s="25"/>
      <c r="AR11" s="25"/>
      <c r="AS11" s="35"/>
      <c r="AT11" s="36"/>
      <c r="AU11" s="36"/>
      <c r="AV11" s="36"/>
      <c r="AW11" s="36"/>
      <c r="AX11" s="36"/>
      <c r="AY11" s="36"/>
      <c r="AZ11" s="36"/>
      <c r="BA11" s="36"/>
      <c r="BB11" s="36"/>
      <c r="BC11" s="36"/>
      <c r="BD11" s="50"/>
    </row>
    <row r="12" spans="1:57" ht="14.4" customHeight="1">
      <c r="A12" s="37">
        <f>IF(B12="","",COUNTA($B$8:B12))</f>
        <v>5</v>
      </c>
      <c r="B12" s="17" t="s">
        <v>1584</v>
      </c>
      <c r="C12" s="18"/>
      <c r="D12" s="18"/>
      <c r="E12" s="18"/>
      <c r="F12" s="18"/>
      <c r="G12" s="18"/>
      <c r="H12" s="18"/>
      <c r="I12" s="26" t="s">
        <v>1420</v>
      </c>
      <c r="J12" s="20"/>
      <c r="K12" s="20"/>
      <c r="L12" s="20"/>
      <c r="M12" s="20"/>
      <c r="N12" s="20"/>
      <c r="O12" s="20"/>
      <c r="P12" s="20"/>
      <c r="Q12" s="20"/>
      <c r="R12" s="17" t="s">
        <v>1584</v>
      </c>
      <c r="S12" s="133"/>
      <c r="T12" s="133"/>
      <c r="U12" s="133"/>
      <c r="V12" s="133"/>
      <c r="W12" s="133"/>
      <c r="X12" s="133"/>
      <c r="Y12" s="589" t="s">
        <v>111</v>
      </c>
      <c r="Z12" s="636"/>
      <c r="AA12" s="591" t="s">
        <v>106</v>
      </c>
      <c r="AB12" s="592"/>
      <c r="AC12" s="593"/>
      <c r="AD12" s="23">
        <v>15</v>
      </c>
      <c r="AE12" s="24" t="s">
        <v>1585</v>
      </c>
      <c r="AF12" s="24"/>
      <c r="AG12" s="24"/>
      <c r="AH12" s="24"/>
      <c r="AI12" s="24"/>
      <c r="AJ12" s="24"/>
      <c r="AK12" s="24"/>
      <c r="AL12" s="24"/>
      <c r="AM12" s="24"/>
      <c r="AN12" s="24"/>
      <c r="AO12" s="25"/>
      <c r="AP12" s="25"/>
      <c r="AQ12" s="25"/>
      <c r="AR12" s="25"/>
      <c r="AS12" s="35"/>
      <c r="AT12" s="36"/>
      <c r="AU12" s="36"/>
      <c r="AV12" s="36"/>
      <c r="AW12" s="36"/>
      <c r="AX12" s="36"/>
      <c r="AY12" s="36"/>
      <c r="AZ12" s="36"/>
      <c r="BA12" s="36"/>
      <c r="BB12" s="36"/>
      <c r="BC12" s="36"/>
      <c r="BD12" s="50"/>
    </row>
    <row r="13" spans="1:57" ht="14.4" customHeight="1">
      <c r="A13" s="37">
        <f>IF(B13="","",COUNTA($B$8:B13))</f>
        <v>6</v>
      </c>
      <c r="B13" s="277" t="s">
        <v>1586</v>
      </c>
      <c r="C13" s="18"/>
      <c r="D13" s="18"/>
      <c r="E13" s="18"/>
      <c r="F13" s="18"/>
      <c r="G13" s="18"/>
      <c r="H13" s="18"/>
      <c r="I13" s="26" t="s">
        <v>1421</v>
      </c>
      <c r="J13" s="20"/>
      <c r="K13" s="20"/>
      <c r="L13" s="20"/>
      <c r="M13" s="20"/>
      <c r="N13" s="20"/>
      <c r="O13" s="20"/>
      <c r="P13" s="20"/>
      <c r="Q13" s="20"/>
      <c r="R13" s="115" t="s">
        <v>1586</v>
      </c>
      <c r="S13" s="133"/>
      <c r="T13" s="133"/>
      <c r="U13" s="133"/>
      <c r="V13" s="133"/>
      <c r="W13" s="133"/>
      <c r="X13" s="133"/>
      <c r="Y13" s="589" t="s">
        <v>107</v>
      </c>
      <c r="Z13" s="636"/>
      <c r="AA13" s="591" t="s">
        <v>109</v>
      </c>
      <c r="AB13" s="592"/>
      <c r="AC13" s="593"/>
      <c r="AD13" s="23">
        <v>3</v>
      </c>
      <c r="AE13" s="24" t="s">
        <v>1585</v>
      </c>
      <c r="AF13" s="24"/>
      <c r="AG13" s="24"/>
      <c r="AH13" s="24"/>
      <c r="AI13" s="24"/>
      <c r="AJ13" s="24"/>
      <c r="AK13" s="24"/>
      <c r="AL13" s="24"/>
      <c r="AM13" s="24"/>
      <c r="AN13" s="24"/>
      <c r="AO13" s="25"/>
      <c r="AP13" s="25"/>
      <c r="AQ13" s="25"/>
      <c r="AR13" s="25"/>
      <c r="AS13" s="35"/>
      <c r="AT13" s="36"/>
      <c r="AU13" s="36"/>
      <c r="AV13" s="36"/>
      <c r="AW13" s="36"/>
      <c r="AX13" s="36"/>
      <c r="AY13" s="36"/>
      <c r="AZ13" s="36"/>
      <c r="BA13" s="36"/>
      <c r="BB13" s="36"/>
      <c r="BC13" s="36"/>
      <c r="BD13" s="50"/>
    </row>
    <row r="14" spans="1:57" ht="14.4" customHeight="1">
      <c r="A14" s="37">
        <f>IF(B14="","",COUNTA($B$8:B14))</f>
        <v>7</v>
      </c>
      <c r="B14" s="17" t="s">
        <v>1606</v>
      </c>
      <c r="C14" s="18"/>
      <c r="D14" s="18"/>
      <c r="E14" s="18"/>
      <c r="F14" s="18"/>
      <c r="G14" s="18"/>
      <c r="H14" s="18"/>
      <c r="I14" s="19" t="s">
        <v>1535</v>
      </c>
      <c r="J14" s="20"/>
      <c r="K14" s="20"/>
      <c r="L14" s="20"/>
      <c r="M14" s="20"/>
      <c r="N14" s="20"/>
      <c r="O14" s="20"/>
      <c r="P14" s="20"/>
      <c r="Q14" s="20"/>
      <c r="R14" s="17" t="s">
        <v>1606</v>
      </c>
      <c r="S14" s="133"/>
      <c r="T14" s="133"/>
      <c r="U14" s="133"/>
      <c r="V14" s="133"/>
      <c r="W14" s="133"/>
      <c r="X14" s="133"/>
      <c r="Y14" s="589" t="s">
        <v>111</v>
      </c>
      <c r="Z14" s="636"/>
      <c r="AA14" s="591" t="s">
        <v>106</v>
      </c>
      <c r="AB14" s="592"/>
      <c r="AC14" s="593"/>
      <c r="AD14" s="23">
        <v>15</v>
      </c>
      <c r="AE14" s="24" t="s">
        <v>1585</v>
      </c>
      <c r="AF14" s="24"/>
      <c r="AG14" s="24"/>
      <c r="AH14" s="24"/>
      <c r="AI14" s="24"/>
      <c r="AJ14" s="24"/>
      <c r="AK14" s="24"/>
      <c r="AL14" s="24"/>
      <c r="AM14" s="24"/>
      <c r="AN14" s="24"/>
      <c r="AO14" s="25"/>
      <c r="AP14" s="25"/>
      <c r="AQ14" s="25"/>
      <c r="AR14" s="25"/>
      <c r="AS14" s="35"/>
      <c r="AT14" s="36"/>
      <c r="AU14" s="36"/>
      <c r="AV14" s="36"/>
      <c r="AW14" s="36"/>
      <c r="AX14" s="36"/>
      <c r="AY14" s="36"/>
      <c r="AZ14" s="36"/>
      <c r="BA14" s="36"/>
      <c r="BB14" s="36"/>
      <c r="BC14" s="36"/>
      <c r="BD14" s="50"/>
    </row>
    <row r="15" spans="1:57" ht="14.4" customHeight="1">
      <c r="A15" s="37">
        <f>IF(B15="","",COUNTA($B$8:B15))</f>
        <v>8</v>
      </c>
      <c r="B15" s="277" t="s">
        <v>1607</v>
      </c>
      <c r="C15" s="18"/>
      <c r="D15" s="18"/>
      <c r="E15" s="18"/>
      <c r="F15" s="18"/>
      <c r="G15" s="18"/>
      <c r="H15" s="18"/>
      <c r="I15" s="19" t="s">
        <v>1536</v>
      </c>
      <c r="J15" s="20"/>
      <c r="K15" s="20"/>
      <c r="L15" s="20"/>
      <c r="M15" s="20"/>
      <c r="N15" s="20"/>
      <c r="O15" s="20"/>
      <c r="P15" s="20"/>
      <c r="Q15" s="20"/>
      <c r="R15" s="115" t="s">
        <v>1607</v>
      </c>
      <c r="S15" s="133"/>
      <c r="T15" s="133"/>
      <c r="U15" s="133"/>
      <c r="V15" s="133"/>
      <c r="W15" s="133"/>
      <c r="X15" s="133"/>
      <c r="Y15" s="589" t="s">
        <v>107</v>
      </c>
      <c r="Z15" s="636"/>
      <c r="AA15" s="591" t="s">
        <v>109</v>
      </c>
      <c r="AB15" s="592"/>
      <c r="AC15" s="593"/>
      <c r="AD15" s="23">
        <v>3</v>
      </c>
      <c r="AE15" s="24" t="s">
        <v>1585</v>
      </c>
      <c r="AF15" s="24"/>
      <c r="AG15" s="24"/>
      <c r="AH15" s="24"/>
      <c r="AI15" s="24"/>
      <c r="AJ15" s="24"/>
      <c r="AK15" s="24"/>
      <c r="AL15" s="24"/>
      <c r="AM15" s="24"/>
      <c r="AN15" s="24"/>
      <c r="AO15" s="25"/>
      <c r="AP15" s="25"/>
      <c r="AQ15" s="25"/>
      <c r="AR15" s="25"/>
      <c r="AS15" s="35"/>
      <c r="AT15" s="36"/>
      <c r="AU15" s="36"/>
      <c r="AV15" s="36"/>
      <c r="AW15" s="36"/>
      <c r="AX15" s="36"/>
      <c r="AY15" s="36"/>
      <c r="AZ15" s="36"/>
      <c r="BA15" s="36"/>
      <c r="BB15" s="36"/>
      <c r="BC15" s="36"/>
      <c r="BD15" s="50"/>
    </row>
    <row r="16" spans="1:57" ht="14.4" customHeight="1">
      <c r="A16" s="37">
        <f>IF(B16="","",COUNTA($B$8:B16))</f>
        <v>9</v>
      </c>
      <c r="B16" s="277" t="s">
        <v>1605</v>
      </c>
      <c r="C16" s="18"/>
      <c r="D16" s="18"/>
      <c r="E16" s="18"/>
      <c r="F16" s="18"/>
      <c r="G16" s="18"/>
      <c r="H16" s="18"/>
      <c r="I16" s="19" t="s">
        <v>1537</v>
      </c>
      <c r="J16" s="20"/>
      <c r="K16" s="20"/>
      <c r="L16" s="20"/>
      <c r="M16" s="20"/>
      <c r="N16" s="20"/>
      <c r="O16" s="20"/>
      <c r="P16" s="20"/>
      <c r="Q16" s="20"/>
      <c r="R16" s="17" t="s">
        <v>1605</v>
      </c>
      <c r="S16" s="133"/>
      <c r="T16" s="133"/>
      <c r="U16" s="133"/>
      <c r="V16" s="133"/>
      <c r="W16" s="133"/>
      <c r="X16" s="133"/>
      <c r="Y16" s="589" t="s">
        <v>107</v>
      </c>
      <c r="Z16" s="636"/>
      <c r="AA16" s="591" t="s">
        <v>109</v>
      </c>
      <c r="AB16" s="592"/>
      <c r="AC16" s="593"/>
      <c r="AD16" s="23">
        <v>3</v>
      </c>
      <c r="AE16" s="24" t="s">
        <v>1585</v>
      </c>
      <c r="AF16" s="24"/>
      <c r="AG16" s="24"/>
      <c r="AH16" s="24"/>
      <c r="AI16" s="24"/>
      <c r="AJ16" s="24"/>
      <c r="AK16" s="24"/>
      <c r="AL16" s="24"/>
      <c r="AM16" s="24"/>
      <c r="AN16" s="24"/>
      <c r="AO16" s="25"/>
      <c r="AP16" s="25"/>
      <c r="AQ16" s="25"/>
      <c r="AR16" s="25"/>
      <c r="AS16" s="35"/>
      <c r="AT16" s="36"/>
      <c r="AU16" s="36"/>
      <c r="AV16" s="36"/>
      <c r="AW16" s="36"/>
      <c r="AX16" s="36"/>
      <c r="AY16" s="36"/>
      <c r="AZ16" s="36"/>
      <c r="BA16" s="36"/>
      <c r="BB16" s="36"/>
      <c r="BC16" s="36"/>
      <c r="BD16" s="50"/>
    </row>
    <row r="17" spans="1:57" ht="14.4" customHeight="1">
      <c r="A17" s="37">
        <f>IF(B17="","",COUNTA($B$8:B17))</f>
        <v>10</v>
      </c>
      <c r="B17" s="277" t="s">
        <v>1604</v>
      </c>
      <c r="C17" s="18"/>
      <c r="D17" s="18"/>
      <c r="E17" s="18"/>
      <c r="F17" s="18"/>
      <c r="G17" s="18"/>
      <c r="H17" s="18"/>
      <c r="I17" s="19" t="s">
        <v>1538</v>
      </c>
      <c r="J17" s="20"/>
      <c r="K17" s="20"/>
      <c r="L17" s="20"/>
      <c r="M17" s="20"/>
      <c r="N17" s="20"/>
      <c r="O17" s="20"/>
      <c r="P17" s="20"/>
      <c r="Q17" s="20"/>
      <c r="R17" s="17" t="s">
        <v>1604</v>
      </c>
      <c r="S17" s="133"/>
      <c r="T17" s="133"/>
      <c r="U17" s="133"/>
      <c r="V17" s="133"/>
      <c r="W17" s="133"/>
      <c r="X17" s="133"/>
      <c r="Y17" s="589" t="s">
        <v>107</v>
      </c>
      <c r="Z17" s="636"/>
      <c r="AA17" s="591" t="s">
        <v>109</v>
      </c>
      <c r="AB17" s="592"/>
      <c r="AC17" s="593"/>
      <c r="AD17" s="23">
        <v>3</v>
      </c>
      <c r="AE17" s="24" t="s">
        <v>1585</v>
      </c>
      <c r="AF17" s="24"/>
      <c r="AG17" s="24"/>
      <c r="AH17" s="24"/>
      <c r="AI17" s="24"/>
      <c r="AJ17" s="24"/>
      <c r="AK17" s="24"/>
      <c r="AL17" s="24"/>
      <c r="AM17" s="24"/>
      <c r="AN17" s="24"/>
      <c r="AO17" s="25"/>
      <c r="AP17" s="25"/>
      <c r="AQ17" s="25"/>
      <c r="AR17" s="25"/>
      <c r="AS17" s="35"/>
      <c r="AT17" s="36"/>
      <c r="AU17" s="36"/>
      <c r="AV17" s="36"/>
      <c r="AW17" s="36"/>
      <c r="AX17" s="36"/>
      <c r="AY17" s="36"/>
      <c r="AZ17" s="36"/>
      <c r="BA17" s="36"/>
      <c r="BB17" s="36"/>
      <c r="BC17" s="36"/>
      <c r="BD17" s="50"/>
    </row>
    <row r="18" spans="1:57" ht="14.4" customHeight="1">
      <c r="A18" s="37">
        <f>IF(B18="","",COUNTA($B$8:B18))</f>
        <v>11</v>
      </c>
      <c r="B18" s="278" t="s">
        <v>1603</v>
      </c>
      <c r="C18" s="268"/>
      <c r="D18" s="268"/>
      <c r="E18" s="268"/>
      <c r="F18" s="268"/>
      <c r="G18" s="268"/>
      <c r="H18" s="268"/>
      <c r="I18" s="269"/>
      <c r="J18" s="270"/>
      <c r="K18" s="270"/>
      <c r="L18" s="270"/>
      <c r="M18" s="270"/>
      <c r="N18" s="270"/>
      <c r="O18" s="270"/>
      <c r="P18" s="270"/>
      <c r="Q18" s="270"/>
      <c r="R18" s="200" t="s">
        <v>1603</v>
      </c>
      <c r="S18" s="279"/>
      <c r="T18" s="279"/>
      <c r="U18" s="279"/>
      <c r="V18" s="279"/>
      <c r="W18" s="279"/>
      <c r="X18" s="279"/>
      <c r="Y18" s="637"/>
      <c r="Z18" s="679"/>
      <c r="AA18" s="639"/>
      <c r="AB18" s="640"/>
      <c r="AC18" s="641"/>
      <c r="AD18" s="271"/>
      <c r="AE18" s="247" t="s">
        <v>1585</v>
      </c>
      <c r="AF18" s="247"/>
      <c r="AG18" s="247"/>
      <c r="AH18" s="247"/>
      <c r="AI18" s="247"/>
      <c r="AJ18" s="247"/>
      <c r="AK18" s="247"/>
      <c r="AL18" s="247"/>
      <c r="AM18" s="247"/>
      <c r="AN18" s="247"/>
      <c r="AO18" s="197"/>
      <c r="AP18" s="197"/>
      <c r="AQ18" s="197"/>
      <c r="AR18" s="197"/>
      <c r="AS18" s="193"/>
      <c r="AT18" s="198"/>
      <c r="AU18" s="198"/>
      <c r="AV18" s="198"/>
      <c r="AW18" s="198"/>
      <c r="AX18" s="198"/>
      <c r="AY18" s="198"/>
      <c r="AZ18" s="198"/>
      <c r="BA18" s="198"/>
      <c r="BB18" s="198"/>
      <c r="BC18" s="198"/>
      <c r="BD18" s="199"/>
      <c r="BE18" s="16" t="s">
        <v>1418</v>
      </c>
    </row>
    <row r="19" spans="1:57" ht="14.4" customHeight="1">
      <c r="A19" s="37">
        <f>IF(B19="","",COUNTA($B$8:B19))</f>
        <v>12</v>
      </c>
      <c r="B19" s="17" t="s">
        <v>1587</v>
      </c>
      <c r="C19" s="18"/>
      <c r="D19" s="18"/>
      <c r="E19" s="18"/>
      <c r="F19" s="18"/>
      <c r="G19" s="18"/>
      <c r="H19" s="18"/>
      <c r="I19" s="19" t="s">
        <v>1423</v>
      </c>
      <c r="J19" s="20"/>
      <c r="K19" s="20"/>
      <c r="L19" s="20"/>
      <c r="M19" s="20"/>
      <c r="N19" s="20"/>
      <c r="O19" s="20"/>
      <c r="P19" s="20"/>
      <c r="Q19" s="20"/>
      <c r="R19" s="17" t="s">
        <v>1587</v>
      </c>
      <c r="S19" s="133"/>
      <c r="T19" s="133"/>
      <c r="U19" s="133"/>
      <c r="V19" s="133"/>
      <c r="W19" s="133"/>
      <c r="X19" s="133"/>
      <c r="Y19" s="589" t="s">
        <v>111</v>
      </c>
      <c r="Z19" s="636"/>
      <c r="AA19" s="591" t="s">
        <v>106</v>
      </c>
      <c r="AB19" s="592"/>
      <c r="AC19" s="593"/>
      <c r="AD19" s="23">
        <v>15</v>
      </c>
      <c r="AE19" s="24" t="s">
        <v>1585</v>
      </c>
      <c r="AF19" s="24"/>
      <c r="AG19" s="24"/>
      <c r="AH19" s="24"/>
      <c r="AI19" s="24"/>
      <c r="AJ19" s="24"/>
      <c r="AK19" s="24"/>
      <c r="AL19" s="24"/>
      <c r="AM19" s="24"/>
      <c r="AN19" s="24"/>
      <c r="AO19" s="25"/>
      <c r="AP19" s="25"/>
      <c r="AQ19" s="25"/>
      <c r="AR19" s="25"/>
      <c r="AS19" s="35"/>
      <c r="AT19" s="36"/>
      <c r="AU19" s="36"/>
      <c r="AV19" s="36"/>
      <c r="AW19" s="36"/>
      <c r="AX19" s="36"/>
      <c r="AY19" s="36"/>
      <c r="AZ19" s="36"/>
      <c r="BA19" s="36"/>
      <c r="BB19" s="36"/>
      <c r="BC19" s="36"/>
      <c r="BD19" s="50"/>
    </row>
    <row r="20" spans="1:57" ht="14.4" customHeight="1">
      <c r="A20" s="37">
        <f>IF(B20="","",COUNTA($B$8:B20))</f>
        <v>13</v>
      </c>
      <c r="B20" s="277" t="s">
        <v>1588</v>
      </c>
      <c r="C20" s="18"/>
      <c r="D20" s="18"/>
      <c r="E20" s="18"/>
      <c r="F20" s="18"/>
      <c r="G20" s="18"/>
      <c r="H20" s="18"/>
      <c r="I20" s="19" t="s">
        <v>1424</v>
      </c>
      <c r="J20" s="20"/>
      <c r="K20" s="20"/>
      <c r="L20" s="20"/>
      <c r="M20" s="20"/>
      <c r="N20" s="20"/>
      <c r="O20" s="20"/>
      <c r="P20" s="20"/>
      <c r="Q20" s="20"/>
      <c r="R20" s="115" t="s">
        <v>1588</v>
      </c>
      <c r="S20" s="133"/>
      <c r="T20" s="133"/>
      <c r="U20" s="133"/>
      <c r="V20" s="133"/>
      <c r="W20" s="133"/>
      <c r="X20" s="133"/>
      <c r="Y20" s="589" t="s">
        <v>107</v>
      </c>
      <c r="Z20" s="636"/>
      <c r="AA20" s="591" t="s">
        <v>109</v>
      </c>
      <c r="AB20" s="592"/>
      <c r="AC20" s="593"/>
      <c r="AD20" s="23">
        <v>3</v>
      </c>
      <c r="AE20" s="24" t="s">
        <v>1585</v>
      </c>
      <c r="AF20" s="24"/>
      <c r="AG20" s="24"/>
      <c r="AH20" s="24"/>
      <c r="AI20" s="24"/>
      <c r="AJ20" s="24"/>
      <c r="AK20" s="24"/>
      <c r="AL20" s="24"/>
      <c r="AM20" s="24"/>
      <c r="AN20" s="24"/>
      <c r="AO20" s="25"/>
      <c r="AP20" s="25"/>
      <c r="AQ20" s="25"/>
      <c r="AR20" s="25"/>
      <c r="AS20" s="35"/>
      <c r="AT20" s="36"/>
      <c r="AU20" s="36"/>
      <c r="AV20" s="36"/>
      <c r="AW20" s="36"/>
      <c r="AX20" s="36"/>
      <c r="AY20" s="36"/>
      <c r="AZ20" s="36"/>
      <c r="BA20" s="36"/>
      <c r="BB20" s="36"/>
      <c r="BC20" s="36"/>
      <c r="BD20" s="50"/>
    </row>
    <row r="21" spans="1:57" ht="14.4" customHeight="1">
      <c r="A21" s="37">
        <f>IF(B21="","",COUNTA($B$8:B21))</f>
        <v>14</v>
      </c>
      <c r="B21" s="17" t="s">
        <v>1612</v>
      </c>
      <c r="C21" s="18"/>
      <c r="D21" s="18"/>
      <c r="E21" s="18"/>
      <c r="F21" s="18"/>
      <c r="G21" s="18"/>
      <c r="H21" s="18"/>
      <c r="I21" s="26" t="s">
        <v>1396</v>
      </c>
      <c r="J21" s="20"/>
      <c r="K21" s="20"/>
      <c r="L21" s="20"/>
      <c r="M21" s="20"/>
      <c r="N21" s="20"/>
      <c r="O21" s="20"/>
      <c r="P21" s="20"/>
      <c r="Q21" s="20"/>
      <c r="R21" s="17" t="s">
        <v>1612</v>
      </c>
      <c r="S21" s="18"/>
      <c r="T21" s="18"/>
      <c r="U21" s="18"/>
      <c r="V21" s="18"/>
      <c r="W21" s="18"/>
      <c r="X21" s="18"/>
      <c r="Y21" s="589" t="s">
        <v>1516</v>
      </c>
      <c r="Z21" s="636"/>
      <c r="AA21" s="591" t="s">
        <v>1517</v>
      </c>
      <c r="AB21" s="592"/>
      <c r="AC21" s="593"/>
      <c r="AD21" s="23">
        <v>3</v>
      </c>
      <c r="AE21" s="24" t="s">
        <v>1585</v>
      </c>
      <c r="AF21" s="24"/>
      <c r="AG21" s="24"/>
      <c r="AH21" s="24"/>
      <c r="AI21" s="24"/>
      <c r="AJ21" s="24"/>
      <c r="AK21" s="24"/>
      <c r="AL21" s="24"/>
      <c r="AM21" s="24"/>
      <c r="AN21" s="24"/>
      <c r="AO21" s="25"/>
      <c r="AP21" s="25"/>
      <c r="AQ21" s="25"/>
      <c r="AR21" s="25"/>
      <c r="AS21" s="35" t="s">
        <v>1353</v>
      </c>
      <c r="AT21" s="36"/>
      <c r="AU21" s="36"/>
      <c r="AV21" s="36"/>
      <c r="AW21" s="36"/>
      <c r="AX21" s="36"/>
      <c r="AY21" s="36"/>
      <c r="AZ21" s="36"/>
      <c r="BA21" s="36"/>
      <c r="BB21" s="36"/>
      <c r="BC21" s="36"/>
      <c r="BD21" s="50"/>
      <c r="BE21" s="16" t="s">
        <v>1354</v>
      </c>
    </row>
    <row r="22" spans="1:57" ht="14.4" customHeight="1">
      <c r="A22" s="206">
        <f>IF(B22="","",COUNTA($B$8:B22))</f>
        <v>15</v>
      </c>
      <c r="B22" s="370" t="s">
        <v>1786</v>
      </c>
      <c r="C22" s="378"/>
      <c r="D22" s="378"/>
      <c r="E22" s="378"/>
      <c r="F22" s="378"/>
      <c r="G22" s="378"/>
      <c r="H22" s="378"/>
      <c r="I22" s="370" t="s">
        <v>1794</v>
      </c>
      <c r="J22" s="379"/>
      <c r="K22" s="379"/>
      <c r="L22" s="379"/>
      <c r="M22" s="379"/>
      <c r="N22" s="379"/>
      <c r="O22" s="379"/>
      <c r="P22" s="379"/>
      <c r="Q22" s="379"/>
      <c r="R22" s="370" t="s">
        <v>1786</v>
      </c>
      <c r="S22" s="378"/>
      <c r="T22" s="378"/>
      <c r="U22" s="378"/>
      <c r="V22" s="378"/>
      <c r="W22" s="378"/>
      <c r="X22" s="378"/>
      <c r="Y22" s="655" t="s">
        <v>141</v>
      </c>
      <c r="Z22" s="656"/>
      <c r="AA22" s="657" t="s">
        <v>1285</v>
      </c>
      <c r="AB22" s="658"/>
      <c r="AC22" s="659"/>
      <c r="AD22" s="369">
        <v>30</v>
      </c>
      <c r="AE22" s="351"/>
      <c r="AF22" s="351"/>
      <c r="AG22" s="351"/>
      <c r="AH22" s="351"/>
      <c r="AI22" s="351"/>
      <c r="AJ22" s="351"/>
      <c r="AK22" s="351"/>
      <c r="AL22" s="351"/>
      <c r="AM22" s="351"/>
      <c r="AN22" s="351"/>
      <c r="AO22" s="351"/>
      <c r="AP22" s="351"/>
      <c r="AQ22" s="351"/>
      <c r="AR22" s="351"/>
      <c r="AS22" s="347" t="s">
        <v>1837</v>
      </c>
      <c r="AT22" s="372"/>
      <c r="AU22" s="372"/>
      <c r="AV22" s="372"/>
      <c r="AW22" s="372"/>
      <c r="AX22" s="372"/>
      <c r="AY22" s="372"/>
      <c r="AZ22" s="372"/>
      <c r="BA22" s="372"/>
      <c r="BB22" s="372"/>
      <c r="BC22" s="372"/>
      <c r="BD22" s="373"/>
      <c r="BE22" s="16" t="s">
        <v>1834</v>
      </c>
    </row>
    <row r="23" spans="1:57" ht="14.4" customHeight="1">
      <c r="A23" s="37">
        <f>IF(B23="","",COUNTA($B$8:B23))</f>
        <v>16</v>
      </c>
      <c r="B23" s="17" t="s">
        <v>1711</v>
      </c>
      <c r="C23" s="18"/>
      <c r="D23" s="18"/>
      <c r="E23" s="18"/>
      <c r="F23" s="18"/>
      <c r="G23" s="18"/>
      <c r="H23" s="18"/>
      <c r="I23" s="35" t="s">
        <v>1461</v>
      </c>
      <c r="J23" s="20"/>
      <c r="K23" s="20"/>
      <c r="L23" s="20"/>
      <c r="M23" s="20"/>
      <c r="N23" s="20"/>
      <c r="O23" s="20"/>
      <c r="P23" s="20"/>
      <c r="Q23" s="20"/>
      <c r="R23" s="17" t="s">
        <v>1711</v>
      </c>
      <c r="S23" s="18"/>
      <c r="T23" s="18"/>
      <c r="U23" s="18"/>
      <c r="V23" s="18"/>
      <c r="W23" s="18"/>
      <c r="X23" s="18"/>
      <c r="Y23" s="17" t="s">
        <v>1504</v>
      </c>
      <c r="Z23" s="28"/>
      <c r="AA23" s="591" t="s">
        <v>1505</v>
      </c>
      <c r="AB23" s="592"/>
      <c r="AC23" s="593"/>
      <c r="AD23" s="53">
        <v>8</v>
      </c>
      <c r="AE23" s="24" t="s">
        <v>1585</v>
      </c>
      <c r="AF23" s="24"/>
      <c r="AG23" s="24"/>
      <c r="AH23" s="24"/>
      <c r="AI23" s="24"/>
      <c r="AJ23" s="24"/>
      <c r="AK23" s="24"/>
      <c r="AL23" s="24"/>
      <c r="AM23" s="24"/>
      <c r="AN23" s="24"/>
      <c r="AO23" s="25"/>
      <c r="AP23" s="25"/>
      <c r="AQ23" s="25"/>
      <c r="AR23" s="25"/>
      <c r="AS23" s="35"/>
      <c r="AT23" s="36"/>
      <c r="AU23" s="36"/>
      <c r="AV23" s="36"/>
      <c r="AW23" s="36"/>
      <c r="AX23" s="36"/>
      <c r="AY23" s="36"/>
      <c r="AZ23" s="36"/>
      <c r="BA23" s="36"/>
      <c r="BB23" s="36"/>
      <c r="BC23" s="36"/>
      <c r="BD23" s="50"/>
      <c r="BE23" s="16" t="s">
        <v>1370</v>
      </c>
    </row>
    <row r="24" spans="1:57" ht="14.4" customHeight="1">
      <c r="A24" s="37">
        <f>IF(B24="","",COUNTA($B$8:B24))</f>
        <v>17</v>
      </c>
      <c r="B24" s="200" t="s">
        <v>1683</v>
      </c>
      <c r="C24" s="268"/>
      <c r="D24" s="268"/>
      <c r="E24" s="268"/>
      <c r="F24" s="268"/>
      <c r="G24" s="268"/>
      <c r="H24" s="268"/>
      <c r="I24" s="193" t="s">
        <v>1098</v>
      </c>
      <c r="J24" s="270"/>
      <c r="K24" s="270"/>
      <c r="L24" s="270"/>
      <c r="M24" s="270"/>
      <c r="N24" s="270"/>
      <c r="O24" s="270"/>
      <c r="P24" s="270"/>
      <c r="Q24" s="270"/>
      <c r="R24" s="200" t="s">
        <v>1683</v>
      </c>
      <c r="S24" s="268"/>
      <c r="T24" s="268"/>
      <c r="U24" s="268"/>
      <c r="V24" s="268"/>
      <c r="W24" s="268"/>
      <c r="X24" s="268"/>
      <c r="Y24" s="200" t="s">
        <v>141</v>
      </c>
      <c r="Z24" s="201"/>
      <c r="AA24" s="639" t="s">
        <v>1285</v>
      </c>
      <c r="AB24" s="640"/>
      <c r="AC24" s="641"/>
      <c r="AD24" s="196">
        <v>15</v>
      </c>
      <c r="AE24" s="247" t="s">
        <v>1585</v>
      </c>
      <c r="AF24" s="247"/>
      <c r="AG24" s="247"/>
      <c r="AH24" s="247"/>
      <c r="AI24" s="247"/>
      <c r="AJ24" s="247"/>
      <c r="AK24" s="247"/>
      <c r="AL24" s="247"/>
      <c r="AM24" s="247"/>
      <c r="AN24" s="247"/>
      <c r="AO24" s="197"/>
      <c r="AP24" s="197"/>
      <c r="AQ24" s="197"/>
      <c r="AR24" s="197"/>
      <c r="AS24" s="193"/>
      <c r="AT24" s="198"/>
      <c r="AU24" s="198"/>
      <c r="AV24" s="198"/>
      <c r="AW24" s="198"/>
      <c r="AX24" s="198"/>
      <c r="AY24" s="198"/>
      <c r="AZ24" s="198"/>
      <c r="BA24" s="198"/>
      <c r="BB24" s="198"/>
      <c r="BC24" s="198"/>
      <c r="BD24" s="199"/>
      <c r="BE24" s="16" t="s">
        <v>1833</v>
      </c>
    </row>
    <row r="25" spans="1:57" ht="14.4" customHeight="1">
      <c r="A25" s="37">
        <f>IF(B25="","",COUNTA($B$8:B25))</f>
        <v>18</v>
      </c>
      <c r="B25" s="344" t="s">
        <v>1830</v>
      </c>
      <c r="C25" s="345"/>
      <c r="D25" s="345"/>
      <c r="E25" s="345"/>
      <c r="F25" s="345"/>
      <c r="G25" s="345"/>
      <c r="H25" s="345"/>
      <c r="I25" s="370" t="s">
        <v>1832</v>
      </c>
      <c r="J25" s="348"/>
      <c r="K25" s="348"/>
      <c r="L25" s="348"/>
      <c r="M25" s="348"/>
      <c r="N25" s="348"/>
      <c r="O25" s="348"/>
      <c r="P25" s="348"/>
      <c r="Q25" s="348"/>
      <c r="R25" s="344" t="s">
        <v>1830</v>
      </c>
      <c r="S25" s="345"/>
      <c r="T25" s="345"/>
      <c r="U25" s="345"/>
      <c r="V25" s="345"/>
      <c r="W25" s="345"/>
      <c r="X25" s="345"/>
      <c r="Y25" s="344" t="s">
        <v>1504</v>
      </c>
      <c r="Z25" s="349"/>
      <c r="AA25" s="657" t="s">
        <v>1505</v>
      </c>
      <c r="AB25" s="658"/>
      <c r="AC25" s="659"/>
      <c r="AD25" s="371">
        <v>15</v>
      </c>
      <c r="AE25" s="352" t="s">
        <v>1585</v>
      </c>
      <c r="AF25" s="352"/>
      <c r="AG25" s="352"/>
      <c r="AH25" s="352"/>
      <c r="AI25" s="352"/>
      <c r="AJ25" s="352"/>
      <c r="AK25" s="352"/>
      <c r="AL25" s="352"/>
      <c r="AM25" s="352"/>
      <c r="AN25" s="352"/>
      <c r="AO25" s="351"/>
      <c r="AP25" s="351"/>
      <c r="AQ25" s="351"/>
      <c r="AR25" s="351"/>
      <c r="AS25" s="370"/>
      <c r="AT25" s="372"/>
      <c r="AU25" s="372"/>
      <c r="AV25" s="372"/>
      <c r="AW25" s="372"/>
      <c r="AX25" s="372"/>
      <c r="AY25" s="372"/>
      <c r="AZ25" s="372"/>
      <c r="BA25" s="372"/>
      <c r="BB25" s="372"/>
      <c r="BC25" s="372"/>
      <c r="BD25" s="373"/>
      <c r="BE25" s="291" t="s">
        <v>1834</v>
      </c>
    </row>
    <row r="26" spans="1:57" ht="14.4" customHeight="1">
      <c r="A26" s="37">
        <f>IF(B26="","",COUNTA($B$8:B26))</f>
        <v>19</v>
      </c>
      <c r="B26" s="35" t="s">
        <v>1728</v>
      </c>
      <c r="C26" s="34"/>
      <c r="D26" s="34"/>
      <c r="E26" s="34"/>
      <c r="F26" s="34"/>
      <c r="G26" s="34"/>
      <c r="H26" s="34"/>
      <c r="I26" s="35" t="s">
        <v>1539</v>
      </c>
      <c r="J26" s="27"/>
      <c r="K26" s="27"/>
      <c r="L26" s="27"/>
      <c r="M26" s="27"/>
      <c r="N26" s="27"/>
      <c r="O26" s="27"/>
      <c r="P26" s="27"/>
      <c r="Q26" s="27"/>
      <c r="R26" s="35" t="s">
        <v>1728</v>
      </c>
      <c r="S26" s="34"/>
      <c r="T26" s="34"/>
      <c r="U26" s="34"/>
      <c r="V26" s="34"/>
      <c r="W26" s="34"/>
      <c r="X26" s="34"/>
      <c r="Y26" s="589" t="s">
        <v>1504</v>
      </c>
      <c r="Z26" s="590"/>
      <c r="AA26" s="591" t="s">
        <v>1511</v>
      </c>
      <c r="AB26" s="592"/>
      <c r="AC26" s="593"/>
      <c r="AD26" s="53"/>
      <c r="AE26" s="25"/>
      <c r="AF26" s="25"/>
      <c r="AG26" s="25"/>
      <c r="AH26" s="25"/>
      <c r="AI26" s="25"/>
      <c r="AJ26" s="25"/>
      <c r="AK26" s="25"/>
      <c r="AL26" s="25"/>
      <c r="AM26" s="25"/>
      <c r="AN26" s="25"/>
      <c r="AO26" s="25"/>
      <c r="AP26" s="25"/>
      <c r="AQ26" s="25"/>
      <c r="AR26" s="25"/>
      <c r="AS26" s="35" t="s">
        <v>224</v>
      </c>
      <c r="AT26" s="36"/>
      <c r="AU26" s="36"/>
      <c r="AV26" s="36"/>
      <c r="AW26" s="36"/>
      <c r="AX26" s="36"/>
      <c r="AY26" s="36"/>
      <c r="AZ26" s="36"/>
      <c r="BA26" s="36"/>
      <c r="BB26" s="36"/>
      <c r="BC26" s="36"/>
      <c r="BD26" s="50"/>
      <c r="BE26" s="16" t="s">
        <v>1372</v>
      </c>
    </row>
    <row r="27" spans="1:57" ht="14.4" customHeight="1">
      <c r="A27" s="37">
        <f>IF(B27="","",COUNTA($B$8:B27))</f>
        <v>20</v>
      </c>
      <c r="B27" s="35" t="s">
        <v>1726</v>
      </c>
      <c r="C27" s="34"/>
      <c r="D27" s="34"/>
      <c r="E27" s="34"/>
      <c r="F27" s="34"/>
      <c r="G27" s="34"/>
      <c r="H27" s="34"/>
      <c r="I27" s="35" t="s">
        <v>1540</v>
      </c>
      <c r="J27" s="27"/>
      <c r="K27" s="27"/>
      <c r="L27" s="27"/>
      <c r="M27" s="27"/>
      <c r="N27" s="27"/>
      <c r="O27" s="27"/>
      <c r="P27" s="27"/>
      <c r="Q27" s="27"/>
      <c r="R27" s="35" t="s">
        <v>1726</v>
      </c>
      <c r="S27" s="34"/>
      <c r="T27" s="34"/>
      <c r="U27" s="34"/>
      <c r="V27" s="34"/>
      <c r="W27" s="34"/>
      <c r="X27" s="34"/>
      <c r="Y27" s="589" t="s">
        <v>1504</v>
      </c>
      <c r="Z27" s="590"/>
      <c r="AA27" s="591" t="s">
        <v>1505</v>
      </c>
      <c r="AB27" s="592"/>
      <c r="AC27" s="593"/>
      <c r="AD27" s="53">
        <v>3</v>
      </c>
      <c r="AE27" s="25"/>
      <c r="AF27" s="25"/>
      <c r="AG27" s="25"/>
      <c r="AH27" s="25"/>
      <c r="AI27" s="25"/>
      <c r="AJ27" s="25"/>
      <c r="AK27" s="25"/>
      <c r="AL27" s="25"/>
      <c r="AM27" s="25"/>
      <c r="AN27" s="25"/>
      <c r="AO27" s="25"/>
      <c r="AP27" s="25"/>
      <c r="AQ27" s="25"/>
      <c r="AR27" s="25"/>
      <c r="AS27" s="35" t="s">
        <v>271</v>
      </c>
      <c r="AT27" s="36"/>
      <c r="AU27" s="36"/>
      <c r="AV27" s="36"/>
      <c r="AW27" s="36"/>
      <c r="AX27" s="36"/>
      <c r="AY27" s="36"/>
      <c r="AZ27" s="36"/>
      <c r="BA27" s="36"/>
      <c r="BB27" s="36"/>
      <c r="BC27" s="36"/>
      <c r="BD27" s="50"/>
    </row>
    <row r="28" spans="1:57" ht="14.4" customHeight="1">
      <c r="A28" s="93">
        <f>IF(B28="","",COUNTA($B$8:B28))</f>
        <v>21</v>
      </c>
      <c r="B28" s="87" t="s">
        <v>1727</v>
      </c>
      <c r="C28" s="181"/>
      <c r="D28" s="181"/>
      <c r="E28" s="181"/>
      <c r="F28" s="181"/>
      <c r="G28" s="181"/>
      <c r="H28" s="181"/>
      <c r="I28" s="87" t="s">
        <v>1426</v>
      </c>
      <c r="J28" s="182"/>
      <c r="K28" s="182"/>
      <c r="L28" s="182"/>
      <c r="M28" s="182"/>
      <c r="N28" s="182"/>
      <c r="O28" s="182"/>
      <c r="P28" s="182"/>
      <c r="Q28" s="182"/>
      <c r="R28" s="87" t="s">
        <v>1727</v>
      </c>
      <c r="S28" s="181"/>
      <c r="T28" s="181"/>
      <c r="U28" s="181"/>
      <c r="V28" s="181"/>
      <c r="W28" s="181"/>
      <c r="X28" s="181"/>
      <c r="Y28" s="647" t="s">
        <v>1504</v>
      </c>
      <c r="Z28" s="648"/>
      <c r="AA28" s="649" t="s">
        <v>1505</v>
      </c>
      <c r="AB28" s="650"/>
      <c r="AC28" s="651"/>
      <c r="AD28" s="94">
        <v>3</v>
      </c>
      <c r="AE28" s="95"/>
      <c r="AF28" s="95"/>
      <c r="AG28" s="95"/>
      <c r="AH28" s="95"/>
      <c r="AI28" s="95"/>
      <c r="AJ28" s="95"/>
      <c r="AK28" s="95"/>
      <c r="AL28" s="95"/>
      <c r="AM28" s="95"/>
      <c r="AN28" s="95"/>
      <c r="AO28" s="95"/>
      <c r="AP28" s="95"/>
      <c r="AQ28" s="95"/>
      <c r="AR28" s="95"/>
      <c r="AS28" s="253" t="s">
        <v>1739</v>
      </c>
      <c r="AT28" s="258"/>
      <c r="AU28" s="258"/>
      <c r="AV28" s="258"/>
      <c r="AW28" s="258"/>
      <c r="AX28" s="258"/>
      <c r="AY28" s="258"/>
      <c r="AZ28" s="258"/>
      <c r="BA28" s="258"/>
      <c r="BB28" s="258"/>
      <c r="BC28" s="258"/>
      <c r="BD28" s="259"/>
      <c r="BE28" s="16" t="s">
        <v>1743</v>
      </c>
    </row>
    <row r="29" spans="1:57" ht="14.4" customHeight="1">
      <c r="A29" s="294"/>
      <c r="B29" s="298"/>
      <c r="C29" s="299"/>
      <c r="D29" s="299"/>
      <c r="E29" s="299"/>
      <c r="F29" s="299"/>
      <c r="G29" s="299"/>
      <c r="H29" s="299"/>
      <c r="I29" s="298"/>
      <c r="J29" s="300"/>
      <c r="K29" s="300"/>
      <c r="L29" s="300"/>
      <c r="M29" s="300"/>
      <c r="N29" s="300"/>
      <c r="O29" s="300"/>
      <c r="P29" s="300"/>
      <c r="Q29" s="300"/>
      <c r="R29" s="298"/>
      <c r="S29" s="299"/>
      <c r="T29" s="299"/>
      <c r="U29" s="299"/>
      <c r="V29" s="299"/>
      <c r="W29" s="299"/>
      <c r="X29" s="299"/>
      <c r="Y29" s="301"/>
      <c r="Z29" s="302"/>
      <c r="AA29" s="303"/>
      <c r="AB29" s="304"/>
      <c r="AC29" s="305"/>
      <c r="AD29" s="306"/>
      <c r="AE29" s="307"/>
      <c r="AF29" s="307"/>
      <c r="AG29" s="307"/>
      <c r="AH29" s="307"/>
      <c r="AI29" s="307"/>
      <c r="AJ29" s="307"/>
      <c r="AK29" s="307"/>
      <c r="AL29" s="307"/>
      <c r="AM29" s="307"/>
      <c r="AN29" s="307"/>
      <c r="AO29" s="307"/>
      <c r="AP29" s="307"/>
      <c r="AQ29" s="307"/>
      <c r="AR29" s="307"/>
      <c r="AS29" s="295" t="s">
        <v>1740</v>
      </c>
      <c r="AT29" s="296"/>
      <c r="AU29" s="296"/>
      <c r="AV29" s="296"/>
      <c r="AW29" s="296"/>
      <c r="AX29" s="296"/>
      <c r="AY29" s="296"/>
      <c r="AZ29" s="296"/>
      <c r="BA29" s="296"/>
      <c r="BB29" s="296"/>
      <c r="BC29" s="296"/>
      <c r="BD29" s="297"/>
    </row>
    <row r="30" spans="1:57" ht="14.4" customHeight="1">
      <c r="A30" s="96" t="str">
        <f>IF(B30="","",COUNTA($B$8:B30))</f>
        <v/>
      </c>
      <c r="B30" s="97"/>
      <c r="C30" s="98"/>
      <c r="D30" s="98"/>
      <c r="E30" s="98"/>
      <c r="F30" s="98"/>
      <c r="G30" s="98"/>
      <c r="H30" s="98"/>
      <c r="I30" s="90"/>
      <c r="J30" s="99"/>
      <c r="K30" s="99"/>
      <c r="L30" s="99"/>
      <c r="M30" s="99"/>
      <c r="N30" s="99"/>
      <c r="O30" s="99"/>
      <c r="P30" s="99"/>
      <c r="Q30" s="114"/>
      <c r="R30" s="97"/>
      <c r="S30" s="98"/>
      <c r="T30" s="98"/>
      <c r="U30" s="98"/>
      <c r="V30" s="98"/>
      <c r="W30" s="98"/>
      <c r="X30" s="98"/>
      <c r="Y30" s="97"/>
      <c r="Z30" s="100"/>
      <c r="AA30" s="644"/>
      <c r="AB30" s="645"/>
      <c r="AC30" s="646"/>
      <c r="AD30" s="101"/>
      <c r="AE30" s="102"/>
      <c r="AF30" s="102"/>
      <c r="AG30" s="102"/>
      <c r="AH30" s="102"/>
      <c r="AI30" s="102"/>
      <c r="AJ30" s="102"/>
      <c r="AK30" s="102"/>
      <c r="AL30" s="102"/>
      <c r="AM30" s="102"/>
      <c r="AN30" s="102"/>
      <c r="AO30" s="103"/>
      <c r="AP30" s="103"/>
      <c r="AQ30" s="103"/>
      <c r="AR30" s="103"/>
      <c r="AS30" s="264" t="s">
        <v>1278</v>
      </c>
      <c r="AT30" s="265"/>
      <c r="AU30" s="265"/>
      <c r="AV30" s="265"/>
      <c r="AW30" s="265"/>
      <c r="AX30" s="265"/>
      <c r="AY30" s="265"/>
      <c r="AZ30" s="265"/>
      <c r="BA30" s="265"/>
      <c r="BB30" s="265"/>
      <c r="BC30" s="265"/>
      <c r="BD30" s="293"/>
    </row>
    <row r="31" spans="1:57" ht="14.4" customHeight="1">
      <c r="A31" s="93">
        <f>IF(B31="","",COUNTA($B$8:B31))</f>
        <v>22</v>
      </c>
      <c r="B31" s="87" t="s">
        <v>1621</v>
      </c>
      <c r="C31" s="181"/>
      <c r="D31" s="181"/>
      <c r="E31" s="181"/>
      <c r="F31" s="181"/>
      <c r="G31" s="181"/>
      <c r="H31" s="181"/>
      <c r="I31" s="87" t="s">
        <v>1427</v>
      </c>
      <c r="J31" s="182"/>
      <c r="K31" s="182"/>
      <c r="L31" s="182"/>
      <c r="M31" s="182"/>
      <c r="N31" s="182"/>
      <c r="O31" s="182"/>
      <c r="P31" s="182"/>
      <c r="Q31" s="182"/>
      <c r="R31" s="87" t="s">
        <v>1621</v>
      </c>
      <c r="S31" s="181"/>
      <c r="T31" s="181"/>
      <c r="U31" s="181"/>
      <c r="V31" s="181"/>
      <c r="W31" s="181"/>
      <c r="X31" s="181"/>
      <c r="Y31" s="647" t="s">
        <v>1504</v>
      </c>
      <c r="Z31" s="648"/>
      <c r="AA31" s="649" t="s">
        <v>1505</v>
      </c>
      <c r="AB31" s="650"/>
      <c r="AC31" s="651"/>
      <c r="AD31" s="94">
        <v>3</v>
      </c>
      <c r="AE31" s="95"/>
      <c r="AF31" s="95"/>
      <c r="AG31" s="95"/>
      <c r="AH31" s="95"/>
      <c r="AI31" s="95"/>
      <c r="AJ31" s="95"/>
      <c r="AK31" s="95"/>
      <c r="AL31" s="95"/>
      <c r="AM31" s="95"/>
      <c r="AN31" s="95"/>
      <c r="AO31" s="95"/>
      <c r="AP31" s="95"/>
      <c r="AQ31" s="95"/>
      <c r="AR31" s="95"/>
      <c r="AS31" s="87" t="s">
        <v>273</v>
      </c>
      <c r="AT31" s="88"/>
      <c r="AU31" s="88"/>
      <c r="AV31" s="88"/>
      <c r="AW31" s="88"/>
      <c r="AX31" s="88"/>
      <c r="AY31" s="88"/>
      <c r="AZ31" s="88"/>
      <c r="BA31" s="88"/>
      <c r="BB31" s="88"/>
      <c r="BC31" s="88"/>
      <c r="BD31" s="89"/>
    </row>
    <row r="32" spans="1:57" ht="14.4" customHeight="1">
      <c r="A32" s="96" t="str">
        <f>IF(B32="","",COUNTA($B$8:B32))</f>
        <v/>
      </c>
      <c r="B32" s="97"/>
      <c r="C32" s="98"/>
      <c r="D32" s="98"/>
      <c r="E32" s="98"/>
      <c r="F32" s="98"/>
      <c r="G32" s="98"/>
      <c r="H32" s="98"/>
      <c r="I32" s="90"/>
      <c r="J32" s="99"/>
      <c r="K32" s="99"/>
      <c r="L32" s="99"/>
      <c r="M32" s="99"/>
      <c r="N32" s="99"/>
      <c r="O32" s="99"/>
      <c r="P32" s="99"/>
      <c r="Q32" s="114"/>
      <c r="R32" s="97"/>
      <c r="S32" s="98"/>
      <c r="T32" s="98"/>
      <c r="U32" s="98"/>
      <c r="V32" s="98"/>
      <c r="W32" s="98"/>
      <c r="X32" s="98"/>
      <c r="Y32" s="97"/>
      <c r="Z32" s="100"/>
      <c r="AA32" s="644"/>
      <c r="AB32" s="645"/>
      <c r="AC32" s="646"/>
      <c r="AD32" s="101"/>
      <c r="AE32" s="102"/>
      <c r="AF32" s="102"/>
      <c r="AG32" s="102"/>
      <c r="AH32" s="102"/>
      <c r="AI32" s="102"/>
      <c r="AJ32" s="102"/>
      <c r="AK32" s="102"/>
      <c r="AL32" s="102"/>
      <c r="AM32" s="102"/>
      <c r="AN32" s="102"/>
      <c r="AO32" s="103"/>
      <c r="AP32" s="103"/>
      <c r="AQ32" s="103"/>
      <c r="AR32" s="103"/>
      <c r="AS32" s="90" t="s">
        <v>1366</v>
      </c>
      <c r="AT32" s="91"/>
      <c r="AU32" s="91"/>
      <c r="AV32" s="91"/>
      <c r="AW32" s="91"/>
      <c r="AX32" s="91"/>
      <c r="AY32" s="91"/>
      <c r="AZ32" s="91"/>
      <c r="BA32" s="91"/>
      <c r="BB32" s="91"/>
      <c r="BC32" s="91"/>
      <c r="BD32" s="92"/>
    </row>
    <row r="33" spans="1:61" ht="14.4" customHeight="1">
      <c r="A33" s="37">
        <f>IF(B33="","",COUNTA($B$8:B33))</f>
        <v>23</v>
      </c>
      <c r="B33" s="35" t="s">
        <v>1750</v>
      </c>
      <c r="C33" s="34"/>
      <c r="D33" s="34"/>
      <c r="E33" s="34"/>
      <c r="F33" s="34"/>
      <c r="G33" s="34"/>
      <c r="H33" s="34"/>
      <c r="I33" s="35" t="s">
        <v>1757</v>
      </c>
      <c r="J33" s="27"/>
      <c r="K33" s="27"/>
      <c r="L33" s="27"/>
      <c r="M33" s="27"/>
      <c r="N33" s="27"/>
      <c r="O33" s="27"/>
      <c r="P33" s="27"/>
      <c r="Q33" s="27"/>
      <c r="R33" s="35" t="s">
        <v>1750</v>
      </c>
      <c r="S33" s="34"/>
      <c r="T33" s="34"/>
      <c r="U33" s="34"/>
      <c r="V33" s="34"/>
      <c r="W33" s="34"/>
      <c r="X33" s="34"/>
      <c r="Y33" s="589" t="s">
        <v>141</v>
      </c>
      <c r="Z33" s="590"/>
      <c r="AA33" s="591" t="s">
        <v>1285</v>
      </c>
      <c r="AB33" s="592"/>
      <c r="AC33" s="593"/>
      <c r="AD33" s="53">
        <v>3</v>
      </c>
      <c r="AE33" s="25"/>
      <c r="AF33" s="25"/>
      <c r="AG33" s="25"/>
      <c r="AH33" s="25"/>
      <c r="AI33" s="25"/>
      <c r="AJ33" s="25"/>
      <c r="AK33" s="25"/>
      <c r="AL33" s="25"/>
      <c r="AM33" s="25"/>
      <c r="AN33" s="25"/>
      <c r="AO33" s="25"/>
      <c r="AP33" s="25"/>
      <c r="AQ33" s="25"/>
      <c r="AR33" s="25"/>
      <c r="AS33" s="35"/>
      <c r="AT33" s="36"/>
      <c r="AU33" s="36"/>
      <c r="AV33" s="36"/>
      <c r="AW33" s="36"/>
      <c r="AX33" s="36"/>
      <c r="AY33" s="36"/>
      <c r="AZ33" s="36"/>
      <c r="BA33" s="36"/>
      <c r="BB33" s="36"/>
      <c r="BC33" s="36"/>
      <c r="BD33" s="50"/>
    </row>
    <row r="34" spans="1:61" ht="14.4" customHeight="1">
      <c r="A34" s="37">
        <f>IF(B34="","",COUNTA($B$8:B34))</f>
        <v>24</v>
      </c>
      <c r="B34" s="35" t="s">
        <v>1344</v>
      </c>
      <c r="C34" s="34"/>
      <c r="D34" s="34"/>
      <c r="E34" s="34"/>
      <c r="F34" s="34"/>
      <c r="G34" s="34"/>
      <c r="H34" s="34"/>
      <c r="I34" s="35" t="s">
        <v>1444</v>
      </c>
      <c r="J34" s="27"/>
      <c r="K34" s="27"/>
      <c r="L34" s="27"/>
      <c r="M34" s="27"/>
      <c r="N34" s="27"/>
      <c r="O34" s="27"/>
      <c r="P34" s="27"/>
      <c r="Q34" s="27"/>
      <c r="R34" s="35" t="s">
        <v>1344</v>
      </c>
      <c r="S34" s="34"/>
      <c r="T34" s="34"/>
      <c r="U34" s="34"/>
      <c r="V34" s="34"/>
      <c r="W34" s="34"/>
      <c r="X34" s="34"/>
      <c r="Y34" s="589" t="s">
        <v>1504</v>
      </c>
      <c r="Z34" s="636"/>
      <c r="AA34" s="591" t="s">
        <v>1505</v>
      </c>
      <c r="AB34" s="592"/>
      <c r="AC34" s="593"/>
      <c r="AD34" s="53">
        <v>2</v>
      </c>
      <c r="AE34" s="25"/>
      <c r="AF34" s="25"/>
      <c r="AG34" s="25"/>
      <c r="AH34" s="25"/>
      <c r="AI34" s="25"/>
      <c r="AJ34" s="25"/>
      <c r="AK34" s="25"/>
      <c r="AL34" s="25"/>
      <c r="AM34" s="25"/>
      <c r="AN34" s="25"/>
      <c r="AO34" s="25"/>
      <c r="AP34" s="25"/>
      <c r="AQ34" s="25"/>
      <c r="AR34" s="25"/>
      <c r="AS34" s="35" t="s">
        <v>1363</v>
      </c>
      <c r="AT34" s="36"/>
      <c r="AU34" s="36"/>
      <c r="AV34" s="36"/>
      <c r="AW34" s="36"/>
      <c r="AX34" s="36"/>
      <c r="AY34" s="36"/>
      <c r="AZ34" s="36"/>
      <c r="BA34" s="36"/>
      <c r="BB34" s="36"/>
      <c r="BC34" s="36"/>
      <c r="BD34" s="50"/>
    </row>
    <row r="35" spans="1:61" ht="14.4" customHeight="1">
      <c r="A35" s="37">
        <f>IF(B35="","",COUNTA($B$8:B35))</f>
        <v>25</v>
      </c>
      <c r="B35" s="35" t="s">
        <v>1529</v>
      </c>
      <c r="C35" s="34"/>
      <c r="D35" s="34"/>
      <c r="E35" s="34"/>
      <c r="F35" s="34"/>
      <c r="G35" s="34"/>
      <c r="H35" s="34"/>
      <c r="I35" s="35" t="s">
        <v>457</v>
      </c>
      <c r="J35" s="27"/>
      <c r="K35" s="27"/>
      <c r="L35" s="27"/>
      <c r="M35" s="27"/>
      <c r="N35" s="27"/>
      <c r="O35" s="27"/>
      <c r="P35" s="27"/>
      <c r="Q35" s="27"/>
      <c r="R35" s="35" t="s">
        <v>1687</v>
      </c>
      <c r="S35" s="34"/>
      <c r="T35" s="34"/>
      <c r="U35" s="34"/>
      <c r="V35" s="34"/>
      <c r="W35" s="34"/>
      <c r="X35" s="34"/>
      <c r="Y35" s="589" t="s">
        <v>1504</v>
      </c>
      <c r="Z35" s="636"/>
      <c r="AA35" s="591" t="s">
        <v>1505</v>
      </c>
      <c r="AB35" s="592"/>
      <c r="AC35" s="593"/>
      <c r="AD35" s="53">
        <v>5</v>
      </c>
      <c r="AE35" s="25"/>
      <c r="AF35" s="25"/>
      <c r="AG35" s="25"/>
      <c r="AH35" s="25"/>
      <c r="AI35" s="25"/>
      <c r="AJ35" s="25"/>
      <c r="AK35" s="25"/>
      <c r="AL35" s="25"/>
      <c r="AM35" s="25"/>
      <c r="AN35" s="25"/>
      <c r="AO35" s="25"/>
      <c r="AP35" s="25"/>
      <c r="AQ35" s="25"/>
      <c r="AR35" s="25"/>
      <c r="AS35" s="35"/>
      <c r="AT35" s="36"/>
      <c r="AU35" s="36"/>
      <c r="AV35" s="36"/>
      <c r="AW35" s="36"/>
      <c r="AX35" s="36"/>
      <c r="AY35" s="36"/>
      <c r="AZ35" s="36"/>
      <c r="BA35" s="36"/>
      <c r="BB35" s="36"/>
      <c r="BC35" s="36"/>
      <c r="BD35" s="50"/>
      <c r="BE35" s="282" t="s">
        <v>1361</v>
      </c>
      <c r="BF35" s="282"/>
      <c r="BG35" s="282"/>
      <c r="BH35" s="282"/>
      <c r="BI35" s="282"/>
    </row>
    <row r="36" spans="1:61" ht="14.4" customHeight="1">
      <c r="A36" s="37">
        <f>IF(B36="","",COUNTA($B$8:B36))</f>
        <v>26</v>
      </c>
      <c r="B36" s="35" t="s">
        <v>1514</v>
      </c>
      <c r="C36" s="34"/>
      <c r="D36" s="34"/>
      <c r="E36" s="34"/>
      <c r="F36" s="34"/>
      <c r="G36" s="34"/>
      <c r="H36" s="34"/>
      <c r="I36" s="35" t="s">
        <v>568</v>
      </c>
      <c r="J36" s="27"/>
      <c r="K36" s="27"/>
      <c r="L36" s="27"/>
      <c r="M36" s="27"/>
      <c r="N36" s="27"/>
      <c r="O36" s="27"/>
      <c r="P36" s="27"/>
      <c r="Q36" s="27"/>
      <c r="R36" s="35" t="s">
        <v>1715</v>
      </c>
      <c r="S36" s="34"/>
      <c r="T36" s="34"/>
      <c r="U36" s="34"/>
      <c r="V36" s="34"/>
      <c r="W36" s="34"/>
      <c r="X36" s="34"/>
      <c r="Y36" s="589" t="s">
        <v>1504</v>
      </c>
      <c r="Z36" s="636"/>
      <c r="AA36" s="591" t="s">
        <v>1505</v>
      </c>
      <c r="AB36" s="592"/>
      <c r="AC36" s="593"/>
      <c r="AD36" s="53">
        <v>20</v>
      </c>
      <c r="AE36" s="25"/>
      <c r="AF36" s="25"/>
      <c r="AG36" s="25"/>
      <c r="AH36" s="25"/>
      <c r="AI36" s="25"/>
      <c r="AJ36" s="25"/>
      <c r="AK36" s="25"/>
      <c r="AL36" s="25"/>
      <c r="AM36" s="25"/>
      <c r="AN36" s="25"/>
      <c r="AO36" s="25"/>
      <c r="AP36" s="25"/>
      <c r="AQ36" s="25"/>
      <c r="AR36" s="25"/>
      <c r="AS36" s="35"/>
      <c r="AT36" s="36"/>
      <c r="AU36" s="36"/>
      <c r="AV36" s="36"/>
      <c r="AW36" s="36"/>
      <c r="AX36" s="36"/>
      <c r="AY36" s="36"/>
      <c r="AZ36" s="36"/>
      <c r="BA36" s="36"/>
      <c r="BB36" s="36"/>
      <c r="BC36" s="36"/>
      <c r="BD36" s="50"/>
    </row>
    <row r="37" spans="1:61" ht="14.4" customHeight="1">
      <c r="A37" s="37">
        <f>IF(B37="","",COUNTA($B$8:B37))</f>
        <v>27</v>
      </c>
      <c r="B37" s="35" t="s">
        <v>1518</v>
      </c>
      <c r="C37" s="34"/>
      <c r="D37" s="34"/>
      <c r="E37" s="34"/>
      <c r="F37" s="34"/>
      <c r="G37" s="34"/>
      <c r="H37" s="34"/>
      <c r="I37" s="35" t="s">
        <v>534</v>
      </c>
      <c r="J37" s="27"/>
      <c r="K37" s="27"/>
      <c r="L37" s="27"/>
      <c r="M37" s="27"/>
      <c r="N37" s="27"/>
      <c r="O37" s="27"/>
      <c r="P37" s="27"/>
      <c r="Q37" s="27"/>
      <c r="R37" s="35" t="s">
        <v>1701</v>
      </c>
      <c r="S37" s="34"/>
      <c r="T37" s="34"/>
      <c r="U37" s="34"/>
      <c r="V37" s="34"/>
      <c r="W37" s="34"/>
      <c r="X37" s="34"/>
      <c r="Y37" s="589" t="s">
        <v>1516</v>
      </c>
      <c r="Z37" s="590"/>
      <c r="AA37" s="591" t="s">
        <v>1517</v>
      </c>
      <c r="AB37" s="592"/>
      <c r="AC37" s="593"/>
      <c r="AD37" s="53">
        <v>5</v>
      </c>
      <c r="AE37" s="25">
        <v>2</v>
      </c>
      <c r="AF37" s="25"/>
      <c r="AG37" s="25"/>
      <c r="AH37" s="25"/>
      <c r="AI37" s="25"/>
      <c r="AJ37" s="25"/>
      <c r="AK37" s="25"/>
      <c r="AL37" s="25"/>
      <c r="AM37" s="25"/>
      <c r="AN37" s="25"/>
      <c r="AO37" s="25"/>
      <c r="AP37" s="25"/>
      <c r="AQ37" s="25"/>
      <c r="AR37" s="25"/>
      <c r="AS37" s="35"/>
      <c r="AT37" s="36"/>
      <c r="AU37" s="36"/>
      <c r="AV37" s="36"/>
      <c r="AW37" s="36"/>
      <c r="AX37" s="36"/>
      <c r="AY37" s="36"/>
      <c r="AZ37" s="36"/>
      <c r="BA37" s="36"/>
      <c r="BB37" s="36"/>
      <c r="BC37" s="36"/>
      <c r="BD37" s="50"/>
    </row>
    <row r="38" spans="1:61" ht="14.4" customHeight="1">
      <c r="A38" s="37">
        <f>IF(B38="","",COUNTA($B$8:B38))</f>
        <v>28</v>
      </c>
      <c r="B38" s="35" t="s">
        <v>1519</v>
      </c>
      <c r="C38" s="34"/>
      <c r="D38" s="34"/>
      <c r="E38" s="34"/>
      <c r="F38" s="34"/>
      <c r="G38" s="34"/>
      <c r="H38" s="34"/>
      <c r="I38" s="35" t="s">
        <v>584</v>
      </c>
      <c r="J38" s="27"/>
      <c r="K38" s="27"/>
      <c r="L38" s="27"/>
      <c r="M38" s="27"/>
      <c r="N38" s="27"/>
      <c r="O38" s="27"/>
      <c r="P38" s="27"/>
      <c r="Q38" s="27"/>
      <c r="R38" s="35" t="s">
        <v>1721</v>
      </c>
      <c r="S38" s="34"/>
      <c r="T38" s="34"/>
      <c r="U38" s="34"/>
      <c r="V38" s="34"/>
      <c r="W38" s="34"/>
      <c r="X38" s="34"/>
      <c r="Y38" s="589" t="s">
        <v>1516</v>
      </c>
      <c r="Z38" s="590"/>
      <c r="AA38" s="591" t="s">
        <v>1517</v>
      </c>
      <c r="AB38" s="592"/>
      <c r="AC38" s="593"/>
      <c r="AD38" s="53">
        <v>5</v>
      </c>
      <c r="AE38" s="25"/>
      <c r="AF38" s="25"/>
      <c r="AG38" s="25"/>
      <c r="AH38" s="25"/>
      <c r="AI38" s="25"/>
      <c r="AJ38" s="25"/>
      <c r="AK38" s="25"/>
      <c r="AL38" s="25"/>
      <c r="AM38" s="25"/>
      <c r="AN38" s="25"/>
      <c r="AO38" s="25"/>
      <c r="AP38" s="25"/>
      <c r="AQ38" s="25"/>
      <c r="AR38" s="25"/>
      <c r="AS38" s="35"/>
      <c r="AT38" s="36"/>
      <c r="AU38" s="36"/>
      <c r="AV38" s="36"/>
      <c r="AW38" s="36"/>
      <c r="AX38" s="36"/>
      <c r="AY38" s="36"/>
      <c r="AZ38" s="36"/>
      <c r="BA38" s="36"/>
      <c r="BB38" s="36"/>
      <c r="BC38" s="36"/>
      <c r="BD38" s="50"/>
    </row>
    <row r="39" spans="1:61" ht="14.4" customHeight="1">
      <c r="A39" s="37">
        <f>IF(B39="","",COUNTA($B$8:B39))</f>
        <v>29</v>
      </c>
      <c r="B39" s="35" t="s">
        <v>1520</v>
      </c>
      <c r="C39" s="34"/>
      <c r="D39" s="34"/>
      <c r="E39" s="34"/>
      <c r="F39" s="34"/>
      <c r="G39" s="34"/>
      <c r="H39" s="34"/>
      <c r="I39" s="35" t="s">
        <v>526</v>
      </c>
      <c r="J39" s="27"/>
      <c r="K39" s="27"/>
      <c r="L39" s="27"/>
      <c r="M39" s="27"/>
      <c r="N39" s="27"/>
      <c r="O39" s="27"/>
      <c r="P39" s="27"/>
      <c r="Q39" s="27"/>
      <c r="R39" s="35" t="s">
        <v>1700</v>
      </c>
      <c r="S39" s="34"/>
      <c r="T39" s="34"/>
      <c r="U39" s="34"/>
      <c r="V39" s="34"/>
      <c r="W39" s="34"/>
      <c r="X39" s="34"/>
      <c r="Y39" s="589" t="s">
        <v>1516</v>
      </c>
      <c r="Z39" s="590"/>
      <c r="AA39" s="591" t="s">
        <v>1517</v>
      </c>
      <c r="AB39" s="592"/>
      <c r="AC39" s="593"/>
      <c r="AD39" s="53">
        <v>5</v>
      </c>
      <c r="AE39" s="25"/>
      <c r="AF39" s="25"/>
      <c r="AG39" s="25"/>
      <c r="AH39" s="25"/>
      <c r="AI39" s="25"/>
      <c r="AJ39" s="25"/>
      <c r="AK39" s="25"/>
      <c r="AL39" s="25"/>
      <c r="AM39" s="25"/>
      <c r="AN39" s="25"/>
      <c r="AO39" s="25"/>
      <c r="AP39" s="25"/>
      <c r="AQ39" s="25"/>
      <c r="AR39" s="25"/>
      <c r="AS39" s="35"/>
      <c r="AT39" s="36"/>
      <c r="AU39" s="36"/>
      <c r="AV39" s="36"/>
      <c r="AW39" s="36"/>
      <c r="AX39" s="36"/>
      <c r="AY39" s="36"/>
      <c r="AZ39" s="36"/>
      <c r="BA39" s="36"/>
      <c r="BB39" s="36"/>
      <c r="BC39" s="36"/>
      <c r="BD39" s="50"/>
    </row>
    <row r="40" spans="1:61" ht="14.4" customHeight="1">
      <c r="A40" s="37">
        <f>IF(B40="","",COUNTA($B$8:B40))</f>
        <v>30</v>
      </c>
      <c r="B40" s="35" t="s">
        <v>1521</v>
      </c>
      <c r="C40" s="34"/>
      <c r="D40" s="34"/>
      <c r="E40" s="34"/>
      <c r="F40" s="34"/>
      <c r="G40" s="34"/>
      <c r="H40" s="34"/>
      <c r="I40" s="35" t="s">
        <v>1102</v>
      </c>
      <c r="J40" s="27"/>
      <c r="K40" s="27"/>
      <c r="L40" s="27"/>
      <c r="M40" s="27"/>
      <c r="N40" s="27"/>
      <c r="O40" s="27"/>
      <c r="P40" s="27"/>
      <c r="Q40" s="27"/>
      <c r="R40" s="35" t="s">
        <v>1729</v>
      </c>
      <c r="S40" s="34"/>
      <c r="T40" s="34"/>
      <c r="U40" s="34"/>
      <c r="V40" s="34"/>
      <c r="W40" s="34"/>
      <c r="X40" s="34"/>
      <c r="Y40" s="589" t="s">
        <v>1516</v>
      </c>
      <c r="Z40" s="590"/>
      <c r="AA40" s="591" t="s">
        <v>1517</v>
      </c>
      <c r="AB40" s="592"/>
      <c r="AC40" s="593"/>
      <c r="AD40" s="53">
        <v>7</v>
      </c>
      <c r="AE40" s="25">
        <v>2</v>
      </c>
      <c r="AF40" s="25"/>
      <c r="AG40" s="25"/>
      <c r="AH40" s="25"/>
      <c r="AI40" s="25"/>
      <c r="AJ40" s="25"/>
      <c r="AK40" s="25"/>
      <c r="AL40" s="25"/>
      <c r="AM40" s="25"/>
      <c r="AN40" s="25"/>
      <c r="AO40" s="25"/>
      <c r="AP40" s="25"/>
      <c r="AQ40" s="25"/>
      <c r="AR40" s="25"/>
      <c r="AS40" s="35"/>
      <c r="AT40" s="36"/>
      <c r="AU40" s="36"/>
      <c r="AV40" s="36"/>
      <c r="AW40" s="36"/>
      <c r="AX40" s="36"/>
      <c r="AY40" s="36"/>
      <c r="AZ40" s="36"/>
      <c r="BA40" s="36"/>
      <c r="BB40" s="36"/>
      <c r="BC40" s="36"/>
      <c r="BD40" s="50"/>
    </row>
    <row r="41" spans="1:61" ht="14.4" customHeight="1">
      <c r="A41" s="37">
        <f>IF(B41="","",COUNTA($B$8:B41))</f>
        <v>31</v>
      </c>
      <c r="B41" s="193" t="s">
        <v>1724</v>
      </c>
      <c r="C41" s="194"/>
      <c r="D41" s="194"/>
      <c r="E41" s="194"/>
      <c r="F41" s="194"/>
      <c r="G41" s="194"/>
      <c r="H41" s="194"/>
      <c r="I41" s="193" t="s">
        <v>790</v>
      </c>
      <c r="J41" s="195"/>
      <c r="K41" s="195"/>
      <c r="L41" s="195"/>
      <c r="M41" s="195"/>
      <c r="N41" s="195"/>
      <c r="O41" s="195"/>
      <c r="P41" s="195"/>
      <c r="Q41" s="195"/>
      <c r="R41" s="193" t="s">
        <v>1725</v>
      </c>
      <c r="S41" s="194"/>
      <c r="T41" s="194"/>
      <c r="U41" s="194"/>
      <c r="V41" s="194"/>
      <c r="W41" s="194"/>
      <c r="X41" s="194"/>
      <c r="Y41" s="637" t="s">
        <v>1294</v>
      </c>
      <c r="Z41" s="638"/>
      <c r="AA41" s="639" t="s">
        <v>1295</v>
      </c>
      <c r="AB41" s="640"/>
      <c r="AC41" s="641"/>
      <c r="AD41" s="196">
        <v>5</v>
      </c>
      <c r="AE41" s="197"/>
      <c r="AF41" s="197"/>
      <c r="AG41" s="197"/>
      <c r="AH41" s="197"/>
      <c r="AI41" s="197"/>
      <c r="AJ41" s="197"/>
      <c r="AK41" s="197"/>
      <c r="AL41" s="197"/>
      <c r="AM41" s="197"/>
      <c r="AN41" s="197"/>
      <c r="AO41" s="197"/>
      <c r="AP41" s="197"/>
      <c r="AQ41" s="197"/>
      <c r="AR41" s="197"/>
      <c r="AS41" s="193"/>
      <c r="AT41" s="198"/>
      <c r="AU41" s="198"/>
      <c r="AV41" s="198"/>
      <c r="AW41" s="198"/>
      <c r="AX41" s="198"/>
      <c r="AY41" s="198"/>
      <c r="AZ41" s="198"/>
      <c r="BA41" s="198"/>
      <c r="BB41" s="198"/>
      <c r="BC41" s="198"/>
      <c r="BD41" s="199"/>
      <c r="BE41" s="16" t="s">
        <v>1843</v>
      </c>
    </row>
    <row r="42" spans="1:61" ht="14.4" customHeight="1">
      <c r="A42" s="37">
        <f>IF(B42="","",COUNTA($B$8:B42))</f>
        <v>32</v>
      </c>
      <c r="B42" s="370" t="s">
        <v>235</v>
      </c>
      <c r="C42" s="378"/>
      <c r="D42" s="378"/>
      <c r="E42" s="378"/>
      <c r="F42" s="378"/>
      <c r="G42" s="378"/>
      <c r="H42" s="378"/>
      <c r="I42" s="370" t="s">
        <v>1845</v>
      </c>
      <c r="J42" s="379"/>
      <c r="K42" s="379"/>
      <c r="L42" s="379"/>
      <c r="M42" s="379"/>
      <c r="N42" s="379"/>
      <c r="O42" s="379"/>
      <c r="P42" s="379"/>
      <c r="Q42" s="379"/>
      <c r="R42" s="370" t="s">
        <v>1846</v>
      </c>
      <c r="S42" s="378"/>
      <c r="T42" s="378"/>
      <c r="U42" s="378"/>
      <c r="V42" s="378"/>
      <c r="W42" s="378"/>
      <c r="X42" s="378"/>
      <c r="Y42" s="655" t="s">
        <v>1516</v>
      </c>
      <c r="Z42" s="680"/>
      <c r="AA42" s="657" t="s">
        <v>1517</v>
      </c>
      <c r="AB42" s="658"/>
      <c r="AC42" s="659"/>
      <c r="AD42" s="371">
        <v>7</v>
      </c>
      <c r="AE42" s="351">
        <v>2</v>
      </c>
      <c r="AF42" s="351"/>
      <c r="AG42" s="351"/>
      <c r="AH42" s="351"/>
      <c r="AI42" s="351"/>
      <c r="AJ42" s="351"/>
      <c r="AK42" s="351"/>
      <c r="AL42" s="351"/>
      <c r="AM42" s="351"/>
      <c r="AN42" s="351"/>
      <c r="AO42" s="351"/>
      <c r="AP42" s="351"/>
      <c r="AQ42" s="351"/>
      <c r="AR42" s="351"/>
      <c r="AS42" s="370"/>
      <c r="AT42" s="372"/>
      <c r="AU42" s="372"/>
      <c r="AV42" s="372"/>
      <c r="AW42" s="372"/>
      <c r="AX42" s="372"/>
      <c r="AY42" s="372"/>
      <c r="AZ42" s="372"/>
      <c r="BA42" s="372"/>
      <c r="BB42" s="372"/>
      <c r="BC42" s="372"/>
      <c r="BD42" s="373"/>
      <c r="BE42" s="291" t="s">
        <v>1844</v>
      </c>
    </row>
    <row r="43" spans="1:61" ht="14.4" customHeight="1">
      <c r="A43" s="251">
        <f>IF(B43="","",COUNTA($B$8:B43))</f>
        <v>33</v>
      </c>
      <c r="B43" s="54" t="s">
        <v>505</v>
      </c>
      <c r="C43" s="55"/>
      <c r="D43" s="55"/>
      <c r="E43" s="55"/>
      <c r="F43" s="55"/>
      <c r="G43" s="55"/>
      <c r="H43" s="55"/>
      <c r="I43" s="54" t="s">
        <v>506</v>
      </c>
      <c r="J43" s="56"/>
      <c r="K43" s="56"/>
      <c r="L43" s="56"/>
      <c r="M43" s="56"/>
      <c r="N43" s="56"/>
      <c r="O43" s="56"/>
      <c r="P43" s="56"/>
      <c r="Q43" s="56"/>
      <c r="R43" s="54" t="s">
        <v>505</v>
      </c>
      <c r="S43" s="55"/>
      <c r="T43" s="55"/>
      <c r="U43" s="55"/>
      <c r="V43" s="55"/>
      <c r="W43" s="55"/>
      <c r="X43" s="55"/>
      <c r="Y43" s="677" t="s">
        <v>1504</v>
      </c>
      <c r="Z43" s="678"/>
      <c r="AA43" s="652" t="s">
        <v>1505</v>
      </c>
      <c r="AB43" s="653"/>
      <c r="AC43" s="654"/>
      <c r="AD43" s="57">
        <v>4</v>
      </c>
      <c r="AE43" s="58"/>
      <c r="AF43" s="58"/>
      <c r="AG43" s="58"/>
      <c r="AH43" s="58"/>
      <c r="AI43" s="58"/>
      <c r="AJ43" s="58"/>
      <c r="AK43" s="58"/>
      <c r="AL43" s="58"/>
      <c r="AM43" s="58"/>
      <c r="AN43" s="58"/>
      <c r="AO43" s="58"/>
      <c r="AP43" s="58"/>
      <c r="AQ43" s="58"/>
      <c r="AR43" s="58"/>
      <c r="AS43" s="54"/>
      <c r="AT43" s="59"/>
      <c r="AU43" s="59"/>
      <c r="AV43" s="59"/>
      <c r="AW43" s="59"/>
      <c r="AX43" s="59"/>
      <c r="AY43" s="59"/>
      <c r="AZ43" s="59"/>
      <c r="BA43" s="59"/>
      <c r="BB43" s="59"/>
      <c r="BC43" s="59"/>
      <c r="BD43" s="60"/>
      <c r="BE43" s="16" t="s">
        <v>1379</v>
      </c>
    </row>
    <row r="44" spans="1:61" ht="14.4" customHeight="1">
      <c r="A44" s="37">
        <f>IF(B44="","",COUNTA($B$8:B44))</f>
        <v>34</v>
      </c>
      <c r="B44" s="35" t="s">
        <v>589</v>
      </c>
      <c r="C44" s="34"/>
      <c r="D44" s="34"/>
      <c r="E44" s="34"/>
      <c r="F44" s="34"/>
      <c r="G44" s="34"/>
      <c r="H44" s="34"/>
      <c r="I44" s="35" t="s">
        <v>1395</v>
      </c>
      <c r="J44" s="27"/>
      <c r="K44" s="27"/>
      <c r="L44" s="27"/>
      <c r="M44" s="27"/>
      <c r="N44" s="27"/>
      <c r="O44" s="27"/>
      <c r="P44" s="27"/>
      <c r="Q44" s="27"/>
      <c r="R44" s="35" t="s">
        <v>589</v>
      </c>
      <c r="S44" s="34"/>
      <c r="T44" s="34"/>
      <c r="U44" s="34"/>
      <c r="V44" s="34"/>
      <c r="W44" s="34"/>
      <c r="X44" s="34"/>
      <c r="Y44" s="589" t="s">
        <v>1504</v>
      </c>
      <c r="Z44" s="590"/>
      <c r="AA44" s="591" t="s">
        <v>1505</v>
      </c>
      <c r="AB44" s="592"/>
      <c r="AC44" s="593"/>
      <c r="AD44" s="53">
        <v>3</v>
      </c>
      <c r="AE44" s="25"/>
      <c r="AF44" s="25"/>
      <c r="AG44" s="25"/>
      <c r="AH44" s="25"/>
      <c r="AI44" s="25"/>
      <c r="AJ44" s="25"/>
      <c r="AK44" s="25"/>
      <c r="AL44" s="25"/>
      <c r="AM44" s="25"/>
      <c r="AN44" s="25"/>
      <c r="AO44" s="25"/>
      <c r="AP44" s="25"/>
      <c r="AQ44" s="25"/>
      <c r="AR44" s="25"/>
      <c r="AS44" s="35" t="s">
        <v>1371</v>
      </c>
      <c r="AT44" s="36"/>
      <c r="AU44" s="36"/>
      <c r="AV44" s="36"/>
      <c r="AW44" s="36"/>
      <c r="AX44" s="36"/>
      <c r="AY44" s="36"/>
      <c r="AZ44" s="36"/>
      <c r="BA44" s="36"/>
      <c r="BB44" s="36"/>
      <c r="BC44" s="36"/>
      <c r="BD44" s="50"/>
    </row>
    <row r="45" spans="1:61" ht="14.4" customHeight="1">
      <c r="A45" s="37">
        <f>IF(B45="","",COUNTA($B$8:B45))</f>
        <v>35</v>
      </c>
      <c r="B45" s="35" t="s">
        <v>1528</v>
      </c>
      <c r="C45" s="34"/>
      <c r="D45" s="34"/>
      <c r="E45" s="34"/>
      <c r="F45" s="34"/>
      <c r="G45" s="34"/>
      <c r="H45" s="34"/>
      <c r="I45" s="35" t="s">
        <v>1449</v>
      </c>
      <c r="J45" s="27"/>
      <c r="K45" s="27"/>
      <c r="L45" s="27"/>
      <c r="M45" s="27"/>
      <c r="N45" s="27"/>
      <c r="O45" s="27"/>
      <c r="P45" s="27"/>
      <c r="Q45" s="27"/>
      <c r="R45" s="35" t="s">
        <v>1528</v>
      </c>
      <c r="S45" s="34"/>
      <c r="T45" s="34"/>
      <c r="U45" s="34"/>
      <c r="V45" s="34"/>
      <c r="W45" s="34"/>
      <c r="X45" s="34"/>
      <c r="Y45" s="17" t="s">
        <v>1504</v>
      </c>
      <c r="Z45" s="28"/>
      <c r="AA45" s="591" t="s">
        <v>1505</v>
      </c>
      <c r="AB45" s="592"/>
      <c r="AC45" s="593"/>
      <c r="AD45" s="53">
        <v>10</v>
      </c>
      <c r="AE45" s="25"/>
      <c r="AF45" s="25"/>
      <c r="AG45" s="25"/>
      <c r="AH45" s="25"/>
      <c r="AI45" s="25"/>
      <c r="AJ45" s="25"/>
      <c r="AK45" s="25"/>
      <c r="AL45" s="25"/>
      <c r="AM45" s="25"/>
      <c r="AN45" s="25"/>
      <c r="AO45" s="25"/>
      <c r="AP45" s="25"/>
      <c r="AQ45" s="25"/>
      <c r="AR45" s="25"/>
      <c r="AS45" s="35"/>
      <c r="AT45" s="36"/>
      <c r="AU45" s="36"/>
      <c r="AV45" s="36"/>
      <c r="AW45" s="36"/>
      <c r="AX45" s="36"/>
      <c r="AY45" s="36"/>
      <c r="AZ45" s="36"/>
      <c r="BA45" s="36"/>
      <c r="BB45" s="36"/>
      <c r="BC45" s="36"/>
      <c r="BD45" s="50"/>
    </row>
    <row r="46" spans="1:61" ht="14.4" customHeight="1">
      <c r="A46" s="37">
        <f>IF(B46="","",COUNTA($B$8:B46))</f>
        <v>36</v>
      </c>
      <c r="B46" s="54" t="s">
        <v>1735</v>
      </c>
      <c r="C46" s="55"/>
      <c r="D46" s="55"/>
      <c r="E46" s="55"/>
      <c r="F46" s="55"/>
      <c r="G46" s="55"/>
      <c r="H46" s="55"/>
      <c r="I46" s="54" t="s">
        <v>1736</v>
      </c>
      <c r="J46" s="56"/>
      <c r="K46" s="56"/>
      <c r="L46" s="56"/>
      <c r="M46" s="56"/>
      <c r="N46" s="56"/>
      <c r="O46" s="56"/>
      <c r="P46" s="56"/>
      <c r="Q46" s="56"/>
      <c r="R46" s="54" t="s">
        <v>1737</v>
      </c>
      <c r="S46" s="55"/>
      <c r="T46" s="55"/>
      <c r="U46" s="55"/>
      <c r="V46" s="55"/>
      <c r="W46" s="55"/>
      <c r="X46" s="55"/>
      <c r="Y46" s="677" t="s">
        <v>141</v>
      </c>
      <c r="Z46" s="678"/>
      <c r="AA46" s="652" t="s">
        <v>1285</v>
      </c>
      <c r="AB46" s="653"/>
      <c r="AC46" s="654"/>
      <c r="AD46" s="57">
        <v>10</v>
      </c>
      <c r="AE46" s="58"/>
      <c r="AF46" s="58"/>
      <c r="AG46" s="58"/>
      <c r="AH46" s="58"/>
      <c r="AI46" s="58"/>
      <c r="AJ46" s="58"/>
      <c r="AK46" s="58"/>
      <c r="AL46" s="58"/>
      <c r="AM46" s="58"/>
      <c r="AN46" s="58"/>
      <c r="AO46" s="58"/>
      <c r="AP46" s="58"/>
      <c r="AQ46" s="58"/>
      <c r="AR46" s="58"/>
      <c r="AS46" s="54"/>
      <c r="AT46" s="59"/>
      <c r="AU46" s="59"/>
      <c r="AV46" s="59"/>
      <c r="AW46" s="59"/>
      <c r="AX46" s="59"/>
      <c r="AY46" s="59"/>
      <c r="AZ46" s="59"/>
      <c r="BA46" s="59"/>
      <c r="BB46" s="59"/>
      <c r="BC46" s="59"/>
      <c r="BD46" s="60"/>
      <c r="BE46" s="16" t="s">
        <v>1738</v>
      </c>
    </row>
    <row r="47" spans="1:61" ht="14.4" customHeight="1">
      <c r="A47" s="231">
        <f>IF(B47="","",COUNTA($B$8:B47))</f>
        <v>37</v>
      </c>
      <c r="B47" s="232" t="s">
        <v>118</v>
      </c>
      <c r="C47" s="233"/>
      <c r="D47" s="233"/>
      <c r="E47" s="233"/>
      <c r="F47" s="233"/>
      <c r="G47" s="233"/>
      <c r="H47" s="233"/>
      <c r="I47" s="232" t="s">
        <v>1100</v>
      </c>
      <c r="J47" s="234"/>
      <c r="K47" s="234"/>
      <c r="L47" s="234"/>
      <c r="M47" s="234"/>
      <c r="N47" s="234"/>
      <c r="O47" s="234"/>
      <c r="P47" s="234"/>
      <c r="Q47" s="234"/>
      <c r="R47" s="232" t="s">
        <v>118</v>
      </c>
      <c r="S47" s="233"/>
      <c r="T47" s="233"/>
      <c r="U47" s="233"/>
      <c r="V47" s="233"/>
      <c r="W47" s="233"/>
      <c r="X47" s="233"/>
      <c r="Y47" s="235" t="s">
        <v>1504</v>
      </c>
      <c r="Z47" s="243"/>
      <c r="AA47" s="681" t="s">
        <v>1505</v>
      </c>
      <c r="AB47" s="682"/>
      <c r="AC47" s="683"/>
      <c r="AD47" s="239">
        <v>10</v>
      </c>
      <c r="AE47" s="240"/>
      <c r="AF47" s="240"/>
      <c r="AG47" s="240"/>
      <c r="AH47" s="240"/>
      <c r="AI47" s="240"/>
      <c r="AJ47" s="240"/>
      <c r="AK47" s="240"/>
      <c r="AL47" s="240"/>
      <c r="AM47" s="240"/>
      <c r="AN47" s="240"/>
      <c r="AO47" s="240"/>
      <c r="AP47" s="240"/>
      <c r="AQ47" s="240"/>
      <c r="AR47" s="240"/>
      <c r="AS47" s="232"/>
      <c r="AT47" s="241"/>
      <c r="AU47" s="241"/>
      <c r="AV47" s="241"/>
      <c r="AW47" s="241"/>
      <c r="AX47" s="241"/>
      <c r="AY47" s="241"/>
      <c r="AZ47" s="241"/>
      <c r="BA47" s="241"/>
      <c r="BB47" s="241"/>
      <c r="BC47" s="241"/>
      <c r="BD47" s="242"/>
      <c r="BE47" s="16" t="s">
        <v>1365</v>
      </c>
    </row>
    <row r="48" spans="1:61" ht="14.4" customHeight="1">
      <c r="A48" s="37">
        <f>IF(B48="","",COUNTA($B$8:B48))</f>
        <v>38</v>
      </c>
      <c r="B48" s="17" t="s">
        <v>1302</v>
      </c>
      <c r="C48" s="34"/>
      <c r="D48" s="34"/>
      <c r="E48" s="34"/>
      <c r="F48" s="34"/>
      <c r="G48" s="34"/>
      <c r="H48" s="34"/>
      <c r="I48" s="35" t="s">
        <v>624</v>
      </c>
      <c r="J48" s="27"/>
      <c r="K48" s="27"/>
      <c r="L48" s="27"/>
      <c r="M48" s="27"/>
      <c r="N48" s="27"/>
      <c r="O48" s="27"/>
      <c r="P48" s="27"/>
      <c r="Q48" s="27"/>
      <c r="R48" s="17" t="s">
        <v>1704</v>
      </c>
      <c r="S48" s="34"/>
      <c r="T48" s="34"/>
      <c r="U48" s="34"/>
      <c r="V48" s="34"/>
      <c r="W48" s="34"/>
      <c r="X48" s="34"/>
      <c r="Y48" s="589" t="s">
        <v>1504</v>
      </c>
      <c r="Z48" s="590"/>
      <c r="AA48" s="591" t="s">
        <v>1505</v>
      </c>
      <c r="AB48" s="592"/>
      <c r="AC48" s="593"/>
      <c r="AD48" s="23">
        <v>10</v>
      </c>
      <c r="AE48" s="25"/>
      <c r="AF48" s="25"/>
      <c r="AG48" s="25"/>
      <c r="AH48" s="25"/>
      <c r="AI48" s="25"/>
      <c r="AJ48" s="25"/>
      <c r="AK48" s="25"/>
      <c r="AL48" s="25"/>
      <c r="AM48" s="25"/>
      <c r="AN48" s="25"/>
      <c r="AO48" s="25"/>
      <c r="AP48" s="25"/>
      <c r="AQ48" s="25"/>
      <c r="AR48" s="25"/>
      <c r="AS48" s="26"/>
      <c r="AT48" s="51"/>
      <c r="AU48" s="51"/>
      <c r="AV48" s="51"/>
      <c r="AW48" s="51"/>
      <c r="AX48" s="51"/>
      <c r="AY48" s="51"/>
      <c r="AZ48" s="51"/>
      <c r="BA48" s="51"/>
      <c r="BB48" s="51"/>
      <c r="BC48" s="51"/>
      <c r="BD48" s="52"/>
    </row>
    <row r="49" spans="1:56" ht="14.4" customHeight="1">
      <c r="A49" s="37">
        <f>IF(B49="","",COUNTA($B$8:B49))</f>
        <v>39</v>
      </c>
      <c r="B49" s="17" t="s">
        <v>1508</v>
      </c>
      <c r="C49" s="34"/>
      <c r="D49" s="34"/>
      <c r="E49" s="34"/>
      <c r="F49" s="34"/>
      <c r="G49" s="34"/>
      <c r="H49" s="34"/>
      <c r="I49" s="35" t="s">
        <v>624</v>
      </c>
      <c r="J49" s="27"/>
      <c r="K49" s="27"/>
      <c r="L49" s="27"/>
      <c r="M49" s="27"/>
      <c r="N49" s="27"/>
      <c r="O49" s="27"/>
      <c r="P49" s="27"/>
      <c r="Q49" s="27"/>
      <c r="R49" s="17" t="s">
        <v>1508</v>
      </c>
      <c r="S49" s="34"/>
      <c r="T49" s="34"/>
      <c r="U49" s="34"/>
      <c r="V49" s="34"/>
      <c r="W49" s="34"/>
      <c r="X49" s="34"/>
      <c r="Y49" s="589" t="s">
        <v>1504</v>
      </c>
      <c r="Z49" s="590"/>
      <c r="AA49" s="591" t="s">
        <v>1505</v>
      </c>
      <c r="AB49" s="592"/>
      <c r="AC49" s="593"/>
      <c r="AD49" s="23">
        <v>10</v>
      </c>
      <c r="AE49" s="25"/>
      <c r="AF49" s="25"/>
      <c r="AG49" s="25"/>
      <c r="AH49" s="25"/>
      <c r="AI49" s="25"/>
      <c r="AJ49" s="25"/>
      <c r="AK49" s="25"/>
      <c r="AL49" s="25"/>
      <c r="AM49" s="25"/>
      <c r="AN49" s="25"/>
      <c r="AO49" s="25"/>
      <c r="AP49" s="25"/>
      <c r="AQ49" s="25"/>
      <c r="AR49" s="25"/>
      <c r="AS49" s="26"/>
      <c r="AT49" s="51"/>
      <c r="AU49" s="51"/>
      <c r="AV49" s="51"/>
      <c r="AW49" s="51"/>
      <c r="AX49" s="51"/>
      <c r="AY49" s="51"/>
      <c r="AZ49" s="51"/>
      <c r="BA49" s="51"/>
      <c r="BB49" s="51"/>
      <c r="BC49" s="51"/>
      <c r="BD49" s="52"/>
    </row>
    <row r="50" spans="1:56" ht="14.4" customHeight="1">
      <c r="A50" s="37">
        <f>IF(B50="","",COUNTA($B$8:B50))</f>
        <v>40</v>
      </c>
      <c r="B50" s="17" t="s">
        <v>1509</v>
      </c>
      <c r="C50" s="34"/>
      <c r="D50" s="34"/>
      <c r="E50" s="34"/>
      <c r="F50" s="34"/>
      <c r="G50" s="34"/>
      <c r="H50" s="34"/>
      <c r="I50" s="35" t="s">
        <v>548</v>
      </c>
      <c r="J50" s="27"/>
      <c r="K50" s="27"/>
      <c r="L50" s="27"/>
      <c r="M50" s="27"/>
      <c r="N50" s="27"/>
      <c r="O50" s="27"/>
      <c r="P50" s="27"/>
      <c r="Q50" s="27"/>
      <c r="R50" s="17" t="s">
        <v>1509</v>
      </c>
      <c r="S50" s="34"/>
      <c r="T50" s="34"/>
      <c r="U50" s="34"/>
      <c r="V50" s="34"/>
      <c r="W50" s="34"/>
      <c r="X50" s="34"/>
      <c r="Y50" s="589" t="s">
        <v>1510</v>
      </c>
      <c r="Z50" s="590"/>
      <c r="AA50" s="591" t="s">
        <v>1511</v>
      </c>
      <c r="AB50" s="592"/>
      <c r="AC50" s="593"/>
      <c r="AD50" s="38"/>
      <c r="AE50" s="25"/>
      <c r="AF50" s="25"/>
      <c r="AG50" s="25"/>
      <c r="AH50" s="25"/>
      <c r="AI50" s="25"/>
      <c r="AJ50" s="25"/>
      <c r="AK50" s="25"/>
      <c r="AL50" s="25"/>
      <c r="AM50" s="25"/>
      <c r="AN50" s="25"/>
      <c r="AO50" s="25"/>
      <c r="AP50" s="25"/>
      <c r="AQ50" s="25"/>
      <c r="AR50" s="25"/>
      <c r="AS50" s="26"/>
      <c r="AT50" s="51"/>
      <c r="AU50" s="51"/>
      <c r="AV50" s="51"/>
      <c r="AW50" s="51"/>
      <c r="AX50" s="51"/>
      <c r="AY50" s="51"/>
      <c r="AZ50" s="51"/>
      <c r="BA50" s="51"/>
      <c r="BB50" s="51"/>
      <c r="BC50" s="51"/>
      <c r="BD50" s="52"/>
    </row>
    <row r="51" spans="1:56" ht="14.4" customHeight="1">
      <c r="A51" s="37">
        <f>IF(B51="","",COUNTA($B$8:B51))</f>
        <v>41</v>
      </c>
      <c r="B51" s="17" t="s">
        <v>1306</v>
      </c>
      <c r="C51" s="34"/>
      <c r="D51" s="34"/>
      <c r="E51" s="34"/>
      <c r="F51" s="34"/>
      <c r="G51" s="34"/>
      <c r="H51" s="34"/>
      <c r="I51" s="35" t="s">
        <v>626</v>
      </c>
      <c r="J51" s="27"/>
      <c r="K51" s="27"/>
      <c r="L51" s="27"/>
      <c r="M51" s="27"/>
      <c r="N51" s="27"/>
      <c r="O51" s="27"/>
      <c r="P51" s="27"/>
      <c r="Q51" s="27"/>
      <c r="R51" s="17" t="s">
        <v>1634</v>
      </c>
      <c r="S51" s="34"/>
      <c r="T51" s="34"/>
      <c r="U51" s="34"/>
      <c r="V51" s="34"/>
      <c r="W51" s="34"/>
      <c r="X51" s="34"/>
      <c r="Y51" s="589" t="s">
        <v>1504</v>
      </c>
      <c r="Z51" s="590"/>
      <c r="AA51" s="591" t="s">
        <v>1505</v>
      </c>
      <c r="AB51" s="592"/>
      <c r="AC51" s="593"/>
      <c r="AD51" s="23">
        <v>10</v>
      </c>
      <c r="AE51" s="25"/>
      <c r="AF51" s="25"/>
      <c r="AG51" s="25"/>
      <c r="AH51" s="25"/>
      <c r="AI51" s="25"/>
      <c r="AJ51" s="25"/>
      <c r="AK51" s="25"/>
      <c r="AL51" s="25"/>
      <c r="AM51" s="25"/>
      <c r="AN51" s="25"/>
      <c r="AO51" s="25"/>
      <c r="AP51" s="25"/>
      <c r="AQ51" s="25"/>
      <c r="AR51" s="25"/>
      <c r="AS51" s="26"/>
      <c r="AT51" s="51"/>
      <c r="AU51" s="51"/>
      <c r="AV51" s="51"/>
      <c r="AW51" s="51"/>
      <c r="AX51" s="51"/>
      <c r="AY51" s="51"/>
      <c r="AZ51" s="51"/>
      <c r="BA51" s="51"/>
      <c r="BB51" s="51"/>
      <c r="BC51" s="51"/>
      <c r="BD51" s="52"/>
    </row>
    <row r="52" spans="1:56" ht="14.4" customHeight="1">
      <c r="A52" s="37">
        <f>IF(B52="","",COUNTA($B$8:B52))</f>
        <v>42</v>
      </c>
      <c r="B52" s="17" t="s">
        <v>1512</v>
      </c>
      <c r="C52" s="18"/>
      <c r="D52" s="18"/>
      <c r="E52" s="18"/>
      <c r="F52" s="18"/>
      <c r="G52" s="18"/>
      <c r="H52" s="18"/>
      <c r="I52" s="35" t="s">
        <v>390</v>
      </c>
      <c r="J52" s="20"/>
      <c r="K52" s="20"/>
      <c r="L52" s="20"/>
      <c r="M52" s="20"/>
      <c r="N52" s="20"/>
      <c r="O52" s="20"/>
      <c r="P52" s="20"/>
      <c r="Q52" s="20"/>
      <c r="R52" s="17" t="s">
        <v>1512</v>
      </c>
      <c r="S52" s="18"/>
      <c r="T52" s="18"/>
      <c r="U52" s="18"/>
      <c r="V52" s="18"/>
      <c r="W52" s="18"/>
      <c r="X52" s="18"/>
      <c r="Y52" s="589" t="s">
        <v>1504</v>
      </c>
      <c r="Z52" s="590"/>
      <c r="AA52" s="591" t="s">
        <v>1505</v>
      </c>
      <c r="AB52" s="592"/>
      <c r="AC52" s="593"/>
      <c r="AD52" s="38">
        <v>10</v>
      </c>
      <c r="AE52" s="30" t="s">
        <v>1585</v>
      </c>
      <c r="AF52" s="30"/>
      <c r="AG52" s="30"/>
      <c r="AH52" s="30"/>
      <c r="AI52" s="30"/>
      <c r="AJ52" s="30"/>
      <c r="AK52" s="30"/>
      <c r="AL52" s="30"/>
      <c r="AM52" s="30"/>
      <c r="AN52" s="30"/>
      <c r="AO52" s="31"/>
      <c r="AP52" s="31"/>
      <c r="AQ52" s="31"/>
      <c r="AR52" s="31"/>
      <c r="AS52" s="32"/>
      <c r="AT52" s="33"/>
      <c r="AU52" s="51"/>
      <c r="AV52" s="51"/>
      <c r="AW52" s="51"/>
      <c r="AX52" s="51"/>
      <c r="AY52" s="51"/>
      <c r="AZ52" s="51"/>
      <c r="BA52" s="51"/>
      <c r="BB52" s="51"/>
      <c r="BC52" s="51"/>
      <c r="BD52" s="52"/>
    </row>
    <row r="53" spans="1:56" ht="14.4" customHeight="1">
      <c r="A53" s="37">
        <f>IF(B53="","",COUNTA($B$8:B53))</f>
        <v>43</v>
      </c>
      <c r="B53" s="17" t="s">
        <v>1513</v>
      </c>
      <c r="C53" s="18"/>
      <c r="D53" s="18"/>
      <c r="E53" s="18"/>
      <c r="F53" s="18"/>
      <c r="G53" s="18"/>
      <c r="H53" s="18"/>
      <c r="I53" s="35" t="s">
        <v>394</v>
      </c>
      <c r="J53" s="20"/>
      <c r="K53" s="20"/>
      <c r="L53" s="20"/>
      <c r="M53" s="20"/>
      <c r="N53" s="20"/>
      <c r="O53" s="20"/>
      <c r="P53" s="20"/>
      <c r="Q53" s="20"/>
      <c r="R53" s="17" t="s">
        <v>1513</v>
      </c>
      <c r="S53" s="18"/>
      <c r="T53" s="18"/>
      <c r="U53" s="18"/>
      <c r="V53" s="18"/>
      <c r="W53" s="18"/>
      <c r="X53" s="18"/>
      <c r="Y53" s="589" t="s">
        <v>1510</v>
      </c>
      <c r="Z53" s="590"/>
      <c r="AA53" s="591" t="s">
        <v>1511</v>
      </c>
      <c r="AB53" s="592"/>
      <c r="AC53" s="593"/>
      <c r="AD53" s="38"/>
      <c r="AE53" s="30" t="s">
        <v>1585</v>
      </c>
      <c r="AF53" s="30"/>
      <c r="AG53" s="30"/>
      <c r="AH53" s="30"/>
      <c r="AI53" s="30"/>
      <c r="AJ53" s="30"/>
      <c r="AK53" s="30"/>
      <c r="AL53" s="30"/>
      <c r="AM53" s="30"/>
      <c r="AN53" s="30"/>
      <c r="AO53" s="31"/>
      <c r="AP53" s="31"/>
      <c r="AQ53" s="31"/>
      <c r="AR53" s="31"/>
      <c r="AS53" s="32"/>
      <c r="AT53" s="33"/>
      <c r="AU53" s="51"/>
      <c r="AV53" s="51"/>
      <c r="AW53" s="51"/>
      <c r="AX53" s="51"/>
      <c r="AY53" s="51"/>
      <c r="AZ53" s="51"/>
      <c r="BA53" s="51"/>
      <c r="BB53" s="51"/>
      <c r="BC53" s="51"/>
      <c r="BD53" s="52"/>
    </row>
    <row r="54" spans="1:56" ht="14.4" customHeight="1">
      <c r="A54" s="37" t="str">
        <f>IF(B54="","",COUNTA($B$8:B54))</f>
        <v/>
      </c>
      <c r="B54" s="17"/>
      <c r="C54" s="18"/>
      <c r="D54" s="18"/>
      <c r="E54" s="18"/>
      <c r="F54" s="18"/>
      <c r="G54" s="18"/>
      <c r="H54" s="18"/>
      <c r="I54" s="19"/>
      <c r="J54" s="20"/>
      <c r="K54" s="20"/>
      <c r="L54" s="20"/>
      <c r="M54" s="20"/>
      <c r="N54" s="20"/>
      <c r="O54" s="20"/>
      <c r="P54" s="20"/>
      <c r="Q54" s="20"/>
      <c r="R54" s="17"/>
      <c r="S54" s="18"/>
      <c r="T54" s="18"/>
      <c r="U54" s="18"/>
      <c r="V54" s="18"/>
      <c r="W54" s="18"/>
      <c r="X54" s="18"/>
      <c r="Y54" s="17"/>
      <c r="Z54" s="28"/>
      <c r="AA54" s="21"/>
      <c r="AB54" s="22"/>
      <c r="AC54" s="29"/>
      <c r="AD54" s="38"/>
      <c r="AE54" s="30"/>
      <c r="AF54" s="30"/>
      <c r="AG54" s="30"/>
      <c r="AH54" s="30"/>
      <c r="AI54" s="30"/>
      <c r="AJ54" s="30"/>
      <c r="AK54" s="30"/>
      <c r="AL54" s="30"/>
      <c r="AM54" s="30"/>
      <c r="AN54" s="30"/>
      <c r="AO54" s="31"/>
      <c r="AP54" s="31"/>
      <c r="AQ54" s="31"/>
      <c r="AR54" s="31"/>
      <c r="AS54" s="32"/>
      <c r="AT54" s="33"/>
      <c r="AU54" s="51"/>
      <c r="AV54" s="51"/>
      <c r="AW54" s="51"/>
      <c r="AX54" s="51"/>
      <c r="AY54" s="51"/>
      <c r="AZ54" s="51"/>
      <c r="BA54" s="51"/>
      <c r="BB54" s="51"/>
      <c r="BC54" s="51"/>
      <c r="BD54" s="52"/>
    </row>
    <row r="55" spans="1:56" ht="14.4" customHeight="1">
      <c r="A55" s="37" t="str">
        <f>IF(B55="","",COUNTA($B$8:B55))</f>
        <v/>
      </c>
      <c r="B55" s="17"/>
      <c r="C55" s="18"/>
      <c r="D55" s="18"/>
      <c r="E55" s="18"/>
      <c r="F55" s="18"/>
      <c r="G55" s="18"/>
      <c r="H55" s="18"/>
      <c r="I55" s="19"/>
      <c r="J55" s="20"/>
      <c r="K55" s="20"/>
      <c r="L55" s="20"/>
      <c r="M55" s="20"/>
      <c r="N55" s="20"/>
      <c r="O55" s="20"/>
      <c r="P55" s="20"/>
      <c r="Q55" s="20"/>
      <c r="R55" s="17"/>
      <c r="S55" s="18"/>
      <c r="T55" s="18"/>
      <c r="U55" s="18"/>
      <c r="V55" s="18"/>
      <c r="W55" s="18"/>
      <c r="X55" s="18"/>
      <c r="Y55" s="17"/>
      <c r="Z55" s="28"/>
      <c r="AA55" s="21"/>
      <c r="AB55" s="22"/>
      <c r="AC55" s="29"/>
      <c r="AD55" s="38"/>
      <c r="AE55" s="30"/>
      <c r="AF55" s="30"/>
      <c r="AG55" s="30"/>
      <c r="AH55" s="30"/>
      <c r="AI55" s="30"/>
      <c r="AJ55" s="30"/>
      <c r="AK55" s="30"/>
      <c r="AL55" s="30"/>
      <c r="AM55" s="30"/>
      <c r="AN55" s="30"/>
      <c r="AO55" s="31"/>
      <c r="AP55" s="31"/>
      <c r="AQ55" s="31"/>
      <c r="AR55" s="31"/>
      <c r="AS55" s="32"/>
      <c r="AT55" s="33"/>
      <c r="AU55" s="51"/>
      <c r="AV55" s="51"/>
      <c r="AW55" s="51"/>
      <c r="AX55" s="51"/>
      <c r="AY55" s="51"/>
      <c r="AZ55" s="51"/>
      <c r="BA55" s="51"/>
      <c r="BB55" s="51"/>
      <c r="BC55" s="51"/>
      <c r="BD55" s="52"/>
    </row>
    <row r="56" spans="1:56" ht="14.4" customHeight="1">
      <c r="A56" s="37" t="str">
        <f>IF(B56="","",COUNTA($B$8:B56))</f>
        <v/>
      </c>
      <c r="B56" s="17"/>
      <c r="C56" s="18"/>
      <c r="D56" s="18"/>
      <c r="E56" s="18"/>
      <c r="F56" s="18"/>
      <c r="G56" s="18"/>
      <c r="H56" s="18"/>
      <c r="I56" s="19"/>
      <c r="J56" s="20"/>
      <c r="K56" s="20"/>
      <c r="L56" s="20"/>
      <c r="M56" s="20"/>
      <c r="N56" s="20"/>
      <c r="O56" s="20"/>
      <c r="P56" s="20"/>
      <c r="Q56" s="20"/>
      <c r="R56" s="17"/>
      <c r="S56" s="18"/>
      <c r="T56" s="18"/>
      <c r="U56" s="18"/>
      <c r="V56" s="18"/>
      <c r="W56" s="18"/>
      <c r="X56" s="18"/>
      <c r="Y56" s="17"/>
      <c r="Z56" s="28"/>
      <c r="AA56" s="21"/>
      <c r="AB56" s="22"/>
      <c r="AC56" s="29"/>
      <c r="AD56" s="38"/>
      <c r="AE56" s="30"/>
      <c r="AF56" s="30"/>
      <c r="AG56" s="30"/>
      <c r="AH56" s="30"/>
      <c r="AI56" s="30"/>
      <c r="AJ56" s="30"/>
      <c r="AK56" s="30"/>
      <c r="AL56" s="30"/>
      <c r="AM56" s="30"/>
      <c r="AN56" s="30"/>
      <c r="AO56" s="31"/>
      <c r="AP56" s="31"/>
      <c r="AQ56" s="31"/>
      <c r="AR56" s="31"/>
      <c r="AS56" s="32"/>
      <c r="AT56" s="33"/>
      <c r="AU56" s="51"/>
      <c r="AV56" s="51"/>
      <c r="AW56" s="51"/>
      <c r="AX56" s="51"/>
      <c r="AY56" s="51"/>
      <c r="AZ56" s="51"/>
      <c r="BA56" s="51"/>
      <c r="BB56" s="51"/>
      <c r="BC56" s="51"/>
      <c r="BD56" s="52"/>
    </row>
    <row r="57" spans="1:56" ht="14.4" customHeight="1">
      <c r="A57" s="37" t="str">
        <f>IF(B57="","",COUNTA($B$8:B57))</f>
        <v/>
      </c>
      <c r="B57" s="17"/>
      <c r="C57" s="18"/>
      <c r="D57" s="18"/>
      <c r="E57" s="18"/>
      <c r="F57" s="18"/>
      <c r="G57" s="18"/>
      <c r="H57" s="18"/>
      <c r="I57" s="19"/>
      <c r="J57" s="20"/>
      <c r="K57" s="20"/>
      <c r="L57" s="20"/>
      <c r="M57" s="20"/>
      <c r="N57" s="20"/>
      <c r="O57" s="20"/>
      <c r="P57" s="20"/>
      <c r="Q57" s="20"/>
      <c r="R57" s="17"/>
      <c r="S57" s="18"/>
      <c r="T57" s="18"/>
      <c r="U57" s="18"/>
      <c r="V57" s="18"/>
      <c r="W57" s="18"/>
      <c r="X57" s="18"/>
      <c r="Y57" s="17"/>
      <c r="Z57" s="28"/>
      <c r="AA57" s="21"/>
      <c r="AB57" s="22"/>
      <c r="AC57" s="29"/>
      <c r="AD57" s="38"/>
      <c r="AE57" s="30"/>
      <c r="AF57" s="30"/>
      <c r="AG57" s="30"/>
      <c r="AH57" s="30"/>
      <c r="AI57" s="30"/>
      <c r="AJ57" s="30"/>
      <c r="AK57" s="30"/>
      <c r="AL57" s="30"/>
      <c r="AM57" s="30"/>
      <c r="AN57" s="30"/>
      <c r="AO57" s="31"/>
      <c r="AP57" s="31"/>
      <c r="AQ57" s="31"/>
      <c r="AR57" s="31"/>
      <c r="AS57" s="32"/>
      <c r="AT57" s="33"/>
      <c r="AU57" s="51"/>
      <c r="AV57" s="51"/>
      <c r="AW57" s="51"/>
      <c r="AX57" s="51"/>
      <c r="AY57" s="51"/>
      <c r="AZ57" s="51"/>
      <c r="BA57" s="51"/>
      <c r="BB57" s="51"/>
      <c r="BC57" s="51"/>
      <c r="BD57" s="52"/>
    </row>
    <row r="58" spans="1:56" ht="14.4" customHeight="1">
      <c r="A58" s="37" t="str">
        <f>IF(B58="","",COUNTA($B$8:B58))</f>
        <v/>
      </c>
      <c r="B58" s="17"/>
      <c r="C58" s="18"/>
      <c r="D58" s="18"/>
      <c r="E58" s="18"/>
      <c r="F58" s="18"/>
      <c r="G58" s="18"/>
      <c r="H58" s="18"/>
      <c r="I58" s="19"/>
      <c r="J58" s="20"/>
      <c r="K58" s="20"/>
      <c r="L58" s="20"/>
      <c r="M58" s="20"/>
      <c r="N58" s="20"/>
      <c r="O58" s="20"/>
      <c r="P58" s="20"/>
      <c r="Q58" s="20"/>
      <c r="R58" s="17"/>
      <c r="S58" s="18"/>
      <c r="T58" s="18"/>
      <c r="U58" s="18"/>
      <c r="V58" s="18"/>
      <c r="W58" s="18"/>
      <c r="X58" s="18"/>
      <c r="Y58" s="17"/>
      <c r="Z58" s="28"/>
      <c r="AA58" s="21"/>
      <c r="AB58" s="22"/>
      <c r="AC58" s="29"/>
      <c r="AD58" s="38"/>
      <c r="AE58" s="30"/>
      <c r="AF58" s="30"/>
      <c r="AG58" s="30"/>
      <c r="AH58" s="30"/>
      <c r="AI58" s="30"/>
      <c r="AJ58" s="30"/>
      <c r="AK58" s="30"/>
      <c r="AL58" s="30"/>
      <c r="AM58" s="30"/>
      <c r="AN58" s="30"/>
      <c r="AO58" s="31"/>
      <c r="AP58" s="31"/>
      <c r="AQ58" s="31"/>
      <c r="AR58" s="31"/>
      <c r="AS58" s="32"/>
      <c r="AT58" s="33"/>
      <c r="AU58" s="51"/>
      <c r="AV58" s="51"/>
      <c r="AW58" s="51"/>
      <c r="AX58" s="51"/>
      <c r="AY58" s="51"/>
      <c r="AZ58" s="51"/>
      <c r="BA58" s="51"/>
      <c r="BB58" s="51"/>
      <c r="BC58" s="51"/>
      <c r="BD58" s="52"/>
    </row>
    <row r="59" spans="1:56" ht="14.4" customHeight="1">
      <c r="A59" s="37" t="str">
        <f>IF(B59="","",COUNTA($B$8:B59))</f>
        <v/>
      </c>
      <c r="B59" s="17"/>
      <c r="C59" s="18"/>
      <c r="D59" s="18"/>
      <c r="E59" s="18"/>
      <c r="F59" s="18"/>
      <c r="G59" s="18"/>
      <c r="H59" s="18"/>
      <c r="I59" s="19"/>
      <c r="J59" s="20"/>
      <c r="K59" s="20"/>
      <c r="L59" s="20"/>
      <c r="M59" s="20"/>
      <c r="N59" s="20"/>
      <c r="O59" s="20"/>
      <c r="P59" s="20"/>
      <c r="Q59" s="20"/>
      <c r="R59" s="17"/>
      <c r="S59" s="18"/>
      <c r="T59" s="18"/>
      <c r="U59" s="18"/>
      <c r="V59" s="18"/>
      <c r="W59" s="18"/>
      <c r="X59" s="18"/>
      <c r="Y59" s="17"/>
      <c r="Z59" s="28"/>
      <c r="AA59" s="21"/>
      <c r="AB59" s="22"/>
      <c r="AC59" s="29"/>
      <c r="AD59" s="38"/>
      <c r="AE59" s="30"/>
      <c r="AF59" s="30"/>
      <c r="AG59" s="30"/>
      <c r="AH59" s="30"/>
      <c r="AI59" s="30"/>
      <c r="AJ59" s="30"/>
      <c r="AK59" s="30"/>
      <c r="AL59" s="30"/>
      <c r="AM59" s="30"/>
      <c r="AN59" s="30"/>
      <c r="AO59" s="31"/>
      <c r="AP59" s="31"/>
      <c r="AQ59" s="31"/>
      <c r="AR59" s="31"/>
      <c r="AS59" s="32"/>
      <c r="AT59" s="33"/>
      <c r="AU59" s="51"/>
      <c r="AV59" s="51"/>
      <c r="AW59" s="51"/>
      <c r="AX59" s="51"/>
      <c r="AY59" s="51"/>
      <c r="AZ59" s="51"/>
      <c r="BA59" s="51"/>
      <c r="BB59" s="51"/>
      <c r="BC59" s="51"/>
      <c r="BD59" s="52"/>
    </row>
    <row r="60" spans="1:56" ht="14.4" customHeight="1">
      <c r="A60" s="37" t="str">
        <f>IF(B60="","",COUNTA($B$8:B60))</f>
        <v/>
      </c>
      <c r="B60" s="17"/>
      <c r="C60" s="18"/>
      <c r="D60" s="18"/>
      <c r="E60" s="18"/>
      <c r="F60" s="18"/>
      <c r="G60" s="18"/>
      <c r="H60" s="18"/>
      <c r="I60" s="19"/>
      <c r="J60" s="20"/>
      <c r="K60" s="20"/>
      <c r="L60" s="20"/>
      <c r="M60" s="20"/>
      <c r="N60" s="20"/>
      <c r="O60" s="20"/>
      <c r="P60" s="20"/>
      <c r="Q60" s="20"/>
      <c r="R60" s="17"/>
      <c r="S60" s="18"/>
      <c r="T60" s="18"/>
      <c r="U60" s="18"/>
      <c r="V60" s="18"/>
      <c r="W60" s="18"/>
      <c r="X60" s="18"/>
      <c r="Y60" s="17"/>
      <c r="Z60" s="28"/>
      <c r="AA60" s="21"/>
      <c r="AB60" s="22"/>
      <c r="AC60" s="29"/>
      <c r="AD60" s="38"/>
      <c r="AE60" s="30"/>
      <c r="AF60" s="30"/>
      <c r="AG60" s="30"/>
      <c r="AH60" s="30"/>
      <c r="AI60" s="30"/>
      <c r="AJ60" s="30"/>
      <c r="AK60" s="30"/>
      <c r="AL60" s="30"/>
      <c r="AM60" s="30"/>
      <c r="AN60" s="30"/>
      <c r="AO60" s="31"/>
      <c r="AP60" s="31"/>
      <c r="AQ60" s="31"/>
      <c r="AR60" s="31"/>
      <c r="AS60" s="32"/>
      <c r="AT60" s="33"/>
      <c r="AU60" s="51"/>
      <c r="AV60" s="51"/>
      <c r="AW60" s="51"/>
      <c r="AX60" s="51"/>
      <c r="AY60" s="51"/>
      <c r="AZ60" s="51"/>
      <c r="BA60" s="51"/>
      <c r="BB60" s="51"/>
      <c r="BC60" s="51"/>
      <c r="BD60" s="52"/>
    </row>
    <row r="61" spans="1:56" ht="14.4" customHeight="1">
      <c r="A61" s="37" t="str">
        <f>IF(B61="","",COUNTA($B$8:B61))</f>
        <v/>
      </c>
      <c r="B61" s="17"/>
      <c r="C61" s="18"/>
      <c r="D61" s="18"/>
      <c r="E61" s="18"/>
      <c r="F61" s="18"/>
      <c r="G61" s="18"/>
      <c r="H61" s="18"/>
      <c r="I61" s="19"/>
      <c r="J61" s="20"/>
      <c r="K61" s="20"/>
      <c r="L61" s="20"/>
      <c r="M61" s="20"/>
      <c r="N61" s="20"/>
      <c r="O61" s="20"/>
      <c r="P61" s="20"/>
      <c r="Q61" s="20"/>
      <c r="R61" s="17"/>
      <c r="S61" s="18"/>
      <c r="T61" s="18"/>
      <c r="U61" s="18"/>
      <c r="V61" s="18"/>
      <c r="W61" s="18"/>
      <c r="X61" s="18"/>
      <c r="Y61" s="17"/>
      <c r="Z61" s="28"/>
      <c r="AA61" s="21"/>
      <c r="AB61" s="22"/>
      <c r="AC61" s="29"/>
      <c r="AD61" s="38"/>
      <c r="AE61" s="30"/>
      <c r="AF61" s="30"/>
      <c r="AG61" s="30"/>
      <c r="AH61" s="30"/>
      <c r="AI61" s="30"/>
      <c r="AJ61" s="30"/>
      <c r="AK61" s="30"/>
      <c r="AL61" s="30"/>
      <c r="AM61" s="30"/>
      <c r="AN61" s="30"/>
      <c r="AO61" s="31"/>
      <c r="AP61" s="31"/>
      <c r="AQ61" s="31"/>
      <c r="AR61" s="31"/>
      <c r="AS61" s="32"/>
      <c r="AT61" s="33"/>
      <c r="AU61" s="51"/>
      <c r="AV61" s="51"/>
      <c r="AW61" s="51"/>
      <c r="AX61" s="51"/>
      <c r="AY61" s="51"/>
      <c r="AZ61" s="51"/>
      <c r="BA61" s="51"/>
      <c r="BB61" s="51"/>
      <c r="BC61" s="51"/>
      <c r="BD61" s="52"/>
    </row>
    <row r="62" spans="1:56" ht="14.4" customHeight="1">
      <c r="A62" s="37" t="str">
        <f>IF(B62="","",COUNTA($B$8:B62))</f>
        <v/>
      </c>
      <c r="B62" s="26"/>
      <c r="C62" s="34"/>
      <c r="D62" s="34"/>
      <c r="E62" s="34"/>
      <c r="F62" s="34"/>
      <c r="G62" s="34"/>
      <c r="H62" s="34"/>
      <c r="I62" s="19"/>
      <c r="J62" s="27"/>
      <c r="K62" s="27"/>
      <c r="L62" s="27"/>
      <c r="M62" s="27"/>
      <c r="N62" s="27"/>
      <c r="O62" s="27"/>
      <c r="P62" s="27"/>
      <c r="Q62" s="27"/>
      <c r="R62" s="26"/>
      <c r="S62" s="34"/>
      <c r="T62" s="34"/>
      <c r="U62" s="34"/>
      <c r="V62" s="34"/>
      <c r="W62" s="34"/>
      <c r="X62" s="34"/>
      <c r="Y62" s="589"/>
      <c r="Z62" s="590"/>
      <c r="AA62" s="591"/>
      <c r="AB62" s="592"/>
      <c r="AC62" s="593"/>
      <c r="AD62" s="38"/>
      <c r="AE62" s="25"/>
      <c r="AF62" s="25"/>
      <c r="AG62" s="25"/>
      <c r="AH62" s="25"/>
      <c r="AI62" s="25"/>
      <c r="AJ62" s="25"/>
      <c r="AK62" s="25"/>
      <c r="AL62" s="25"/>
      <c r="AM62" s="25"/>
      <c r="AN62" s="25"/>
      <c r="AO62" s="25"/>
      <c r="AP62" s="25"/>
      <c r="AQ62" s="25"/>
      <c r="AR62" s="25"/>
      <c r="AS62" s="26"/>
      <c r="AT62" s="51"/>
      <c r="AU62" s="51"/>
      <c r="AV62" s="51"/>
      <c r="AW62" s="51"/>
      <c r="AX62" s="51"/>
      <c r="AY62" s="51"/>
      <c r="AZ62" s="51"/>
      <c r="BA62" s="51"/>
      <c r="BB62" s="51"/>
      <c r="BC62" s="51"/>
      <c r="BD62" s="52"/>
    </row>
    <row r="63" spans="1:56" ht="14.4" customHeight="1">
      <c r="A63" s="37" t="str">
        <f>IF(B63="","",COUNTA($B$8:B63))</f>
        <v/>
      </c>
      <c r="B63" s="26"/>
      <c r="C63" s="34"/>
      <c r="D63" s="34"/>
      <c r="E63" s="34"/>
      <c r="F63" s="34"/>
      <c r="G63" s="34"/>
      <c r="H63" s="34"/>
      <c r="I63" s="19"/>
      <c r="J63" s="27"/>
      <c r="K63" s="27"/>
      <c r="L63" s="27"/>
      <c r="M63" s="27"/>
      <c r="N63" s="27"/>
      <c r="O63" s="27"/>
      <c r="P63" s="27"/>
      <c r="Q63" s="27"/>
      <c r="R63" s="26"/>
      <c r="S63" s="34"/>
      <c r="T63" s="34"/>
      <c r="U63" s="34"/>
      <c r="V63" s="34"/>
      <c r="W63" s="34"/>
      <c r="X63" s="34"/>
      <c r="Y63" s="589"/>
      <c r="Z63" s="590"/>
      <c r="AA63" s="591"/>
      <c r="AB63" s="592"/>
      <c r="AC63" s="593"/>
      <c r="AD63" s="38"/>
      <c r="AE63" s="25"/>
      <c r="AF63" s="25"/>
      <c r="AG63" s="25"/>
      <c r="AH63" s="25"/>
      <c r="AI63" s="25"/>
      <c r="AJ63" s="25"/>
      <c r="AK63" s="25"/>
      <c r="AL63" s="25"/>
      <c r="AM63" s="25"/>
      <c r="AN63" s="25"/>
      <c r="AO63" s="25"/>
      <c r="AP63" s="25"/>
      <c r="AQ63" s="25"/>
      <c r="AR63" s="25"/>
      <c r="AS63" s="26"/>
      <c r="AT63" s="51"/>
      <c r="AU63" s="51"/>
      <c r="AV63" s="51"/>
      <c r="AW63" s="51"/>
      <c r="AX63" s="51"/>
      <c r="AY63" s="51"/>
      <c r="AZ63" s="51"/>
      <c r="BA63" s="51"/>
      <c r="BB63" s="51"/>
      <c r="BC63" s="51"/>
      <c r="BD63" s="52"/>
    </row>
    <row r="64" spans="1:56" ht="14.4" customHeight="1">
      <c r="A64" s="37" t="str">
        <f>IF(B64="","",COUNTA($B$8:B64))</f>
        <v/>
      </c>
      <c r="B64" s="26"/>
      <c r="C64" s="34"/>
      <c r="D64" s="34"/>
      <c r="E64" s="34"/>
      <c r="F64" s="34"/>
      <c r="G64" s="34"/>
      <c r="H64" s="34"/>
      <c r="I64" s="19"/>
      <c r="J64" s="27"/>
      <c r="K64" s="27"/>
      <c r="L64" s="27"/>
      <c r="M64" s="27"/>
      <c r="N64" s="27"/>
      <c r="O64" s="27"/>
      <c r="P64" s="27"/>
      <c r="Q64" s="27"/>
      <c r="R64" s="26"/>
      <c r="S64" s="34"/>
      <c r="T64" s="34"/>
      <c r="U64" s="34"/>
      <c r="V64" s="34"/>
      <c r="W64" s="34"/>
      <c r="X64" s="34"/>
      <c r="Y64" s="589"/>
      <c r="Z64" s="590"/>
      <c r="AA64" s="591"/>
      <c r="AB64" s="592"/>
      <c r="AC64" s="593"/>
      <c r="AD64" s="38"/>
      <c r="AE64" s="25"/>
      <c r="AF64" s="25"/>
      <c r="AG64" s="25"/>
      <c r="AH64" s="25"/>
      <c r="AI64" s="25"/>
      <c r="AJ64" s="25"/>
      <c r="AK64" s="25"/>
      <c r="AL64" s="25"/>
      <c r="AM64" s="25"/>
      <c r="AN64" s="25"/>
      <c r="AO64" s="25"/>
      <c r="AP64" s="25"/>
      <c r="AQ64" s="25"/>
      <c r="AR64" s="25"/>
      <c r="AS64" s="26"/>
      <c r="AT64" s="51"/>
      <c r="AU64" s="51"/>
      <c r="AV64" s="51"/>
      <c r="AW64" s="51"/>
      <c r="AX64" s="51"/>
      <c r="AY64" s="51"/>
      <c r="AZ64" s="51"/>
      <c r="BA64" s="51"/>
      <c r="BB64" s="51"/>
      <c r="BC64" s="51"/>
      <c r="BD64" s="52"/>
    </row>
    <row r="65" spans="1:56" ht="14.4" customHeight="1">
      <c r="A65" s="37" t="str">
        <f>IF(B65="","",COUNTA($B$8:B65))</f>
        <v/>
      </c>
      <c r="B65" s="26"/>
      <c r="C65" s="34"/>
      <c r="D65" s="34"/>
      <c r="E65" s="34"/>
      <c r="F65" s="34"/>
      <c r="G65" s="34"/>
      <c r="H65" s="34"/>
      <c r="I65" s="19"/>
      <c r="J65" s="27"/>
      <c r="K65" s="27"/>
      <c r="L65" s="27"/>
      <c r="M65" s="27"/>
      <c r="N65" s="27"/>
      <c r="O65" s="27"/>
      <c r="P65" s="27"/>
      <c r="Q65" s="27"/>
      <c r="R65" s="26"/>
      <c r="S65" s="34"/>
      <c r="T65" s="34"/>
      <c r="U65" s="34"/>
      <c r="V65" s="34"/>
      <c r="W65" s="34"/>
      <c r="X65" s="34"/>
      <c r="Y65" s="589"/>
      <c r="Z65" s="590"/>
      <c r="AA65" s="591"/>
      <c r="AB65" s="592"/>
      <c r="AC65" s="593"/>
      <c r="AD65" s="38"/>
      <c r="AE65" s="25"/>
      <c r="AF65" s="25"/>
      <c r="AG65" s="25"/>
      <c r="AH65" s="25"/>
      <c r="AI65" s="25"/>
      <c r="AJ65" s="25"/>
      <c r="AK65" s="25"/>
      <c r="AL65" s="25"/>
      <c r="AM65" s="25"/>
      <c r="AN65" s="25"/>
      <c r="AO65" s="25"/>
      <c r="AP65" s="25"/>
      <c r="AQ65" s="25"/>
      <c r="AR65" s="25"/>
      <c r="AS65" s="26"/>
      <c r="AT65" s="51"/>
      <c r="AU65" s="51"/>
      <c r="AV65" s="51"/>
      <c r="AW65" s="51"/>
      <c r="AX65" s="51"/>
      <c r="AY65" s="51"/>
      <c r="AZ65" s="51"/>
      <c r="BA65" s="51"/>
      <c r="BB65" s="51"/>
      <c r="BC65" s="51"/>
      <c r="BD65" s="52"/>
    </row>
    <row r="66" spans="1:56" ht="14.4" customHeight="1">
      <c r="A66" s="37" t="str">
        <f>IF(B66="","",COUNTA($B$8:B66))</f>
        <v/>
      </c>
      <c r="B66" s="26"/>
      <c r="C66" s="34"/>
      <c r="D66" s="34"/>
      <c r="E66" s="34"/>
      <c r="F66" s="34"/>
      <c r="G66" s="34"/>
      <c r="H66" s="34"/>
      <c r="I66" s="19"/>
      <c r="J66" s="27"/>
      <c r="K66" s="27"/>
      <c r="L66" s="27"/>
      <c r="M66" s="27"/>
      <c r="N66" s="27"/>
      <c r="O66" s="27"/>
      <c r="P66" s="27"/>
      <c r="Q66" s="27"/>
      <c r="R66" s="26"/>
      <c r="S66" s="34"/>
      <c r="T66" s="34"/>
      <c r="U66" s="34"/>
      <c r="V66" s="34"/>
      <c r="W66" s="34"/>
      <c r="X66" s="34"/>
      <c r="Y66" s="589"/>
      <c r="Z66" s="590"/>
      <c r="AA66" s="591"/>
      <c r="AB66" s="592"/>
      <c r="AC66" s="593"/>
      <c r="AD66" s="38"/>
      <c r="AE66" s="25"/>
      <c r="AF66" s="25"/>
      <c r="AG66" s="25"/>
      <c r="AH66" s="25"/>
      <c r="AI66" s="25"/>
      <c r="AJ66" s="25"/>
      <c r="AK66" s="25"/>
      <c r="AL66" s="25"/>
      <c r="AM66" s="25"/>
      <c r="AN66" s="25"/>
      <c r="AO66" s="25"/>
      <c r="AP66" s="25"/>
      <c r="AQ66" s="25"/>
      <c r="AR66" s="25"/>
      <c r="AS66" s="26"/>
      <c r="AT66" s="51"/>
      <c r="AU66" s="51"/>
      <c r="AV66" s="51"/>
      <c r="AW66" s="51"/>
      <c r="AX66" s="51"/>
      <c r="AY66" s="51"/>
      <c r="AZ66" s="51"/>
      <c r="BA66" s="51"/>
      <c r="BB66" s="51"/>
      <c r="BC66" s="51"/>
      <c r="BD66" s="52"/>
    </row>
    <row r="67" spans="1:56" ht="14.4" customHeight="1">
      <c r="A67" s="37" t="str">
        <f>IF(B67="","",COUNTA($B$8:B67))</f>
        <v/>
      </c>
      <c r="B67" s="26"/>
      <c r="C67" s="34"/>
      <c r="D67" s="34"/>
      <c r="E67" s="34"/>
      <c r="F67" s="34"/>
      <c r="G67" s="34"/>
      <c r="H67" s="34"/>
      <c r="I67" s="19"/>
      <c r="J67" s="27"/>
      <c r="K67" s="27"/>
      <c r="L67" s="27"/>
      <c r="M67" s="27"/>
      <c r="N67" s="27"/>
      <c r="O67" s="27"/>
      <c r="P67" s="27"/>
      <c r="Q67" s="27"/>
      <c r="R67" s="26"/>
      <c r="S67" s="34"/>
      <c r="T67" s="34"/>
      <c r="U67" s="34"/>
      <c r="V67" s="34"/>
      <c r="W67" s="34"/>
      <c r="X67" s="34"/>
      <c r="Y67" s="589"/>
      <c r="Z67" s="590"/>
      <c r="AA67" s="591"/>
      <c r="AB67" s="592"/>
      <c r="AC67" s="593"/>
      <c r="AD67" s="38"/>
      <c r="AE67" s="25"/>
      <c r="AF67" s="25"/>
      <c r="AG67" s="25"/>
      <c r="AH67" s="25"/>
      <c r="AI67" s="25"/>
      <c r="AJ67" s="25"/>
      <c r="AK67" s="25"/>
      <c r="AL67" s="25"/>
      <c r="AM67" s="25"/>
      <c r="AN67" s="25"/>
      <c r="AO67" s="25"/>
      <c r="AP67" s="25"/>
      <c r="AQ67" s="25"/>
      <c r="AR67" s="25"/>
      <c r="AS67" s="26"/>
      <c r="AT67" s="51"/>
      <c r="AU67" s="51"/>
      <c r="AV67" s="51"/>
      <c r="AW67" s="51"/>
      <c r="AX67" s="51"/>
      <c r="AY67" s="51"/>
      <c r="AZ67" s="51"/>
      <c r="BA67" s="51"/>
      <c r="BB67" s="51"/>
      <c r="BC67" s="51"/>
      <c r="BD67" s="52"/>
    </row>
    <row r="68" spans="1:56" ht="14.4" customHeight="1">
      <c r="A68" s="37" t="str">
        <f>IF(B68="","",COUNTA($B$8:B68))</f>
        <v/>
      </c>
      <c r="B68" s="26"/>
      <c r="C68" s="34"/>
      <c r="D68" s="34"/>
      <c r="E68" s="34"/>
      <c r="F68" s="34"/>
      <c r="G68" s="34"/>
      <c r="H68" s="34"/>
      <c r="I68" s="19"/>
      <c r="J68" s="27"/>
      <c r="K68" s="27"/>
      <c r="L68" s="27"/>
      <c r="M68" s="27"/>
      <c r="N68" s="27"/>
      <c r="O68" s="27"/>
      <c r="P68" s="27"/>
      <c r="Q68" s="27"/>
      <c r="R68" s="26"/>
      <c r="S68" s="34"/>
      <c r="T68" s="34"/>
      <c r="U68" s="34"/>
      <c r="V68" s="34"/>
      <c r="W68" s="34"/>
      <c r="X68" s="34"/>
      <c r="Y68" s="589"/>
      <c r="Z68" s="590"/>
      <c r="AA68" s="591"/>
      <c r="AB68" s="592"/>
      <c r="AC68" s="593"/>
      <c r="AD68" s="38"/>
      <c r="AE68" s="25"/>
      <c r="AF68" s="25"/>
      <c r="AG68" s="25"/>
      <c r="AH68" s="25"/>
      <c r="AI68" s="25"/>
      <c r="AJ68" s="25"/>
      <c r="AK68" s="25"/>
      <c r="AL68" s="25"/>
      <c r="AM68" s="25"/>
      <c r="AN68" s="25"/>
      <c r="AO68" s="25"/>
      <c r="AP68" s="25"/>
      <c r="AQ68" s="25"/>
      <c r="AR68" s="25"/>
      <c r="AS68" s="26"/>
      <c r="AT68" s="51"/>
      <c r="AU68" s="51"/>
      <c r="AV68" s="51"/>
      <c r="AW68" s="51"/>
      <c r="AX68" s="51"/>
      <c r="AY68" s="51"/>
      <c r="AZ68" s="51"/>
      <c r="BA68" s="51"/>
      <c r="BB68" s="51"/>
      <c r="BC68" s="51"/>
      <c r="BD68" s="52"/>
    </row>
    <row r="69" spans="1:56" ht="14.4" customHeight="1">
      <c r="A69" s="37" t="str">
        <f>IF(B69="","",COUNTA($B$8:B69))</f>
        <v/>
      </c>
      <c r="B69" s="26"/>
      <c r="C69" s="34"/>
      <c r="D69" s="34"/>
      <c r="E69" s="34"/>
      <c r="F69" s="34"/>
      <c r="G69" s="34"/>
      <c r="H69" s="34"/>
      <c r="I69" s="19"/>
      <c r="J69" s="27"/>
      <c r="K69" s="27"/>
      <c r="L69" s="27"/>
      <c r="M69" s="27"/>
      <c r="N69" s="27"/>
      <c r="O69" s="27"/>
      <c r="P69" s="27"/>
      <c r="Q69" s="27"/>
      <c r="R69" s="26"/>
      <c r="S69" s="34"/>
      <c r="T69" s="34"/>
      <c r="U69" s="34"/>
      <c r="V69" s="34"/>
      <c r="W69" s="34"/>
      <c r="X69" s="34"/>
      <c r="Y69" s="589"/>
      <c r="Z69" s="590"/>
      <c r="AA69" s="591"/>
      <c r="AB69" s="592"/>
      <c r="AC69" s="593"/>
      <c r="AD69" s="38"/>
      <c r="AE69" s="25"/>
      <c r="AF69" s="25"/>
      <c r="AG69" s="25"/>
      <c r="AH69" s="25"/>
      <c r="AI69" s="25"/>
      <c r="AJ69" s="25"/>
      <c r="AK69" s="25"/>
      <c r="AL69" s="25"/>
      <c r="AM69" s="25"/>
      <c r="AN69" s="25"/>
      <c r="AO69" s="25"/>
      <c r="AP69" s="25"/>
      <c r="AQ69" s="25"/>
      <c r="AR69" s="25"/>
      <c r="AS69" s="26"/>
      <c r="AT69" s="51"/>
      <c r="AU69" s="51"/>
      <c r="AV69" s="51"/>
      <c r="AW69" s="51"/>
      <c r="AX69" s="51"/>
      <c r="AY69" s="51"/>
      <c r="AZ69" s="51"/>
      <c r="BA69" s="51"/>
      <c r="BB69" s="51"/>
      <c r="BC69" s="51"/>
      <c r="BD69" s="52"/>
    </row>
    <row r="70" spans="1:56" ht="14.4" customHeight="1">
      <c r="A70" s="37" t="str">
        <f>IF(B70="","",COUNTA($B$8:B70))</f>
        <v/>
      </c>
      <c r="B70" s="26"/>
      <c r="C70" s="34"/>
      <c r="D70" s="34"/>
      <c r="E70" s="34"/>
      <c r="F70" s="34"/>
      <c r="G70" s="34"/>
      <c r="H70" s="34"/>
      <c r="I70" s="19"/>
      <c r="J70" s="27"/>
      <c r="K70" s="27"/>
      <c r="L70" s="27"/>
      <c r="M70" s="27"/>
      <c r="N70" s="27"/>
      <c r="O70" s="27"/>
      <c r="P70" s="27"/>
      <c r="Q70" s="27"/>
      <c r="R70" s="26"/>
      <c r="S70" s="34"/>
      <c r="T70" s="34"/>
      <c r="U70" s="34"/>
      <c r="V70" s="34"/>
      <c r="W70" s="34"/>
      <c r="X70" s="34"/>
      <c r="Y70" s="589"/>
      <c r="Z70" s="590"/>
      <c r="AA70" s="591"/>
      <c r="AB70" s="592"/>
      <c r="AC70" s="593"/>
      <c r="AD70" s="38"/>
      <c r="AE70" s="25"/>
      <c r="AF70" s="25"/>
      <c r="AG70" s="25"/>
      <c r="AH70" s="25"/>
      <c r="AI70" s="25"/>
      <c r="AJ70" s="25"/>
      <c r="AK70" s="25"/>
      <c r="AL70" s="25"/>
      <c r="AM70" s="25"/>
      <c r="AN70" s="25"/>
      <c r="AO70" s="25"/>
      <c r="AP70" s="25"/>
      <c r="AQ70" s="25"/>
      <c r="AR70" s="25"/>
      <c r="AS70" s="26"/>
      <c r="AT70" s="51"/>
      <c r="AU70" s="51"/>
      <c r="AV70" s="51"/>
      <c r="AW70" s="51"/>
      <c r="AX70" s="51"/>
      <c r="AY70" s="51"/>
      <c r="AZ70" s="51"/>
      <c r="BA70" s="51"/>
      <c r="BB70" s="51"/>
      <c r="BC70" s="51"/>
      <c r="BD70" s="52"/>
    </row>
    <row r="71" spans="1:56" ht="14.4" customHeight="1">
      <c r="A71" s="37" t="str">
        <f>IF(B71="","",COUNTA($B$8:B71))</f>
        <v/>
      </c>
      <c r="B71" s="26"/>
      <c r="C71" s="34"/>
      <c r="D71" s="34"/>
      <c r="E71" s="34"/>
      <c r="F71" s="34"/>
      <c r="G71" s="34"/>
      <c r="H71" s="34"/>
      <c r="I71" s="19"/>
      <c r="J71" s="27"/>
      <c r="K71" s="27"/>
      <c r="L71" s="27"/>
      <c r="M71" s="27"/>
      <c r="N71" s="27"/>
      <c r="O71" s="27"/>
      <c r="P71" s="27"/>
      <c r="Q71" s="27"/>
      <c r="R71" s="26"/>
      <c r="S71" s="34"/>
      <c r="T71" s="34"/>
      <c r="U71" s="34"/>
      <c r="V71" s="34"/>
      <c r="W71" s="34"/>
      <c r="X71" s="34"/>
      <c r="Y71" s="589"/>
      <c r="Z71" s="590"/>
      <c r="AA71" s="591"/>
      <c r="AB71" s="592"/>
      <c r="AC71" s="593"/>
      <c r="AD71" s="38"/>
      <c r="AE71" s="25"/>
      <c r="AF71" s="25"/>
      <c r="AG71" s="25"/>
      <c r="AH71" s="25"/>
      <c r="AI71" s="25"/>
      <c r="AJ71" s="25"/>
      <c r="AK71" s="25"/>
      <c r="AL71" s="25"/>
      <c r="AM71" s="25"/>
      <c r="AN71" s="25"/>
      <c r="AO71" s="25"/>
      <c r="AP71" s="25"/>
      <c r="AQ71" s="25"/>
      <c r="AR71" s="25"/>
      <c r="AS71" s="26"/>
      <c r="AT71" s="51"/>
      <c r="AU71" s="51"/>
      <c r="AV71" s="51"/>
      <c r="AW71" s="51"/>
      <c r="AX71" s="51"/>
      <c r="AY71" s="51"/>
      <c r="AZ71" s="51"/>
      <c r="BA71" s="51"/>
      <c r="BB71" s="51"/>
      <c r="BC71" s="51"/>
      <c r="BD71" s="52"/>
    </row>
    <row r="72" spans="1:56" ht="14.4" customHeight="1">
      <c r="A72" s="37" t="str">
        <f>IF(B72="","",COUNTA($B$8:B72))</f>
        <v/>
      </c>
      <c r="B72" s="26"/>
      <c r="C72" s="34"/>
      <c r="D72" s="34"/>
      <c r="E72" s="34"/>
      <c r="F72" s="34"/>
      <c r="G72" s="34"/>
      <c r="H72" s="34"/>
      <c r="I72" s="19"/>
      <c r="J72" s="27"/>
      <c r="K72" s="27"/>
      <c r="L72" s="27"/>
      <c r="M72" s="27"/>
      <c r="N72" s="27"/>
      <c r="O72" s="27"/>
      <c r="P72" s="27"/>
      <c r="Q72" s="27"/>
      <c r="R72" s="26"/>
      <c r="S72" s="34"/>
      <c r="T72" s="34"/>
      <c r="U72" s="34"/>
      <c r="V72" s="34"/>
      <c r="W72" s="34"/>
      <c r="X72" s="34"/>
      <c r="Y72" s="589"/>
      <c r="Z72" s="590"/>
      <c r="AA72" s="591"/>
      <c r="AB72" s="592"/>
      <c r="AC72" s="593"/>
      <c r="AD72" s="38"/>
      <c r="AE72" s="25"/>
      <c r="AF72" s="25"/>
      <c r="AG72" s="25"/>
      <c r="AH72" s="25"/>
      <c r="AI72" s="25"/>
      <c r="AJ72" s="25"/>
      <c r="AK72" s="25"/>
      <c r="AL72" s="25"/>
      <c r="AM72" s="25"/>
      <c r="AN72" s="25"/>
      <c r="AO72" s="25"/>
      <c r="AP72" s="25"/>
      <c r="AQ72" s="25"/>
      <c r="AR72" s="25"/>
      <c r="AS72" s="26"/>
      <c r="AT72" s="51"/>
      <c r="AU72" s="51"/>
      <c r="AV72" s="51"/>
      <c r="AW72" s="51"/>
      <c r="AX72" s="51"/>
      <c r="AY72" s="51"/>
      <c r="AZ72" s="51"/>
      <c r="BA72" s="51"/>
      <c r="BB72" s="51"/>
      <c r="BC72" s="51"/>
      <c r="BD72" s="52"/>
    </row>
    <row r="73" spans="1:56" ht="14.4" customHeight="1">
      <c r="A73" s="37" t="str">
        <f>IF(B73="","",COUNTA($B$8:B73))</f>
        <v/>
      </c>
      <c r="B73" s="26"/>
      <c r="C73" s="34"/>
      <c r="D73" s="34"/>
      <c r="E73" s="34"/>
      <c r="F73" s="34"/>
      <c r="G73" s="34"/>
      <c r="H73" s="34"/>
      <c r="I73" s="19"/>
      <c r="J73" s="27"/>
      <c r="K73" s="27"/>
      <c r="L73" s="27"/>
      <c r="M73" s="27"/>
      <c r="N73" s="27"/>
      <c r="O73" s="27"/>
      <c r="P73" s="27"/>
      <c r="Q73" s="27"/>
      <c r="R73" s="26"/>
      <c r="S73" s="34"/>
      <c r="T73" s="34"/>
      <c r="U73" s="34"/>
      <c r="V73" s="34"/>
      <c r="W73" s="34"/>
      <c r="X73" s="34"/>
      <c r="Y73" s="589"/>
      <c r="Z73" s="590"/>
      <c r="AA73" s="591"/>
      <c r="AB73" s="592"/>
      <c r="AC73" s="593"/>
      <c r="AD73" s="38"/>
      <c r="AE73" s="25"/>
      <c r="AF73" s="25"/>
      <c r="AG73" s="25"/>
      <c r="AH73" s="25"/>
      <c r="AI73" s="25"/>
      <c r="AJ73" s="25"/>
      <c r="AK73" s="25"/>
      <c r="AL73" s="25"/>
      <c r="AM73" s="25"/>
      <c r="AN73" s="25"/>
      <c r="AO73" s="25"/>
      <c r="AP73" s="25"/>
      <c r="AQ73" s="25"/>
      <c r="AR73" s="25"/>
      <c r="AS73" s="26"/>
      <c r="AT73" s="51"/>
      <c r="AU73" s="51"/>
      <c r="AV73" s="51"/>
      <c r="AW73" s="51"/>
      <c r="AX73" s="51"/>
      <c r="AY73" s="51"/>
      <c r="AZ73" s="51"/>
      <c r="BA73" s="51"/>
      <c r="BB73" s="51"/>
      <c r="BC73" s="51"/>
      <c r="BD73" s="52"/>
    </row>
    <row r="74" spans="1:56" ht="14.4" customHeight="1">
      <c r="A74" s="37" t="str">
        <f>IF(B74="","",COUNTA($B$8:B74))</f>
        <v/>
      </c>
      <c r="B74" s="26"/>
      <c r="C74" s="34"/>
      <c r="D74" s="34"/>
      <c r="E74" s="34"/>
      <c r="F74" s="34"/>
      <c r="G74" s="34"/>
      <c r="H74" s="34"/>
      <c r="I74" s="19"/>
      <c r="J74" s="27"/>
      <c r="K74" s="27"/>
      <c r="L74" s="27"/>
      <c r="M74" s="27"/>
      <c r="N74" s="27"/>
      <c r="O74" s="27"/>
      <c r="P74" s="27"/>
      <c r="Q74" s="27"/>
      <c r="R74" s="26"/>
      <c r="S74" s="34"/>
      <c r="T74" s="34"/>
      <c r="U74" s="34"/>
      <c r="V74" s="34"/>
      <c r="W74" s="34"/>
      <c r="X74" s="34"/>
      <c r="Y74" s="589"/>
      <c r="Z74" s="590"/>
      <c r="AA74" s="591"/>
      <c r="AB74" s="592"/>
      <c r="AC74" s="593"/>
      <c r="AD74" s="38"/>
      <c r="AE74" s="25"/>
      <c r="AF74" s="25"/>
      <c r="AG74" s="25"/>
      <c r="AH74" s="25"/>
      <c r="AI74" s="25"/>
      <c r="AJ74" s="25"/>
      <c r="AK74" s="25"/>
      <c r="AL74" s="25"/>
      <c r="AM74" s="25"/>
      <c r="AN74" s="25"/>
      <c r="AO74" s="25"/>
      <c r="AP74" s="25"/>
      <c r="AQ74" s="25"/>
      <c r="AR74" s="25"/>
      <c r="AS74" s="26"/>
      <c r="AT74" s="51"/>
      <c r="AU74" s="51"/>
      <c r="AV74" s="51"/>
      <c r="AW74" s="51"/>
      <c r="AX74" s="51"/>
      <c r="AY74" s="51"/>
      <c r="AZ74" s="51"/>
      <c r="BA74" s="51"/>
      <c r="BB74" s="51"/>
      <c r="BC74" s="51"/>
      <c r="BD74" s="52"/>
    </row>
    <row r="75" spans="1:56" ht="14.4" customHeight="1">
      <c r="A75" s="37" t="str">
        <f>IF(B75="","",COUNTA($B$8:B75))</f>
        <v/>
      </c>
      <c r="B75" s="26"/>
      <c r="C75" s="34"/>
      <c r="D75" s="34"/>
      <c r="E75" s="34"/>
      <c r="F75" s="34"/>
      <c r="G75" s="34"/>
      <c r="H75" s="34"/>
      <c r="I75" s="19"/>
      <c r="J75" s="27"/>
      <c r="K75" s="27"/>
      <c r="L75" s="27"/>
      <c r="M75" s="27"/>
      <c r="N75" s="27"/>
      <c r="O75" s="27"/>
      <c r="P75" s="27"/>
      <c r="Q75" s="27"/>
      <c r="R75" s="26"/>
      <c r="S75" s="34"/>
      <c r="T75" s="34"/>
      <c r="U75" s="34"/>
      <c r="V75" s="34"/>
      <c r="W75" s="34"/>
      <c r="X75" s="34"/>
      <c r="Y75" s="589"/>
      <c r="Z75" s="590"/>
      <c r="AA75" s="591"/>
      <c r="AB75" s="592"/>
      <c r="AC75" s="593"/>
      <c r="AD75" s="38"/>
      <c r="AE75" s="25"/>
      <c r="AF75" s="25"/>
      <c r="AG75" s="25"/>
      <c r="AH75" s="25"/>
      <c r="AI75" s="25"/>
      <c r="AJ75" s="25"/>
      <c r="AK75" s="25"/>
      <c r="AL75" s="25"/>
      <c r="AM75" s="25"/>
      <c r="AN75" s="25"/>
      <c r="AO75" s="25"/>
      <c r="AP75" s="25"/>
      <c r="AQ75" s="25"/>
      <c r="AR75" s="25"/>
      <c r="AS75" s="26"/>
      <c r="AT75" s="51"/>
      <c r="AU75" s="51"/>
      <c r="AV75" s="51"/>
      <c r="AW75" s="51"/>
      <c r="AX75" s="51"/>
      <c r="AY75" s="51"/>
      <c r="AZ75" s="51"/>
      <c r="BA75" s="51"/>
      <c r="BB75" s="51"/>
      <c r="BC75" s="51"/>
      <c r="BD75" s="52"/>
    </row>
    <row r="76" spans="1:56" ht="14.4" customHeight="1">
      <c r="A76" s="37" t="str">
        <f>IF(B76="","",COUNTA($B$8:B76))</f>
        <v/>
      </c>
      <c r="B76" s="26"/>
      <c r="C76" s="34"/>
      <c r="D76" s="34"/>
      <c r="E76" s="34"/>
      <c r="F76" s="34"/>
      <c r="G76" s="34"/>
      <c r="H76" s="34"/>
      <c r="I76" s="19"/>
      <c r="J76" s="27"/>
      <c r="K76" s="27"/>
      <c r="L76" s="27"/>
      <c r="M76" s="27"/>
      <c r="N76" s="27"/>
      <c r="O76" s="27"/>
      <c r="P76" s="27"/>
      <c r="Q76" s="27"/>
      <c r="R76" s="26"/>
      <c r="S76" s="34"/>
      <c r="T76" s="34"/>
      <c r="U76" s="34"/>
      <c r="V76" s="34"/>
      <c r="W76" s="34"/>
      <c r="X76" s="34"/>
      <c r="Y76" s="589"/>
      <c r="Z76" s="590"/>
      <c r="AA76" s="591"/>
      <c r="AB76" s="592"/>
      <c r="AC76" s="593"/>
      <c r="AD76" s="38"/>
      <c r="AE76" s="25"/>
      <c r="AF76" s="25"/>
      <c r="AG76" s="25"/>
      <c r="AH76" s="25"/>
      <c r="AI76" s="25"/>
      <c r="AJ76" s="25"/>
      <c r="AK76" s="25"/>
      <c r="AL76" s="25"/>
      <c r="AM76" s="25"/>
      <c r="AN76" s="25"/>
      <c r="AO76" s="25"/>
      <c r="AP76" s="25"/>
      <c r="AQ76" s="25"/>
      <c r="AR76" s="25"/>
      <c r="AS76" s="26"/>
      <c r="AT76" s="51"/>
      <c r="AU76" s="51"/>
      <c r="AV76" s="51"/>
      <c r="AW76" s="51"/>
      <c r="AX76" s="51"/>
      <c r="AY76" s="51"/>
      <c r="AZ76" s="51"/>
      <c r="BA76" s="51"/>
      <c r="BB76" s="51"/>
      <c r="BC76" s="51"/>
      <c r="BD76" s="52"/>
    </row>
    <row r="77" spans="1:56" ht="14.4" customHeight="1">
      <c r="A77" s="37" t="str">
        <f>IF(B77="","",COUNTA($B$8:B77))</f>
        <v/>
      </c>
      <c r="B77" s="26"/>
      <c r="C77" s="34"/>
      <c r="D77" s="34"/>
      <c r="E77" s="34"/>
      <c r="F77" s="34"/>
      <c r="G77" s="34"/>
      <c r="H77" s="34"/>
      <c r="I77" s="19"/>
      <c r="J77" s="27"/>
      <c r="K77" s="27"/>
      <c r="L77" s="27"/>
      <c r="M77" s="27"/>
      <c r="N77" s="27"/>
      <c r="O77" s="27"/>
      <c r="P77" s="27"/>
      <c r="Q77" s="27"/>
      <c r="R77" s="26"/>
      <c r="S77" s="34"/>
      <c r="T77" s="34"/>
      <c r="U77" s="34"/>
      <c r="V77" s="34"/>
      <c r="W77" s="34"/>
      <c r="X77" s="34"/>
      <c r="Y77" s="589"/>
      <c r="Z77" s="590"/>
      <c r="AA77" s="591"/>
      <c r="AB77" s="592"/>
      <c r="AC77" s="593"/>
      <c r="AD77" s="38"/>
      <c r="AE77" s="25"/>
      <c r="AF77" s="25"/>
      <c r="AG77" s="25"/>
      <c r="AH77" s="25"/>
      <c r="AI77" s="25"/>
      <c r="AJ77" s="25"/>
      <c r="AK77" s="25"/>
      <c r="AL77" s="25"/>
      <c r="AM77" s="25"/>
      <c r="AN77" s="25"/>
      <c r="AO77" s="25"/>
      <c r="AP77" s="25"/>
      <c r="AQ77" s="25"/>
      <c r="AR77" s="25"/>
      <c r="AS77" s="26"/>
      <c r="AT77" s="51"/>
      <c r="AU77" s="51"/>
      <c r="AV77" s="51"/>
      <c r="AW77" s="51"/>
      <c r="AX77" s="51"/>
      <c r="AY77" s="51"/>
      <c r="AZ77" s="51"/>
      <c r="BA77" s="51"/>
      <c r="BB77" s="51"/>
      <c r="BC77" s="51"/>
      <c r="BD77" s="52"/>
    </row>
    <row r="78" spans="1:56" ht="14.4" customHeight="1">
      <c r="A78" s="37" t="str">
        <f>IF(B78="","",COUNTA($B$8:B78))</f>
        <v/>
      </c>
      <c r="B78" s="26"/>
      <c r="C78" s="34"/>
      <c r="D78" s="34"/>
      <c r="E78" s="34"/>
      <c r="F78" s="34"/>
      <c r="G78" s="34"/>
      <c r="H78" s="34"/>
      <c r="I78" s="19"/>
      <c r="J78" s="27"/>
      <c r="K78" s="27"/>
      <c r="L78" s="27"/>
      <c r="M78" s="27"/>
      <c r="N78" s="27"/>
      <c r="O78" s="27"/>
      <c r="P78" s="27"/>
      <c r="Q78" s="27"/>
      <c r="R78" s="26"/>
      <c r="S78" s="34"/>
      <c r="T78" s="34"/>
      <c r="U78" s="34"/>
      <c r="V78" s="34"/>
      <c r="W78" s="34"/>
      <c r="X78" s="34"/>
      <c r="Y78" s="589"/>
      <c r="Z78" s="590"/>
      <c r="AA78" s="591"/>
      <c r="AB78" s="592"/>
      <c r="AC78" s="593"/>
      <c r="AD78" s="38"/>
      <c r="AE78" s="25"/>
      <c r="AF78" s="25"/>
      <c r="AG78" s="25"/>
      <c r="AH78" s="25"/>
      <c r="AI78" s="25"/>
      <c r="AJ78" s="25"/>
      <c r="AK78" s="25"/>
      <c r="AL78" s="25"/>
      <c r="AM78" s="25"/>
      <c r="AN78" s="25"/>
      <c r="AO78" s="25"/>
      <c r="AP78" s="25"/>
      <c r="AQ78" s="25"/>
      <c r="AR78" s="25"/>
      <c r="AS78" s="26"/>
      <c r="AT78" s="51"/>
      <c r="AU78" s="51"/>
      <c r="AV78" s="51"/>
      <c r="AW78" s="51"/>
      <c r="AX78" s="51"/>
      <c r="AY78" s="51"/>
      <c r="AZ78" s="51"/>
      <c r="BA78" s="51"/>
      <c r="BB78" s="51"/>
      <c r="BC78" s="51"/>
      <c r="BD78" s="52"/>
    </row>
    <row r="79" spans="1:56" ht="14.4" customHeight="1">
      <c r="A79" s="37" t="str">
        <f>IF(B79="","",COUNTA($B$8:B79))</f>
        <v/>
      </c>
      <c r="B79" s="26"/>
      <c r="C79" s="34"/>
      <c r="D79" s="34"/>
      <c r="E79" s="34"/>
      <c r="F79" s="34"/>
      <c r="G79" s="34"/>
      <c r="H79" s="34"/>
      <c r="I79" s="19"/>
      <c r="J79" s="27"/>
      <c r="K79" s="27"/>
      <c r="L79" s="27"/>
      <c r="M79" s="27"/>
      <c r="N79" s="27"/>
      <c r="O79" s="27"/>
      <c r="P79" s="27"/>
      <c r="Q79" s="27"/>
      <c r="R79" s="26"/>
      <c r="S79" s="34"/>
      <c r="T79" s="34"/>
      <c r="U79" s="34"/>
      <c r="V79" s="34"/>
      <c r="W79" s="34"/>
      <c r="X79" s="34"/>
      <c r="Y79" s="589"/>
      <c r="Z79" s="590"/>
      <c r="AA79" s="591"/>
      <c r="AB79" s="592"/>
      <c r="AC79" s="593"/>
      <c r="AD79" s="38"/>
      <c r="AE79" s="25"/>
      <c r="AF79" s="25"/>
      <c r="AG79" s="25"/>
      <c r="AH79" s="25"/>
      <c r="AI79" s="25"/>
      <c r="AJ79" s="25"/>
      <c r="AK79" s="25"/>
      <c r="AL79" s="25"/>
      <c r="AM79" s="25"/>
      <c r="AN79" s="25"/>
      <c r="AO79" s="25"/>
      <c r="AP79" s="25"/>
      <c r="AQ79" s="25"/>
      <c r="AR79" s="25"/>
      <c r="AS79" s="26"/>
      <c r="AT79" s="51"/>
      <c r="AU79" s="51"/>
      <c r="AV79" s="51"/>
      <c r="AW79" s="51"/>
      <c r="AX79" s="51"/>
      <c r="AY79" s="51"/>
      <c r="AZ79" s="51"/>
      <c r="BA79" s="51"/>
      <c r="BB79" s="51"/>
      <c r="BC79" s="51"/>
      <c r="BD79" s="52"/>
    </row>
    <row r="80" spans="1:56" ht="14.4" customHeight="1">
      <c r="A80" s="37" t="str">
        <f>IF(B80="","",COUNTA($B$8:B80))</f>
        <v/>
      </c>
      <c r="B80" s="26"/>
      <c r="C80" s="34"/>
      <c r="D80" s="34"/>
      <c r="E80" s="34"/>
      <c r="F80" s="34"/>
      <c r="G80" s="34"/>
      <c r="H80" s="34"/>
      <c r="I80" s="19"/>
      <c r="J80" s="27"/>
      <c r="K80" s="27"/>
      <c r="L80" s="27"/>
      <c r="M80" s="27"/>
      <c r="N80" s="27"/>
      <c r="O80" s="27"/>
      <c r="P80" s="27"/>
      <c r="Q80" s="27"/>
      <c r="R80" s="26"/>
      <c r="S80" s="34"/>
      <c r="T80" s="34"/>
      <c r="U80" s="34"/>
      <c r="V80" s="34"/>
      <c r="W80" s="34"/>
      <c r="X80" s="34"/>
      <c r="Y80" s="589"/>
      <c r="Z80" s="590"/>
      <c r="AA80" s="591"/>
      <c r="AB80" s="592"/>
      <c r="AC80" s="593"/>
      <c r="AD80" s="38"/>
      <c r="AE80" s="25"/>
      <c r="AF80" s="25"/>
      <c r="AG80" s="25"/>
      <c r="AH80" s="25"/>
      <c r="AI80" s="25"/>
      <c r="AJ80" s="25"/>
      <c r="AK80" s="25"/>
      <c r="AL80" s="25"/>
      <c r="AM80" s="25"/>
      <c r="AN80" s="25"/>
      <c r="AO80" s="25"/>
      <c r="AP80" s="25"/>
      <c r="AQ80" s="25"/>
      <c r="AR80" s="25"/>
      <c r="AS80" s="26"/>
      <c r="AT80" s="51"/>
      <c r="AU80" s="51"/>
      <c r="AV80" s="51"/>
      <c r="AW80" s="51"/>
      <c r="AX80" s="51"/>
      <c r="AY80" s="51"/>
      <c r="AZ80" s="51"/>
      <c r="BA80" s="51"/>
      <c r="BB80" s="51"/>
      <c r="BC80" s="51"/>
      <c r="BD80" s="52"/>
    </row>
    <row r="81" spans="1:56" ht="14.4" customHeight="1">
      <c r="A81" s="37" t="str">
        <f>IF(B81="","",COUNTA($B$8:B81))</f>
        <v/>
      </c>
      <c r="B81" s="26"/>
      <c r="C81" s="34"/>
      <c r="D81" s="34"/>
      <c r="E81" s="34"/>
      <c r="F81" s="34"/>
      <c r="G81" s="34"/>
      <c r="H81" s="34"/>
      <c r="I81" s="19"/>
      <c r="J81" s="27"/>
      <c r="K81" s="27"/>
      <c r="L81" s="27"/>
      <c r="M81" s="27"/>
      <c r="N81" s="27"/>
      <c r="O81" s="27"/>
      <c r="P81" s="27"/>
      <c r="Q81" s="27"/>
      <c r="R81" s="26"/>
      <c r="S81" s="34"/>
      <c r="T81" s="34"/>
      <c r="U81" s="34"/>
      <c r="V81" s="34"/>
      <c r="W81" s="34"/>
      <c r="X81" s="34"/>
      <c r="Y81" s="589"/>
      <c r="Z81" s="590"/>
      <c r="AA81" s="591"/>
      <c r="AB81" s="592"/>
      <c r="AC81" s="593"/>
      <c r="AD81" s="38"/>
      <c r="AE81" s="25"/>
      <c r="AF81" s="25"/>
      <c r="AG81" s="25"/>
      <c r="AH81" s="25"/>
      <c r="AI81" s="25"/>
      <c r="AJ81" s="25"/>
      <c r="AK81" s="25"/>
      <c r="AL81" s="25"/>
      <c r="AM81" s="25"/>
      <c r="AN81" s="25"/>
      <c r="AO81" s="25"/>
      <c r="AP81" s="25"/>
      <c r="AQ81" s="25"/>
      <c r="AR81" s="25"/>
      <c r="AS81" s="26"/>
      <c r="AT81" s="51"/>
      <c r="AU81" s="51"/>
      <c r="AV81" s="51"/>
      <c r="AW81" s="51"/>
      <c r="AX81" s="51"/>
      <c r="AY81" s="51"/>
      <c r="AZ81" s="51"/>
      <c r="BA81" s="51"/>
      <c r="BB81" s="51"/>
      <c r="BC81" s="51"/>
      <c r="BD81" s="52"/>
    </row>
    <row r="82" spans="1:56" ht="14.4" customHeight="1">
      <c r="A82" s="37" t="str">
        <f>IF(B82="","",COUNTA($B$8:B82))</f>
        <v/>
      </c>
      <c r="B82" s="26"/>
      <c r="C82" s="34"/>
      <c r="D82" s="34"/>
      <c r="E82" s="34"/>
      <c r="F82" s="34"/>
      <c r="G82" s="34"/>
      <c r="H82" s="34"/>
      <c r="I82" s="19"/>
      <c r="J82" s="27"/>
      <c r="K82" s="27"/>
      <c r="L82" s="27"/>
      <c r="M82" s="27"/>
      <c r="N82" s="27"/>
      <c r="O82" s="27"/>
      <c r="P82" s="27"/>
      <c r="Q82" s="27"/>
      <c r="R82" s="26"/>
      <c r="S82" s="34"/>
      <c r="T82" s="34"/>
      <c r="U82" s="34"/>
      <c r="V82" s="34"/>
      <c r="W82" s="34"/>
      <c r="X82" s="34"/>
      <c r="Y82" s="589"/>
      <c r="Z82" s="590"/>
      <c r="AA82" s="591"/>
      <c r="AB82" s="592"/>
      <c r="AC82" s="593"/>
      <c r="AD82" s="38"/>
      <c r="AE82" s="25"/>
      <c r="AF82" s="25"/>
      <c r="AG82" s="25"/>
      <c r="AH82" s="25"/>
      <c r="AI82" s="25"/>
      <c r="AJ82" s="25"/>
      <c r="AK82" s="25"/>
      <c r="AL82" s="25"/>
      <c r="AM82" s="25"/>
      <c r="AN82" s="25"/>
      <c r="AO82" s="25"/>
      <c r="AP82" s="25"/>
      <c r="AQ82" s="25"/>
      <c r="AR82" s="25"/>
      <c r="AS82" s="26"/>
      <c r="AT82" s="51"/>
      <c r="AU82" s="51"/>
      <c r="AV82" s="51"/>
      <c r="AW82" s="51"/>
      <c r="AX82" s="51"/>
      <c r="AY82" s="51"/>
      <c r="AZ82" s="51"/>
      <c r="BA82" s="51"/>
      <c r="BB82" s="51"/>
      <c r="BC82" s="51"/>
      <c r="BD82" s="52"/>
    </row>
    <row r="83" spans="1:56" ht="14.4" customHeight="1">
      <c r="A83" s="37" t="str">
        <f>IF(B83="","",COUNTA($B$8:B83))</f>
        <v/>
      </c>
      <c r="B83" s="26"/>
      <c r="C83" s="34"/>
      <c r="D83" s="34"/>
      <c r="E83" s="34"/>
      <c r="F83" s="34"/>
      <c r="G83" s="34"/>
      <c r="H83" s="34"/>
      <c r="I83" s="19"/>
      <c r="J83" s="27"/>
      <c r="K83" s="27"/>
      <c r="L83" s="27"/>
      <c r="M83" s="27"/>
      <c r="N83" s="27"/>
      <c r="O83" s="27"/>
      <c r="P83" s="27"/>
      <c r="Q83" s="27"/>
      <c r="R83" s="26"/>
      <c r="S83" s="34"/>
      <c r="T83" s="34"/>
      <c r="U83" s="34"/>
      <c r="V83" s="34"/>
      <c r="W83" s="34"/>
      <c r="X83" s="34"/>
      <c r="Y83" s="589"/>
      <c r="Z83" s="590"/>
      <c r="AA83" s="591"/>
      <c r="AB83" s="592"/>
      <c r="AC83" s="593"/>
      <c r="AD83" s="38"/>
      <c r="AE83" s="25"/>
      <c r="AF83" s="25"/>
      <c r="AG83" s="25"/>
      <c r="AH83" s="25"/>
      <c r="AI83" s="25"/>
      <c r="AJ83" s="25"/>
      <c r="AK83" s="25"/>
      <c r="AL83" s="25"/>
      <c r="AM83" s="25"/>
      <c r="AN83" s="25"/>
      <c r="AO83" s="25"/>
      <c r="AP83" s="25"/>
      <c r="AQ83" s="25"/>
      <c r="AR83" s="25"/>
      <c r="AS83" s="26"/>
      <c r="AT83" s="51"/>
      <c r="AU83" s="51"/>
      <c r="AV83" s="51"/>
      <c r="AW83" s="51"/>
      <c r="AX83" s="51"/>
      <c r="AY83" s="51"/>
      <c r="AZ83" s="51"/>
      <c r="BA83" s="51"/>
      <c r="BB83" s="51"/>
      <c r="BC83" s="51"/>
      <c r="BD83" s="52"/>
    </row>
    <row r="84" spans="1:56" ht="14.4" customHeight="1">
      <c r="A84" s="37" t="str">
        <f>IF(B84="","",COUNTA($B$8:B84))</f>
        <v/>
      </c>
      <c r="B84" s="26"/>
      <c r="C84" s="34"/>
      <c r="D84" s="34"/>
      <c r="E84" s="34"/>
      <c r="F84" s="34"/>
      <c r="G84" s="34"/>
      <c r="H84" s="34"/>
      <c r="I84" s="19"/>
      <c r="J84" s="27"/>
      <c r="K84" s="27"/>
      <c r="L84" s="27"/>
      <c r="M84" s="27"/>
      <c r="N84" s="27"/>
      <c r="O84" s="27"/>
      <c r="P84" s="27"/>
      <c r="Q84" s="27"/>
      <c r="R84" s="26"/>
      <c r="S84" s="34"/>
      <c r="T84" s="34"/>
      <c r="U84" s="34"/>
      <c r="V84" s="34"/>
      <c r="W84" s="34"/>
      <c r="X84" s="34"/>
      <c r="Y84" s="589"/>
      <c r="Z84" s="590"/>
      <c r="AA84" s="591"/>
      <c r="AB84" s="592"/>
      <c r="AC84" s="593"/>
      <c r="AD84" s="38"/>
      <c r="AE84" s="25"/>
      <c r="AF84" s="25"/>
      <c r="AG84" s="25"/>
      <c r="AH84" s="25"/>
      <c r="AI84" s="25"/>
      <c r="AJ84" s="25"/>
      <c r="AK84" s="25"/>
      <c r="AL84" s="25"/>
      <c r="AM84" s="25"/>
      <c r="AN84" s="25"/>
      <c r="AO84" s="25"/>
      <c r="AP84" s="25"/>
      <c r="AQ84" s="25"/>
      <c r="AR84" s="25"/>
      <c r="AS84" s="26"/>
      <c r="AT84" s="51"/>
      <c r="AU84" s="51"/>
      <c r="AV84" s="51"/>
      <c r="AW84" s="51"/>
      <c r="AX84" s="51"/>
      <c r="AY84" s="51"/>
      <c r="AZ84" s="51"/>
      <c r="BA84" s="51"/>
      <c r="BB84" s="51"/>
      <c r="BC84" s="51"/>
      <c r="BD84" s="52"/>
    </row>
    <row r="85" spans="1:56" ht="14.4" customHeight="1">
      <c r="A85" s="37" t="str">
        <f>IF(B85="","",COUNTA($B$8:B85))</f>
        <v/>
      </c>
      <c r="B85" s="26"/>
      <c r="C85" s="34"/>
      <c r="D85" s="34"/>
      <c r="E85" s="34"/>
      <c r="F85" s="34"/>
      <c r="G85" s="34"/>
      <c r="H85" s="34"/>
      <c r="I85" s="19"/>
      <c r="J85" s="27"/>
      <c r="K85" s="27"/>
      <c r="L85" s="27"/>
      <c r="M85" s="27"/>
      <c r="N85" s="27"/>
      <c r="O85" s="27"/>
      <c r="P85" s="27"/>
      <c r="Q85" s="27"/>
      <c r="R85" s="26"/>
      <c r="S85" s="34"/>
      <c r="T85" s="34"/>
      <c r="U85" s="34"/>
      <c r="V85" s="34"/>
      <c r="W85" s="34"/>
      <c r="X85" s="34"/>
      <c r="Y85" s="589"/>
      <c r="Z85" s="590"/>
      <c r="AA85" s="591"/>
      <c r="AB85" s="592"/>
      <c r="AC85" s="593"/>
      <c r="AD85" s="38"/>
      <c r="AE85" s="25"/>
      <c r="AF85" s="25"/>
      <c r="AG85" s="25"/>
      <c r="AH85" s="25"/>
      <c r="AI85" s="25"/>
      <c r="AJ85" s="25"/>
      <c r="AK85" s="25"/>
      <c r="AL85" s="25"/>
      <c r="AM85" s="25"/>
      <c r="AN85" s="25"/>
      <c r="AO85" s="25"/>
      <c r="AP85" s="25"/>
      <c r="AQ85" s="25"/>
      <c r="AR85" s="25"/>
      <c r="AS85" s="26"/>
      <c r="AT85" s="51"/>
      <c r="AU85" s="51"/>
      <c r="AV85" s="51"/>
      <c r="AW85" s="51"/>
      <c r="AX85" s="51"/>
      <c r="AY85" s="51"/>
      <c r="AZ85" s="51"/>
      <c r="BA85" s="51"/>
      <c r="BB85" s="51"/>
      <c r="BC85" s="51"/>
      <c r="BD85" s="52"/>
    </row>
  </sheetData>
  <mergeCells count="162">
    <mergeCell ref="AA47:AC47"/>
    <mergeCell ref="Y48:Z48"/>
    <mergeCell ref="AA48:AC48"/>
    <mergeCell ref="Y49:Z49"/>
    <mergeCell ref="AA49:AC49"/>
    <mergeCell ref="Y46:Z46"/>
    <mergeCell ref="Y62:Z62"/>
    <mergeCell ref="AA62:AC62"/>
    <mergeCell ref="Y51:Z51"/>
    <mergeCell ref="AA51:AC51"/>
    <mergeCell ref="Y52:Z52"/>
    <mergeCell ref="AA52:AC52"/>
    <mergeCell ref="Y53:Z53"/>
    <mergeCell ref="AA53:AC53"/>
    <mergeCell ref="Y50:Z50"/>
    <mergeCell ref="AA50:AC50"/>
    <mergeCell ref="AZ1:BD1"/>
    <mergeCell ref="Y22:Z22"/>
    <mergeCell ref="AA22:AC22"/>
    <mergeCell ref="AA43:AC43"/>
    <mergeCell ref="AA36:AC36"/>
    <mergeCell ref="Y42:Z42"/>
    <mergeCell ref="AA42:AC42"/>
    <mergeCell ref="Y36:Z36"/>
    <mergeCell ref="Y37:Z37"/>
    <mergeCell ref="Y33:Z33"/>
    <mergeCell ref="AA33:AC33"/>
    <mergeCell ref="AA8:AC8"/>
    <mergeCell ref="Y34:Z34"/>
    <mergeCell ref="AA34:AC34"/>
    <mergeCell ref="AA12:AC12"/>
    <mergeCell ref="Y9:Z9"/>
    <mergeCell ref="AA9:AC9"/>
    <mergeCell ref="Y10:Z10"/>
    <mergeCell ref="AA10:AC10"/>
    <mergeCell ref="Y11:Z11"/>
    <mergeCell ref="AA11:AC11"/>
    <mergeCell ref="Y19:Z19"/>
    <mergeCell ref="Y40:Z40"/>
    <mergeCell ref="AA40:AC40"/>
    <mergeCell ref="AZ2:BD2"/>
    <mergeCell ref="AP3:AT3"/>
    <mergeCell ref="Y4:AO4"/>
    <mergeCell ref="AZ4:BD4"/>
    <mergeCell ref="AP4:AT4"/>
    <mergeCell ref="AG6:AG7"/>
    <mergeCell ref="AZ3:BD3"/>
    <mergeCell ref="Y26:Z26"/>
    <mergeCell ref="AA46:AC46"/>
    <mergeCell ref="Y28:Z28"/>
    <mergeCell ref="AA32:AC32"/>
    <mergeCell ref="Y41:Z41"/>
    <mergeCell ref="AA41:AC41"/>
    <mergeCell ref="AA44:AC44"/>
    <mergeCell ref="Y44:Z44"/>
    <mergeCell ref="AA45:AC45"/>
    <mergeCell ref="Y27:Z27"/>
    <mergeCell ref="AA27:AC27"/>
    <mergeCell ref="Y17:Z17"/>
    <mergeCell ref="AA17:AC17"/>
    <mergeCell ref="Y21:Z21"/>
    <mergeCell ref="AA21:AC21"/>
    <mergeCell ref="Y20:Z20"/>
    <mergeCell ref="AA20:AC20"/>
    <mergeCell ref="AA26:AC26"/>
    <mergeCell ref="AA23:AC23"/>
    <mergeCell ref="AA24:AC24"/>
    <mergeCell ref="AA19:AC19"/>
    <mergeCell ref="A1:H4"/>
    <mergeCell ref="I1:Q1"/>
    <mergeCell ref="R1:X1"/>
    <mergeCell ref="Y1:AO1"/>
    <mergeCell ref="AP1:AT1"/>
    <mergeCell ref="AU1:AY1"/>
    <mergeCell ref="AU3:AY3"/>
    <mergeCell ref="A6:A7"/>
    <mergeCell ref="B6:H7"/>
    <mergeCell ref="I6:Q7"/>
    <mergeCell ref="R6:X7"/>
    <mergeCell ref="R2:X4"/>
    <mergeCell ref="AU4:AY4"/>
    <mergeCell ref="I2:Q4"/>
    <mergeCell ref="AH6:AH7"/>
    <mergeCell ref="AI6:AR6"/>
    <mergeCell ref="AS6:BD7"/>
    <mergeCell ref="AA6:AC7"/>
    <mergeCell ref="AD6:AD7"/>
    <mergeCell ref="AE6:AE7"/>
    <mergeCell ref="AF6:AF7"/>
    <mergeCell ref="Y6:Z7"/>
    <mergeCell ref="Y2:AO3"/>
    <mergeCell ref="AP2:AT2"/>
    <mergeCell ref="Y31:Z31"/>
    <mergeCell ref="AA31:AC31"/>
    <mergeCell ref="Y12:Z12"/>
    <mergeCell ref="Y13:Z13"/>
    <mergeCell ref="AA13:AC13"/>
    <mergeCell ref="Y14:Z14"/>
    <mergeCell ref="AA14:AC14"/>
    <mergeCell ref="Y43:Z43"/>
    <mergeCell ref="Y35:Z35"/>
    <mergeCell ref="AA35:AC35"/>
    <mergeCell ref="AA28:AC28"/>
    <mergeCell ref="AA30:AC30"/>
    <mergeCell ref="AA25:AC25"/>
    <mergeCell ref="Y18:Z18"/>
    <mergeCell ref="AA18:AC18"/>
    <mergeCell ref="Y15:Z15"/>
    <mergeCell ref="AA15:AC15"/>
    <mergeCell ref="Y16:Z16"/>
    <mergeCell ref="AA16:AC16"/>
    <mergeCell ref="AA37:AC37"/>
    <mergeCell ref="Y38:Z38"/>
    <mergeCell ref="AA38:AC38"/>
    <mergeCell ref="Y39:Z39"/>
    <mergeCell ref="AA39:AC39"/>
    <mergeCell ref="Y63:Z63"/>
    <mergeCell ref="AA63:AC63"/>
    <mergeCell ref="Y64:Z64"/>
    <mergeCell ref="AA64:AC64"/>
    <mergeCell ref="Y65:Z65"/>
    <mergeCell ref="AA65:AC65"/>
    <mergeCell ref="Y66:Z66"/>
    <mergeCell ref="AA66:AC66"/>
    <mergeCell ref="Y67:Z67"/>
    <mergeCell ref="AA67:AC67"/>
    <mergeCell ref="Y68:Z68"/>
    <mergeCell ref="AA68:AC68"/>
    <mergeCell ref="Y69:Z69"/>
    <mergeCell ref="AA69:AC69"/>
    <mergeCell ref="Y70:Z70"/>
    <mergeCell ref="AA70:AC70"/>
    <mergeCell ref="Y71:Z71"/>
    <mergeCell ref="AA71:AC71"/>
    <mergeCell ref="Y72:Z72"/>
    <mergeCell ref="AA72:AC72"/>
    <mergeCell ref="Y73:Z73"/>
    <mergeCell ref="AA73:AC73"/>
    <mergeCell ref="Y74:Z74"/>
    <mergeCell ref="AA74:AC74"/>
    <mergeCell ref="Y75:Z75"/>
    <mergeCell ref="AA75:AC75"/>
    <mergeCell ref="Y76:Z76"/>
    <mergeCell ref="AA76:AC76"/>
    <mergeCell ref="Y77:Z77"/>
    <mergeCell ref="AA77:AC77"/>
    <mergeCell ref="Y83:Z83"/>
    <mergeCell ref="AA83:AC83"/>
    <mergeCell ref="Y84:Z84"/>
    <mergeCell ref="AA84:AC84"/>
    <mergeCell ref="Y85:Z85"/>
    <mergeCell ref="AA85:AC85"/>
    <mergeCell ref="Y78:Z78"/>
    <mergeCell ref="AA78:AC78"/>
    <mergeCell ref="Y79:Z79"/>
    <mergeCell ref="AA79:AC79"/>
    <mergeCell ref="Y80:Z80"/>
    <mergeCell ref="AA80:AC80"/>
    <mergeCell ref="Y81:Z81"/>
    <mergeCell ref="AA81:AC81"/>
    <mergeCell ref="Y82:Z82"/>
    <mergeCell ref="AA82:AC82"/>
  </mergeCells>
  <phoneticPr fontId="12"/>
  <dataValidations count="3">
    <dataValidation imeMode="hiragana" allowBlank="1" showInputMessage="1" showErrorMessage="1" sqref="JG65536:JR65538 TC65536:TN65538 ACY65536:ADJ65538 AMU65536:ANF65538 AWQ65536:AXB65538 BGM65536:BGX65538 BQI65536:BQT65538 CAE65536:CAP65538 CKA65536:CKL65538 CTW65536:CUH65538 DDS65536:DED65538 DNO65536:DNZ65538 DXK65536:DXV65538 EHG65536:EHR65538 ERC65536:ERN65538 FAY65536:FBJ65538 FKU65536:FLF65538 FUQ65536:FVB65538 GEM65536:GEX65538 GOI65536:GOT65538 GYE65536:GYP65538 HIA65536:HIL65538 HRW65536:HSH65538 IBS65536:ICD65538 ILO65536:ILZ65538 IVK65536:IVV65538 JFG65536:JFR65538 JPC65536:JPN65538 JYY65536:JZJ65538 KIU65536:KJF65538 KSQ65536:KTB65538 LCM65536:LCX65538 LMI65536:LMT65538 LWE65536:LWP65538 MGA65536:MGL65538 MPW65536:MQH65538 MZS65536:NAD65538 NJO65536:NJZ65538 NTK65536:NTV65538 ODG65536:ODR65538 ONC65536:ONN65538 OWY65536:OXJ65538 PGU65536:PHF65538 PQQ65536:PRB65538 QAM65536:QAX65538 QKI65536:QKT65538 QUE65536:QUP65538 REA65536:REL65538 RNW65536:ROH65538 RXS65536:RYD65538 SHO65536:SHZ65538 SRK65536:SRV65538 TBG65536:TBR65538 TLC65536:TLN65538 TUY65536:TVJ65538 UEU65536:UFF65538 UOQ65536:UPB65538 UYM65536:UYX65538 VII65536:VIT65538 VSE65536:VSP65538 WCA65536:WCL65538 WLW65536:WMH65538 WVS65536:WWD65538 JG131072:JR131074 TC131072:TN131074 ACY131072:ADJ131074 AMU131072:ANF131074 AWQ131072:AXB131074 BGM131072:BGX131074 BQI131072:BQT131074 CAE131072:CAP131074 CKA131072:CKL131074 CTW131072:CUH131074 DDS131072:DED131074 DNO131072:DNZ131074 DXK131072:DXV131074 EHG131072:EHR131074 ERC131072:ERN131074 FAY131072:FBJ131074 FKU131072:FLF131074 FUQ131072:FVB131074 GEM131072:GEX131074 GOI131072:GOT131074 GYE131072:GYP131074 HIA131072:HIL131074 HRW131072:HSH131074 IBS131072:ICD131074 ILO131072:ILZ131074 IVK131072:IVV131074 JFG131072:JFR131074 JPC131072:JPN131074 JYY131072:JZJ131074 KIU131072:KJF131074 KSQ131072:KTB131074 LCM131072:LCX131074 LMI131072:LMT131074 LWE131072:LWP131074 MGA131072:MGL131074 MPW131072:MQH131074 MZS131072:NAD131074 NJO131072:NJZ131074 NTK131072:NTV131074 ODG131072:ODR131074 ONC131072:ONN131074 OWY131072:OXJ131074 PGU131072:PHF131074 PQQ131072:PRB131074 QAM131072:QAX131074 QKI131072:QKT131074 QUE131072:QUP131074 REA131072:REL131074 RNW131072:ROH131074 RXS131072:RYD131074 SHO131072:SHZ131074 SRK131072:SRV131074 TBG131072:TBR131074 TLC131072:TLN131074 TUY131072:TVJ131074 UEU131072:UFF131074 UOQ131072:UPB131074 UYM131072:UYX131074 VII131072:VIT131074 VSE131072:VSP131074 WCA131072:WCL131074 WLW131072:WMH131074 WVS131072:WWD131074 JG196608:JR196610 TC196608:TN196610 ACY196608:ADJ196610 AMU196608:ANF196610 AWQ196608:AXB196610 BGM196608:BGX196610 BQI196608:BQT196610 CAE196608:CAP196610 CKA196608:CKL196610 CTW196608:CUH196610 DDS196608:DED196610 DNO196608:DNZ196610 DXK196608:DXV196610 EHG196608:EHR196610 ERC196608:ERN196610 FAY196608:FBJ196610 FKU196608:FLF196610 FUQ196608:FVB196610 GEM196608:GEX196610 GOI196608:GOT196610 GYE196608:GYP196610 HIA196608:HIL196610 HRW196608:HSH196610 IBS196608:ICD196610 ILO196608:ILZ196610 IVK196608:IVV196610 JFG196608:JFR196610 JPC196608:JPN196610 JYY196608:JZJ196610 KIU196608:KJF196610 KSQ196608:KTB196610 LCM196608:LCX196610 LMI196608:LMT196610 LWE196608:LWP196610 MGA196608:MGL196610 MPW196608:MQH196610 MZS196608:NAD196610 NJO196608:NJZ196610 NTK196608:NTV196610 ODG196608:ODR196610 ONC196608:ONN196610 OWY196608:OXJ196610 PGU196608:PHF196610 PQQ196608:PRB196610 QAM196608:QAX196610 QKI196608:QKT196610 QUE196608:QUP196610 REA196608:REL196610 RNW196608:ROH196610 RXS196608:RYD196610 SHO196608:SHZ196610 SRK196608:SRV196610 TBG196608:TBR196610 TLC196608:TLN196610 TUY196608:TVJ196610 UEU196608:UFF196610 UOQ196608:UPB196610 UYM196608:UYX196610 VII196608:VIT196610 VSE196608:VSP196610 WCA196608:WCL196610 WLW196608:WMH196610 WVS196608:WWD196610 JG262144:JR262146 TC262144:TN262146 ACY262144:ADJ262146 AMU262144:ANF262146 AWQ262144:AXB262146 BGM262144:BGX262146 BQI262144:BQT262146 CAE262144:CAP262146 CKA262144:CKL262146 CTW262144:CUH262146 DDS262144:DED262146 DNO262144:DNZ262146 DXK262144:DXV262146 EHG262144:EHR262146 ERC262144:ERN262146 FAY262144:FBJ262146 FKU262144:FLF262146 FUQ262144:FVB262146 GEM262144:GEX262146 GOI262144:GOT262146 GYE262144:GYP262146 HIA262144:HIL262146 HRW262144:HSH262146 IBS262144:ICD262146 ILO262144:ILZ262146 IVK262144:IVV262146 JFG262144:JFR262146 JPC262144:JPN262146 JYY262144:JZJ262146 KIU262144:KJF262146 KSQ262144:KTB262146 LCM262144:LCX262146 LMI262144:LMT262146 LWE262144:LWP262146 MGA262144:MGL262146 MPW262144:MQH262146 MZS262144:NAD262146 NJO262144:NJZ262146 NTK262144:NTV262146 ODG262144:ODR262146 ONC262144:ONN262146 OWY262144:OXJ262146 PGU262144:PHF262146 PQQ262144:PRB262146 QAM262144:QAX262146 QKI262144:QKT262146 QUE262144:QUP262146 REA262144:REL262146 RNW262144:ROH262146 RXS262144:RYD262146 SHO262144:SHZ262146 SRK262144:SRV262146 TBG262144:TBR262146 TLC262144:TLN262146 TUY262144:TVJ262146 UEU262144:UFF262146 UOQ262144:UPB262146 UYM262144:UYX262146 VII262144:VIT262146 VSE262144:VSP262146 WCA262144:WCL262146 WLW262144:WMH262146 WVS262144:WWD262146 JG327680:JR327682 TC327680:TN327682 ACY327680:ADJ327682 AMU327680:ANF327682 AWQ327680:AXB327682 BGM327680:BGX327682 BQI327680:BQT327682 CAE327680:CAP327682 CKA327680:CKL327682 CTW327680:CUH327682 DDS327680:DED327682 DNO327680:DNZ327682 DXK327680:DXV327682 EHG327680:EHR327682 ERC327680:ERN327682 FAY327680:FBJ327682 FKU327680:FLF327682 FUQ327680:FVB327682 GEM327680:GEX327682 GOI327680:GOT327682 GYE327680:GYP327682 HIA327680:HIL327682 HRW327680:HSH327682 IBS327680:ICD327682 ILO327680:ILZ327682 IVK327680:IVV327682 JFG327680:JFR327682 JPC327680:JPN327682 JYY327680:JZJ327682 KIU327680:KJF327682 KSQ327680:KTB327682 LCM327680:LCX327682 LMI327680:LMT327682 LWE327680:LWP327682 MGA327680:MGL327682 MPW327680:MQH327682 MZS327680:NAD327682 NJO327680:NJZ327682 NTK327680:NTV327682 ODG327680:ODR327682 ONC327680:ONN327682 OWY327680:OXJ327682 PGU327680:PHF327682 PQQ327680:PRB327682 QAM327680:QAX327682 QKI327680:QKT327682 QUE327680:QUP327682 REA327680:REL327682 RNW327680:ROH327682 RXS327680:RYD327682 SHO327680:SHZ327682 SRK327680:SRV327682 TBG327680:TBR327682 TLC327680:TLN327682 TUY327680:TVJ327682 UEU327680:UFF327682 UOQ327680:UPB327682 UYM327680:UYX327682 VII327680:VIT327682 VSE327680:VSP327682 WCA327680:WCL327682 WLW327680:WMH327682 WVS327680:WWD327682 JG393216:JR393218 TC393216:TN393218 ACY393216:ADJ393218 AMU393216:ANF393218 AWQ393216:AXB393218 BGM393216:BGX393218 BQI393216:BQT393218 CAE393216:CAP393218 CKA393216:CKL393218 CTW393216:CUH393218 DDS393216:DED393218 DNO393216:DNZ393218 DXK393216:DXV393218 EHG393216:EHR393218 ERC393216:ERN393218 FAY393216:FBJ393218 FKU393216:FLF393218 FUQ393216:FVB393218 GEM393216:GEX393218 GOI393216:GOT393218 GYE393216:GYP393218 HIA393216:HIL393218 HRW393216:HSH393218 IBS393216:ICD393218 ILO393216:ILZ393218 IVK393216:IVV393218 JFG393216:JFR393218 JPC393216:JPN393218 JYY393216:JZJ393218 KIU393216:KJF393218 KSQ393216:KTB393218 LCM393216:LCX393218 LMI393216:LMT393218 LWE393216:LWP393218 MGA393216:MGL393218 MPW393216:MQH393218 MZS393216:NAD393218 NJO393216:NJZ393218 NTK393216:NTV393218 ODG393216:ODR393218 ONC393216:ONN393218 OWY393216:OXJ393218 PGU393216:PHF393218 PQQ393216:PRB393218 QAM393216:QAX393218 QKI393216:QKT393218 QUE393216:QUP393218 REA393216:REL393218 RNW393216:ROH393218 RXS393216:RYD393218 SHO393216:SHZ393218 SRK393216:SRV393218 TBG393216:TBR393218 TLC393216:TLN393218 TUY393216:TVJ393218 UEU393216:UFF393218 UOQ393216:UPB393218 UYM393216:UYX393218 VII393216:VIT393218 VSE393216:VSP393218 WCA393216:WCL393218 WLW393216:WMH393218 WVS393216:WWD393218 JG458752:JR458754 TC458752:TN458754 ACY458752:ADJ458754 AMU458752:ANF458754 AWQ458752:AXB458754 BGM458752:BGX458754 BQI458752:BQT458754 CAE458752:CAP458754 CKA458752:CKL458754 CTW458752:CUH458754 DDS458752:DED458754 DNO458752:DNZ458754 DXK458752:DXV458754 EHG458752:EHR458754 ERC458752:ERN458754 FAY458752:FBJ458754 FKU458752:FLF458754 FUQ458752:FVB458754 GEM458752:GEX458754 GOI458752:GOT458754 GYE458752:GYP458754 HIA458752:HIL458754 HRW458752:HSH458754 IBS458752:ICD458754 ILO458752:ILZ458754 IVK458752:IVV458754 JFG458752:JFR458754 JPC458752:JPN458754 JYY458752:JZJ458754 KIU458752:KJF458754 KSQ458752:KTB458754 LCM458752:LCX458754 LMI458752:LMT458754 LWE458752:LWP458754 MGA458752:MGL458754 MPW458752:MQH458754 MZS458752:NAD458754 NJO458752:NJZ458754 NTK458752:NTV458754 ODG458752:ODR458754 ONC458752:ONN458754 OWY458752:OXJ458754 PGU458752:PHF458754 PQQ458752:PRB458754 QAM458752:QAX458754 QKI458752:QKT458754 QUE458752:QUP458754 REA458752:REL458754 RNW458752:ROH458754 RXS458752:RYD458754 SHO458752:SHZ458754 SRK458752:SRV458754 TBG458752:TBR458754 TLC458752:TLN458754 TUY458752:TVJ458754 UEU458752:UFF458754 UOQ458752:UPB458754 UYM458752:UYX458754 VII458752:VIT458754 VSE458752:VSP458754 WCA458752:WCL458754 WLW458752:WMH458754 WVS458752:WWD458754 JG524288:JR524290 TC524288:TN524290 ACY524288:ADJ524290 AMU524288:ANF524290 AWQ524288:AXB524290 BGM524288:BGX524290 BQI524288:BQT524290 CAE524288:CAP524290 CKA524288:CKL524290 CTW524288:CUH524290 DDS524288:DED524290 DNO524288:DNZ524290 DXK524288:DXV524290 EHG524288:EHR524290 ERC524288:ERN524290 FAY524288:FBJ524290 FKU524288:FLF524290 FUQ524288:FVB524290 GEM524288:GEX524290 GOI524288:GOT524290 GYE524288:GYP524290 HIA524288:HIL524290 HRW524288:HSH524290 IBS524288:ICD524290 ILO524288:ILZ524290 IVK524288:IVV524290 JFG524288:JFR524290 JPC524288:JPN524290 JYY524288:JZJ524290 KIU524288:KJF524290 KSQ524288:KTB524290 LCM524288:LCX524290 LMI524288:LMT524290 LWE524288:LWP524290 MGA524288:MGL524290 MPW524288:MQH524290 MZS524288:NAD524290 NJO524288:NJZ524290 NTK524288:NTV524290 ODG524288:ODR524290 ONC524288:ONN524290 OWY524288:OXJ524290 PGU524288:PHF524290 PQQ524288:PRB524290 QAM524288:QAX524290 QKI524288:QKT524290 QUE524288:QUP524290 REA524288:REL524290 RNW524288:ROH524290 RXS524288:RYD524290 SHO524288:SHZ524290 SRK524288:SRV524290 TBG524288:TBR524290 TLC524288:TLN524290 TUY524288:TVJ524290 UEU524288:UFF524290 UOQ524288:UPB524290 UYM524288:UYX524290 VII524288:VIT524290 VSE524288:VSP524290 WCA524288:WCL524290 WLW524288:WMH524290 WVS524288:WWD524290 JG589824:JR589826 TC589824:TN589826 ACY589824:ADJ589826 AMU589824:ANF589826 AWQ589824:AXB589826 BGM589824:BGX589826 BQI589824:BQT589826 CAE589824:CAP589826 CKA589824:CKL589826 CTW589824:CUH589826 DDS589824:DED589826 DNO589824:DNZ589826 DXK589824:DXV589826 EHG589824:EHR589826 ERC589824:ERN589826 FAY589824:FBJ589826 FKU589824:FLF589826 FUQ589824:FVB589826 GEM589824:GEX589826 GOI589824:GOT589826 GYE589824:GYP589826 HIA589824:HIL589826 HRW589824:HSH589826 IBS589824:ICD589826 ILO589824:ILZ589826 IVK589824:IVV589826 JFG589824:JFR589826 JPC589824:JPN589826 JYY589824:JZJ589826 KIU589824:KJF589826 KSQ589824:KTB589826 LCM589824:LCX589826 LMI589824:LMT589826 LWE589824:LWP589826 MGA589824:MGL589826 MPW589824:MQH589826 MZS589824:NAD589826 NJO589824:NJZ589826 NTK589824:NTV589826 ODG589824:ODR589826 ONC589824:ONN589826 OWY589824:OXJ589826 PGU589824:PHF589826 PQQ589824:PRB589826 QAM589824:QAX589826 QKI589824:QKT589826 QUE589824:QUP589826 REA589824:REL589826 RNW589824:ROH589826 RXS589824:RYD589826 SHO589824:SHZ589826 SRK589824:SRV589826 TBG589824:TBR589826 TLC589824:TLN589826 TUY589824:TVJ589826 UEU589824:UFF589826 UOQ589824:UPB589826 UYM589824:UYX589826 VII589824:VIT589826 VSE589824:VSP589826 WCA589824:WCL589826 WLW589824:WMH589826 WVS589824:WWD589826 JG655360:JR655362 TC655360:TN655362 ACY655360:ADJ655362 AMU655360:ANF655362 AWQ655360:AXB655362 BGM655360:BGX655362 BQI655360:BQT655362 CAE655360:CAP655362 CKA655360:CKL655362 CTW655360:CUH655362 DDS655360:DED655362 DNO655360:DNZ655362 DXK655360:DXV655362 EHG655360:EHR655362 ERC655360:ERN655362 FAY655360:FBJ655362 FKU655360:FLF655362 FUQ655360:FVB655362 GEM655360:GEX655362 GOI655360:GOT655362 GYE655360:GYP655362 HIA655360:HIL655362 HRW655360:HSH655362 IBS655360:ICD655362 ILO655360:ILZ655362 IVK655360:IVV655362 JFG655360:JFR655362 JPC655360:JPN655362 JYY655360:JZJ655362 KIU655360:KJF655362 KSQ655360:KTB655362 LCM655360:LCX655362 LMI655360:LMT655362 LWE655360:LWP655362 MGA655360:MGL655362 MPW655360:MQH655362 MZS655360:NAD655362 NJO655360:NJZ655362 NTK655360:NTV655362 ODG655360:ODR655362 ONC655360:ONN655362 OWY655360:OXJ655362 PGU655360:PHF655362 PQQ655360:PRB655362 QAM655360:QAX655362 QKI655360:QKT655362 QUE655360:QUP655362 REA655360:REL655362 RNW655360:ROH655362 RXS655360:RYD655362 SHO655360:SHZ655362 SRK655360:SRV655362 TBG655360:TBR655362 TLC655360:TLN655362 TUY655360:TVJ655362 UEU655360:UFF655362 UOQ655360:UPB655362 UYM655360:UYX655362 VII655360:VIT655362 VSE655360:VSP655362 WCA655360:WCL655362 WLW655360:WMH655362 WVS655360:WWD655362 JG720896:JR720898 TC720896:TN720898 ACY720896:ADJ720898 AMU720896:ANF720898 AWQ720896:AXB720898 BGM720896:BGX720898 BQI720896:BQT720898 CAE720896:CAP720898 CKA720896:CKL720898 CTW720896:CUH720898 DDS720896:DED720898 DNO720896:DNZ720898 DXK720896:DXV720898 EHG720896:EHR720898 ERC720896:ERN720898 FAY720896:FBJ720898 FKU720896:FLF720898 FUQ720896:FVB720898 GEM720896:GEX720898 GOI720896:GOT720898 GYE720896:GYP720898 HIA720896:HIL720898 HRW720896:HSH720898 IBS720896:ICD720898 ILO720896:ILZ720898 IVK720896:IVV720898 JFG720896:JFR720898 JPC720896:JPN720898 JYY720896:JZJ720898 KIU720896:KJF720898 KSQ720896:KTB720898 LCM720896:LCX720898 LMI720896:LMT720898 LWE720896:LWP720898 MGA720896:MGL720898 MPW720896:MQH720898 MZS720896:NAD720898 NJO720896:NJZ720898 NTK720896:NTV720898 ODG720896:ODR720898 ONC720896:ONN720898 OWY720896:OXJ720898 PGU720896:PHF720898 PQQ720896:PRB720898 QAM720896:QAX720898 QKI720896:QKT720898 QUE720896:QUP720898 REA720896:REL720898 RNW720896:ROH720898 RXS720896:RYD720898 SHO720896:SHZ720898 SRK720896:SRV720898 TBG720896:TBR720898 TLC720896:TLN720898 TUY720896:TVJ720898 UEU720896:UFF720898 UOQ720896:UPB720898 UYM720896:UYX720898 VII720896:VIT720898 VSE720896:VSP720898 WCA720896:WCL720898 WLW720896:WMH720898 WVS720896:WWD720898 JG786432:JR786434 TC786432:TN786434 ACY786432:ADJ786434 AMU786432:ANF786434 AWQ786432:AXB786434 BGM786432:BGX786434 BQI786432:BQT786434 CAE786432:CAP786434 CKA786432:CKL786434 CTW786432:CUH786434 DDS786432:DED786434 DNO786432:DNZ786434 DXK786432:DXV786434 EHG786432:EHR786434 ERC786432:ERN786434 FAY786432:FBJ786434 FKU786432:FLF786434 FUQ786432:FVB786434 GEM786432:GEX786434 GOI786432:GOT786434 GYE786432:GYP786434 HIA786432:HIL786434 HRW786432:HSH786434 IBS786432:ICD786434 ILO786432:ILZ786434 IVK786432:IVV786434 JFG786432:JFR786434 JPC786432:JPN786434 JYY786432:JZJ786434 KIU786432:KJF786434 KSQ786432:KTB786434 LCM786432:LCX786434 LMI786432:LMT786434 LWE786432:LWP786434 MGA786432:MGL786434 MPW786432:MQH786434 MZS786432:NAD786434 NJO786432:NJZ786434 NTK786432:NTV786434 ODG786432:ODR786434 ONC786432:ONN786434 OWY786432:OXJ786434 PGU786432:PHF786434 PQQ786432:PRB786434 QAM786432:QAX786434 QKI786432:QKT786434 QUE786432:QUP786434 REA786432:REL786434 RNW786432:ROH786434 RXS786432:RYD786434 SHO786432:SHZ786434 SRK786432:SRV786434 TBG786432:TBR786434 TLC786432:TLN786434 TUY786432:TVJ786434 UEU786432:UFF786434 UOQ786432:UPB786434 UYM786432:UYX786434 VII786432:VIT786434 VSE786432:VSP786434 WCA786432:WCL786434 WLW786432:WMH786434 WVS786432:WWD786434 JG851968:JR851970 TC851968:TN851970 ACY851968:ADJ851970 AMU851968:ANF851970 AWQ851968:AXB851970 BGM851968:BGX851970 BQI851968:BQT851970 CAE851968:CAP851970 CKA851968:CKL851970 CTW851968:CUH851970 DDS851968:DED851970 DNO851968:DNZ851970 DXK851968:DXV851970 EHG851968:EHR851970 ERC851968:ERN851970 FAY851968:FBJ851970 FKU851968:FLF851970 FUQ851968:FVB851970 GEM851968:GEX851970 GOI851968:GOT851970 GYE851968:GYP851970 HIA851968:HIL851970 HRW851968:HSH851970 IBS851968:ICD851970 ILO851968:ILZ851970 IVK851968:IVV851970 JFG851968:JFR851970 JPC851968:JPN851970 JYY851968:JZJ851970 KIU851968:KJF851970 KSQ851968:KTB851970 LCM851968:LCX851970 LMI851968:LMT851970 LWE851968:LWP851970 MGA851968:MGL851970 MPW851968:MQH851970 MZS851968:NAD851970 NJO851968:NJZ851970 NTK851968:NTV851970 ODG851968:ODR851970 ONC851968:ONN851970 OWY851968:OXJ851970 PGU851968:PHF851970 PQQ851968:PRB851970 QAM851968:QAX851970 QKI851968:QKT851970 QUE851968:QUP851970 REA851968:REL851970 RNW851968:ROH851970 RXS851968:RYD851970 SHO851968:SHZ851970 SRK851968:SRV851970 TBG851968:TBR851970 TLC851968:TLN851970 TUY851968:TVJ851970 UEU851968:UFF851970 UOQ851968:UPB851970 UYM851968:UYX851970 VII851968:VIT851970 VSE851968:VSP851970 WCA851968:WCL851970 WLW851968:WMH851970 WVS851968:WWD851970 JG917504:JR917506 TC917504:TN917506 ACY917504:ADJ917506 AMU917504:ANF917506 AWQ917504:AXB917506 BGM917504:BGX917506 BQI917504:BQT917506 CAE917504:CAP917506 CKA917504:CKL917506 CTW917504:CUH917506 DDS917504:DED917506 DNO917504:DNZ917506 DXK917504:DXV917506 EHG917504:EHR917506 ERC917504:ERN917506 FAY917504:FBJ917506 FKU917504:FLF917506 FUQ917504:FVB917506 GEM917504:GEX917506 GOI917504:GOT917506 GYE917504:GYP917506 HIA917504:HIL917506 HRW917504:HSH917506 IBS917504:ICD917506 ILO917504:ILZ917506 IVK917504:IVV917506 JFG917504:JFR917506 JPC917504:JPN917506 JYY917504:JZJ917506 KIU917504:KJF917506 KSQ917504:KTB917506 LCM917504:LCX917506 LMI917504:LMT917506 LWE917504:LWP917506 MGA917504:MGL917506 MPW917504:MQH917506 MZS917504:NAD917506 NJO917504:NJZ917506 NTK917504:NTV917506 ODG917504:ODR917506 ONC917504:ONN917506 OWY917504:OXJ917506 PGU917504:PHF917506 PQQ917504:PRB917506 QAM917504:QAX917506 QKI917504:QKT917506 QUE917504:QUP917506 REA917504:REL917506 RNW917504:ROH917506 RXS917504:RYD917506 SHO917504:SHZ917506 SRK917504:SRV917506 TBG917504:TBR917506 TLC917504:TLN917506 TUY917504:TVJ917506 UEU917504:UFF917506 UOQ917504:UPB917506 UYM917504:UYX917506 VII917504:VIT917506 VSE917504:VSP917506 WCA917504:WCL917506 WLW917504:WMH917506 WVS917504:WWD917506 JG983040:JR983042 TC983040:TN983042 ACY983040:ADJ983042 AMU983040:ANF983042 AWQ983040:AXB983042 BGM983040:BGX983042 BQI983040:BQT983042 CAE983040:CAP983042 CKA983040:CKL983042 CTW983040:CUH983042 DDS983040:DED983042 DNO983040:DNZ983042 DXK983040:DXV983042 EHG983040:EHR983042 ERC983040:ERN983042 FAY983040:FBJ983042 FKU983040:FLF983042 FUQ983040:FVB983042 GEM983040:GEX983042 GOI983040:GOT983042 GYE983040:GYP983042 HIA983040:HIL983042 HRW983040:HSH983042 IBS983040:ICD983042 ILO983040:ILZ983042 IVK983040:IVV983042 JFG983040:JFR983042 JPC983040:JPN983042 JYY983040:JZJ983042 KIU983040:KJF983042 KSQ983040:KTB983042 LCM983040:LCX983042 LMI983040:LMT983042 LWE983040:LWP983042 MGA983040:MGL983042 MPW983040:MQH983042 MZS983040:NAD983042 NJO983040:NJZ983042 NTK983040:NTV983042 ODG983040:ODR983042 ONC983040:ONN983042 OWY983040:OXJ983042 PGU983040:PHF983042 PQQ983040:PRB983042 QAM983040:QAX983042 QKI983040:QKT983042 QUE983040:QUP983042 REA983040:REL983042 RNW983040:ROH983042 RXS983040:RYD983042 SHO983040:SHZ983042 SRK983040:SRV983042 TBG983040:TBR983042 TLC983040:TLN983042 TUY983040:TVJ983042 UEU983040:UFF983042 UOQ983040:UPB983042 UYM983040:UYX983042 VII983040:VIT983042 VSE983040:VSP983042 WCA983040:WCL983042 WLW983040:WMH983042 WVS983040:WWD983042 WVS983045:WWD983047 JG65541:JR65543 TC65541:TN65543 ACY65541:ADJ65543 AMU65541:ANF65543 AWQ65541:AXB65543 BGM65541:BGX65543 BQI65541:BQT65543 CAE65541:CAP65543 CKA65541:CKL65543 CTW65541:CUH65543 DDS65541:DED65543 DNO65541:DNZ65543 DXK65541:DXV65543 EHG65541:EHR65543 ERC65541:ERN65543 FAY65541:FBJ65543 FKU65541:FLF65543 FUQ65541:FVB65543 GEM65541:GEX65543 GOI65541:GOT65543 GYE65541:GYP65543 HIA65541:HIL65543 HRW65541:HSH65543 IBS65541:ICD65543 ILO65541:ILZ65543 IVK65541:IVV65543 JFG65541:JFR65543 JPC65541:JPN65543 JYY65541:JZJ65543 KIU65541:KJF65543 KSQ65541:KTB65543 LCM65541:LCX65543 LMI65541:LMT65543 LWE65541:LWP65543 MGA65541:MGL65543 MPW65541:MQH65543 MZS65541:NAD65543 NJO65541:NJZ65543 NTK65541:NTV65543 ODG65541:ODR65543 ONC65541:ONN65543 OWY65541:OXJ65543 PGU65541:PHF65543 PQQ65541:PRB65543 QAM65541:QAX65543 QKI65541:QKT65543 QUE65541:QUP65543 REA65541:REL65543 RNW65541:ROH65543 RXS65541:RYD65543 SHO65541:SHZ65543 SRK65541:SRV65543 TBG65541:TBR65543 TLC65541:TLN65543 TUY65541:TVJ65543 UEU65541:UFF65543 UOQ65541:UPB65543 UYM65541:UYX65543 VII65541:VIT65543 VSE65541:VSP65543 WCA65541:WCL65543 WLW65541:WMH65543 WVS65541:WWD65543 JG131077:JR131079 TC131077:TN131079 ACY131077:ADJ131079 AMU131077:ANF131079 AWQ131077:AXB131079 BGM131077:BGX131079 BQI131077:BQT131079 CAE131077:CAP131079 CKA131077:CKL131079 CTW131077:CUH131079 DDS131077:DED131079 DNO131077:DNZ131079 DXK131077:DXV131079 EHG131077:EHR131079 ERC131077:ERN131079 FAY131077:FBJ131079 FKU131077:FLF131079 FUQ131077:FVB131079 GEM131077:GEX131079 GOI131077:GOT131079 GYE131077:GYP131079 HIA131077:HIL131079 HRW131077:HSH131079 IBS131077:ICD131079 ILO131077:ILZ131079 IVK131077:IVV131079 JFG131077:JFR131079 JPC131077:JPN131079 JYY131077:JZJ131079 KIU131077:KJF131079 KSQ131077:KTB131079 LCM131077:LCX131079 LMI131077:LMT131079 LWE131077:LWP131079 MGA131077:MGL131079 MPW131077:MQH131079 MZS131077:NAD131079 NJO131077:NJZ131079 NTK131077:NTV131079 ODG131077:ODR131079 ONC131077:ONN131079 OWY131077:OXJ131079 PGU131077:PHF131079 PQQ131077:PRB131079 QAM131077:QAX131079 QKI131077:QKT131079 QUE131077:QUP131079 REA131077:REL131079 RNW131077:ROH131079 RXS131077:RYD131079 SHO131077:SHZ131079 SRK131077:SRV131079 TBG131077:TBR131079 TLC131077:TLN131079 TUY131077:TVJ131079 UEU131077:UFF131079 UOQ131077:UPB131079 UYM131077:UYX131079 VII131077:VIT131079 VSE131077:VSP131079 WCA131077:WCL131079 WLW131077:WMH131079 WVS131077:WWD131079 JG196613:JR196615 TC196613:TN196615 ACY196613:ADJ196615 AMU196613:ANF196615 AWQ196613:AXB196615 BGM196613:BGX196615 BQI196613:BQT196615 CAE196613:CAP196615 CKA196613:CKL196615 CTW196613:CUH196615 DDS196613:DED196615 DNO196613:DNZ196615 DXK196613:DXV196615 EHG196613:EHR196615 ERC196613:ERN196615 FAY196613:FBJ196615 FKU196613:FLF196615 FUQ196613:FVB196615 GEM196613:GEX196615 GOI196613:GOT196615 GYE196613:GYP196615 HIA196613:HIL196615 HRW196613:HSH196615 IBS196613:ICD196615 ILO196613:ILZ196615 IVK196613:IVV196615 JFG196613:JFR196615 JPC196613:JPN196615 JYY196613:JZJ196615 KIU196613:KJF196615 KSQ196613:KTB196615 LCM196613:LCX196615 LMI196613:LMT196615 LWE196613:LWP196615 MGA196613:MGL196615 MPW196613:MQH196615 MZS196613:NAD196615 NJO196613:NJZ196615 NTK196613:NTV196615 ODG196613:ODR196615 ONC196613:ONN196615 OWY196613:OXJ196615 PGU196613:PHF196615 PQQ196613:PRB196615 QAM196613:QAX196615 QKI196613:QKT196615 QUE196613:QUP196615 REA196613:REL196615 RNW196613:ROH196615 RXS196613:RYD196615 SHO196613:SHZ196615 SRK196613:SRV196615 TBG196613:TBR196615 TLC196613:TLN196615 TUY196613:TVJ196615 UEU196613:UFF196615 UOQ196613:UPB196615 UYM196613:UYX196615 VII196613:VIT196615 VSE196613:VSP196615 WCA196613:WCL196615 WLW196613:WMH196615 WVS196613:WWD196615 JG262149:JR262151 TC262149:TN262151 ACY262149:ADJ262151 AMU262149:ANF262151 AWQ262149:AXB262151 BGM262149:BGX262151 BQI262149:BQT262151 CAE262149:CAP262151 CKA262149:CKL262151 CTW262149:CUH262151 DDS262149:DED262151 DNO262149:DNZ262151 DXK262149:DXV262151 EHG262149:EHR262151 ERC262149:ERN262151 FAY262149:FBJ262151 FKU262149:FLF262151 FUQ262149:FVB262151 GEM262149:GEX262151 GOI262149:GOT262151 GYE262149:GYP262151 HIA262149:HIL262151 HRW262149:HSH262151 IBS262149:ICD262151 ILO262149:ILZ262151 IVK262149:IVV262151 JFG262149:JFR262151 JPC262149:JPN262151 JYY262149:JZJ262151 KIU262149:KJF262151 KSQ262149:KTB262151 LCM262149:LCX262151 LMI262149:LMT262151 LWE262149:LWP262151 MGA262149:MGL262151 MPW262149:MQH262151 MZS262149:NAD262151 NJO262149:NJZ262151 NTK262149:NTV262151 ODG262149:ODR262151 ONC262149:ONN262151 OWY262149:OXJ262151 PGU262149:PHF262151 PQQ262149:PRB262151 QAM262149:QAX262151 QKI262149:QKT262151 QUE262149:QUP262151 REA262149:REL262151 RNW262149:ROH262151 RXS262149:RYD262151 SHO262149:SHZ262151 SRK262149:SRV262151 TBG262149:TBR262151 TLC262149:TLN262151 TUY262149:TVJ262151 UEU262149:UFF262151 UOQ262149:UPB262151 UYM262149:UYX262151 VII262149:VIT262151 VSE262149:VSP262151 WCA262149:WCL262151 WLW262149:WMH262151 WVS262149:WWD262151 JG327685:JR327687 TC327685:TN327687 ACY327685:ADJ327687 AMU327685:ANF327687 AWQ327685:AXB327687 BGM327685:BGX327687 BQI327685:BQT327687 CAE327685:CAP327687 CKA327685:CKL327687 CTW327685:CUH327687 DDS327685:DED327687 DNO327685:DNZ327687 DXK327685:DXV327687 EHG327685:EHR327687 ERC327685:ERN327687 FAY327685:FBJ327687 FKU327685:FLF327687 FUQ327685:FVB327687 GEM327685:GEX327687 GOI327685:GOT327687 GYE327685:GYP327687 HIA327685:HIL327687 HRW327685:HSH327687 IBS327685:ICD327687 ILO327685:ILZ327687 IVK327685:IVV327687 JFG327685:JFR327687 JPC327685:JPN327687 JYY327685:JZJ327687 KIU327685:KJF327687 KSQ327685:KTB327687 LCM327685:LCX327687 LMI327685:LMT327687 LWE327685:LWP327687 MGA327685:MGL327687 MPW327685:MQH327687 MZS327685:NAD327687 NJO327685:NJZ327687 NTK327685:NTV327687 ODG327685:ODR327687 ONC327685:ONN327687 OWY327685:OXJ327687 PGU327685:PHF327687 PQQ327685:PRB327687 QAM327685:QAX327687 QKI327685:QKT327687 QUE327685:QUP327687 REA327685:REL327687 RNW327685:ROH327687 RXS327685:RYD327687 SHO327685:SHZ327687 SRK327685:SRV327687 TBG327685:TBR327687 TLC327685:TLN327687 TUY327685:TVJ327687 UEU327685:UFF327687 UOQ327685:UPB327687 UYM327685:UYX327687 VII327685:VIT327687 VSE327685:VSP327687 WCA327685:WCL327687 WLW327685:WMH327687 WVS327685:WWD327687 JG393221:JR393223 TC393221:TN393223 ACY393221:ADJ393223 AMU393221:ANF393223 AWQ393221:AXB393223 BGM393221:BGX393223 BQI393221:BQT393223 CAE393221:CAP393223 CKA393221:CKL393223 CTW393221:CUH393223 DDS393221:DED393223 DNO393221:DNZ393223 DXK393221:DXV393223 EHG393221:EHR393223 ERC393221:ERN393223 FAY393221:FBJ393223 FKU393221:FLF393223 FUQ393221:FVB393223 GEM393221:GEX393223 GOI393221:GOT393223 GYE393221:GYP393223 HIA393221:HIL393223 HRW393221:HSH393223 IBS393221:ICD393223 ILO393221:ILZ393223 IVK393221:IVV393223 JFG393221:JFR393223 JPC393221:JPN393223 JYY393221:JZJ393223 KIU393221:KJF393223 KSQ393221:KTB393223 LCM393221:LCX393223 LMI393221:LMT393223 LWE393221:LWP393223 MGA393221:MGL393223 MPW393221:MQH393223 MZS393221:NAD393223 NJO393221:NJZ393223 NTK393221:NTV393223 ODG393221:ODR393223 ONC393221:ONN393223 OWY393221:OXJ393223 PGU393221:PHF393223 PQQ393221:PRB393223 QAM393221:QAX393223 QKI393221:QKT393223 QUE393221:QUP393223 REA393221:REL393223 RNW393221:ROH393223 RXS393221:RYD393223 SHO393221:SHZ393223 SRK393221:SRV393223 TBG393221:TBR393223 TLC393221:TLN393223 TUY393221:TVJ393223 UEU393221:UFF393223 UOQ393221:UPB393223 UYM393221:UYX393223 VII393221:VIT393223 VSE393221:VSP393223 WCA393221:WCL393223 WLW393221:WMH393223 WVS393221:WWD393223 JG458757:JR458759 TC458757:TN458759 ACY458757:ADJ458759 AMU458757:ANF458759 AWQ458757:AXB458759 BGM458757:BGX458759 BQI458757:BQT458759 CAE458757:CAP458759 CKA458757:CKL458759 CTW458757:CUH458759 DDS458757:DED458759 DNO458757:DNZ458759 DXK458757:DXV458759 EHG458757:EHR458759 ERC458757:ERN458759 FAY458757:FBJ458759 FKU458757:FLF458759 FUQ458757:FVB458759 GEM458757:GEX458759 GOI458757:GOT458759 GYE458757:GYP458759 HIA458757:HIL458759 HRW458757:HSH458759 IBS458757:ICD458759 ILO458757:ILZ458759 IVK458757:IVV458759 JFG458757:JFR458759 JPC458757:JPN458759 JYY458757:JZJ458759 KIU458757:KJF458759 KSQ458757:KTB458759 LCM458757:LCX458759 LMI458757:LMT458759 LWE458757:LWP458759 MGA458757:MGL458759 MPW458757:MQH458759 MZS458757:NAD458759 NJO458757:NJZ458759 NTK458757:NTV458759 ODG458757:ODR458759 ONC458757:ONN458759 OWY458757:OXJ458759 PGU458757:PHF458759 PQQ458757:PRB458759 QAM458757:QAX458759 QKI458757:QKT458759 QUE458757:QUP458759 REA458757:REL458759 RNW458757:ROH458759 RXS458757:RYD458759 SHO458757:SHZ458759 SRK458757:SRV458759 TBG458757:TBR458759 TLC458757:TLN458759 TUY458757:TVJ458759 UEU458757:UFF458759 UOQ458757:UPB458759 UYM458757:UYX458759 VII458757:VIT458759 VSE458757:VSP458759 WCA458757:WCL458759 WLW458757:WMH458759 WVS458757:WWD458759 JG524293:JR524295 TC524293:TN524295 ACY524293:ADJ524295 AMU524293:ANF524295 AWQ524293:AXB524295 BGM524293:BGX524295 BQI524293:BQT524295 CAE524293:CAP524295 CKA524293:CKL524295 CTW524293:CUH524295 DDS524293:DED524295 DNO524293:DNZ524295 DXK524293:DXV524295 EHG524293:EHR524295 ERC524293:ERN524295 FAY524293:FBJ524295 FKU524293:FLF524295 FUQ524293:FVB524295 GEM524293:GEX524295 GOI524293:GOT524295 GYE524293:GYP524295 HIA524293:HIL524295 HRW524293:HSH524295 IBS524293:ICD524295 ILO524293:ILZ524295 IVK524293:IVV524295 JFG524293:JFR524295 JPC524293:JPN524295 JYY524293:JZJ524295 KIU524293:KJF524295 KSQ524293:KTB524295 LCM524293:LCX524295 LMI524293:LMT524295 LWE524293:LWP524295 MGA524293:MGL524295 MPW524293:MQH524295 MZS524293:NAD524295 NJO524293:NJZ524295 NTK524293:NTV524295 ODG524293:ODR524295 ONC524293:ONN524295 OWY524293:OXJ524295 PGU524293:PHF524295 PQQ524293:PRB524295 QAM524293:QAX524295 QKI524293:QKT524295 QUE524293:QUP524295 REA524293:REL524295 RNW524293:ROH524295 RXS524293:RYD524295 SHO524293:SHZ524295 SRK524293:SRV524295 TBG524293:TBR524295 TLC524293:TLN524295 TUY524293:TVJ524295 UEU524293:UFF524295 UOQ524293:UPB524295 UYM524293:UYX524295 VII524293:VIT524295 VSE524293:VSP524295 WCA524293:WCL524295 WLW524293:WMH524295 WVS524293:WWD524295 JG589829:JR589831 TC589829:TN589831 ACY589829:ADJ589831 AMU589829:ANF589831 AWQ589829:AXB589831 BGM589829:BGX589831 BQI589829:BQT589831 CAE589829:CAP589831 CKA589829:CKL589831 CTW589829:CUH589831 DDS589829:DED589831 DNO589829:DNZ589831 DXK589829:DXV589831 EHG589829:EHR589831 ERC589829:ERN589831 FAY589829:FBJ589831 FKU589829:FLF589831 FUQ589829:FVB589831 GEM589829:GEX589831 GOI589829:GOT589831 GYE589829:GYP589831 HIA589829:HIL589831 HRW589829:HSH589831 IBS589829:ICD589831 ILO589829:ILZ589831 IVK589829:IVV589831 JFG589829:JFR589831 JPC589829:JPN589831 JYY589829:JZJ589831 KIU589829:KJF589831 KSQ589829:KTB589831 LCM589829:LCX589831 LMI589829:LMT589831 LWE589829:LWP589831 MGA589829:MGL589831 MPW589829:MQH589831 MZS589829:NAD589831 NJO589829:NJZ589831 NTK589829:NTV589831 ODG589829:ODR589831 ONC589829:ONN589831 OWY589829:OXJ589831 PGU589829:PHF589831 PQQ589829:PRB589831 QAM589829:QAX589831 QKI589829:QKT589831 QUE589829:QUP589831 REA589829:REL589831 RNW589829:ROH589831 RXS589829:RYD589831 SHO589829:SHZ589831 SRK589829:SRV589831 TBG589829:TBR589831 TLC589829:TLN589831 TUY589829:TVJ589831 UEU589829:UFF589831 UOQ589829:UPB589831 UYM589829:UYX589831 VII589829:VIT589831 VSE589829:VSP589831 WCA589829:WCL589831 WLW589829:WMH589831 WVS589829:WWD589831 JG655365:JR655367 TC655365:TN655367 ACY655365:ADJ655367 AMU655365:ANF655367 AWQ655365:AXB655367 BGM655365:BGX655367 BQI655365:BQT655367 CAE655365:CAP655367 CKA655365:CKL655367 CTW655365:CUH655367 DDS655365:DED655367 DNO655365:DNZ655367 DXK655365:DXV655367 EHG655365:EHR655367 ERC655365:ERN655367 FAY655365:FBJ655367 FKU655365:FLF655367 FUQ655365:FVB655367 GEM655365:GEX655367 GOI655365:GOT655367 GYE655365:GYP655367 HIA655365:HIL655367 HRW655365:HSH655367 IBS655365:ICD655367 ILO655365:ILZ655367 IVK655365:IVV655367 JFG655365:JFR655367 JPC655365:JPN655367 JYY655365:JZJ655367 KIU655365:KJF655367 KSQ655365:KTB655367 LCM655365:LCX655367 LMI655365:LMT655367 LWE655365:LWP655367 MGA655365:MGL655367 MPW655365:MQH655367 MZS655365:NAD655367 NJO655365:NJZ655367 NTK655365:NTV655367 ODG655365:ODR655367 ONC655365:ONN655367 OWY655365:OXJ655367 PGU655365:PHF655367 PQQ655365:PRB655367 QAM655365:QAX655367 QKI655365:QKT655367 QUE655365:QUP655367 REA655365:REL655367 RNW655365:ROH655367 RXS655365:RYD655367 SHO655365:SHZ655367 SRK655365:SRV655367 TBG655365:TBR655367 TLC655365:TLN655367 TUY655365:TVJ655367 UEU655365:UFF655367 UOQ655365:UPB655367 UYM655365:UYX655367 VII655365:VIT655367 VSE655365:VSP655367 WCA655365:WCL655367 WLW655365:WMH655367 WVS655365:WWD655367 JG720901:JR720903 TC720901:TN720903 ACY720901:ADJ720903 AMU720901:ANF720903 AWQ720901:AXB720903 BGM720901:BGX720903 BQI720901:BQT720903 CAE720901:CAP720903 CKA720901:CKL720903 CTW720901:CUH720903 DDS720901:DED720903 DNO720901:DNZ720903 DXK720901:DXV720903 EHG720901:EHR720903 ERC720901:ERN720903 FAY720901:FBJ720903 FKU720901:FLF720903 FUQ720901:FVB720903 GEM720901:GEX720903 GOI720901:GOT720903 GYE720901:GYP720903 HIA720901:HIL720903 HRW720901:HSH720903 IBS720901:ICD720903 ILO720901:ILZ720903 IVK720901:IVV720903 JFG720901:JFR720903 JPC720901:JPN720903 JYY720901:JZJ720903 KIU720901:KJF720903 KSQ720901:KTB720903 LCM720901:LCX720903 LMI720901:LMT720903 LWE720901:LWP720903 MGA720901:MGL720903 MPW720901:MQH720903 MZS720901:NAD720903 NJO720901:NJZ720903 NTK720901:NTV720903 ODG720901:ODR720903 ONC720901:ONN720903 OWY720901:OXJ720903 PGU720901:PHF720903 PQQ720901:PRB720903 QAM720901:QAX720903 QKI720901:QKT720903 QUE720901:QUP720903 REA720901:REL720903 RNW720901:ROH720903 RXS720901:RYD720903 SHO720901:SHZ720903 SRK720901:SRV720903 TBG720901:TBR720903 TLC720901:TLN720903 TUY720901:TVJ720903 UEU720901:UFF720903 UOQ720901:UPB720903 UYM720901:UYX720903 VII720901:VIT720903 VSE720901:VSP720903 WCA720901:WCL720903 WLW720901:WMH720903 WVS720901:WWD720903 JG786437:JR786439 TC786437:TN786439 ACY786437:ADJ786439 AMU786437:ANF786439 AWQ786437:AXB786439 BGM786437:BGX786439 BQI786437:BQT786439 CAE786437:CAP786439 CKA786437:CKL786439 CTW786437:CUH786439 DDS786437:DED786439 DNO786437:DNZ786439 DXK786437:DXV786439 EHG786437:EHR786439 ERC786437:ERN786439 FAY786437:FBJ786439 FKU786437:FLF786439 FUQ786437:FVB786439 GEM786437:GEX786439 GOI786437:GOT786439 GYE786437:GYP786439 HIA786437:HIL786439 HRW786437:HSH786439 IBS786437:ICD786439 ILO786437:ILZ786439 IVK786437:IVV786439 JFG786437:JFR786439 JPC786437:JPN786439 JYY786437:JZJ786439 KIU786437:KJF786439 KSQ786437:KTB786439 LCM786437:LCX786439 LMI786437:LMT786439 LWE786437:LWP786439 MGA786437:MGL786439 MPW786437:MQH786439 MZS786437:NAD786439 NJO786437:NJZ786439 NTK786437:NTV786439 ODG786437:ODR786439 ONC786437:ONN786439 OWY786437:OXJ786439 PGU786437:PHF786439 PQQ786437:PRB786439 QAM786437:QAX786439 QKI786437:QKT786439 QUE786437:QUP786439 REA786437:REL786439 RNW786437:ROH786439 RXS786437:RYD786439 SHO786437:SHZ786439 SRK786437:SRV786439 TBG786437:TBR786439 TLC786437:TLN786439 TUY786437:TVJ786439 UEU786437:UFF786439 UOQ786437:UPB786439 UYM786437:UYX786439 VII786437:VIT786439 VSE786437:VSP786439 WCA786437:WCL786439 WLW786437:WMH786439 WVS786437:WWD786439 JG851973:JR851975 TC851973:TN851975 ACY851973:ADJ851975 AMU851973:ANF851975 AWQ851973:AXB851975 BGM851973:BGX851975 BQI851973:BQT851975 CAE851973:CAP851975 CKA851973:CKL851975 CTW851973:CUH851975 DDS851973:DED851975 DNO851973:DNZ851975 DXK851973:DXV851975 EHG851973:EHR851975 ERC851973:ERN851975 FAY851973:FBJ851975 FKU851973:FLF851975 FUQ851973:FVB851975 GEM851973:GEX851975 GOI851973:GOT851975 GYE851973:GYP851975 HIA851973:HIL851975 HRW851973:HSH851975 IBS851973:ICD851975 ILO851973:ILZ851975 IVK851973:IVV851975 JFG851973:JFR851975 JPC851973:JPN851975 JYY851973:JZJ851975 KIU851973:KJF851975 KSQ851973:KTB851975 LCM851973:LCX851975 LMI851973:LMT851975 LWE851973:LWP851975 MGA851973:MGL851975 MPW851973:MQH851975 MZS851973:NAD851975 NJO851973:NJZ851975 NTK851973:NTV851975 ODG851973:ODR851975 ONC851973:ONN851975 OWY851973:OXJ851975 PGU851973:PHF851975 PQQ851973:PRB851975 QAM851973:QAX851975 QKI851973:QKT851975 QUE851973:QUP851975 REA851973:REL851975 RNW851973:ROH851975 RXS851973:RYD851975 SHO851973:SHZ851975 SRK851973:SRV851975 TBG851973:TBR851975 TLC851973:TLN851975 TUY851973:TVJ851975 UEU851973:UFF851975 UOQ851973:UPB851975 UYM851973:UYX851975 VII851973:VIT851975 VSE851973:VSP851975 WCA851973:WCL851975 WLW851973:WMH851975 WVS851973:WWD851975 JG917509:JR917511 TC917509:TN917511 ACY917509:ADJ917511 AMU917509:ANF917511 AWQ917509:AXB917511 BGM917509:BGX917511 BQI917509:BQT917511 CAE917509:CAP917511 CKA917509:CKL917511 CTW917509:CUH917511 DDS917509:DED917511 DNO917509:DNZ917511 DXK917509:DXV917511 EHG917509:EHR917511 ERC917509:ERN917511 FAY917509:FBJ917511 FKU917509:FLF917511 FUQ917509:FVB917511 GEM917509:GEX917511 GOI917509:GOT917511 GYE917509:GYP917511 HIA917509:HIL917511 HRW917509:HSH917511 IBS917509:ICD917511 ILO917509:ILZ917511 IVK917509:IVV917511 JFG917509:JFR917511 JPC917509:JPN917511 JYY917509:JZJ917511 KIU917509:KJF917511 KSQ917509:KTB917511 LCM917509:LCX917511 LMI917509:LMT917511 LWE917509:LWP917511 MGA917509:MGL917511 MPW917509:MQH917511 MZS917509:NAD917511 NJO917509:NJZ917511 NTK917509:NTV917511 ODG917509:ODR917511 ONC917509:ONN917511 OWY917509:OXJ917511 PGU917509:PHF917511 PQQ917509:PRB917511 QAM917509:QAX917511 QKI917509:QKT917511 QUE917509:QUP917511 REA917509:REL917511 RNW917509:ROH917511 RXS917509:RYD917511 SHO917509:SHZ917511 SRK917509:SRV917511 TBG917509:TBR917511 TLC917509:TLN917511 TUY917509:TVJ917511 UEU917509:UFF917511 UOQ917509:UPB917511 UYM917509:UYX917511 VII917509:VIT917511 VSE917509:VSP917511 WCA917509:WCL917511 WLW917509:WMH917511 WVS917509:WWD917511 JG983045:JR983047 TC983045:TN983047 ACY983045:ADJ983047 AMU983045:ANF983047 AWQ983045:AXB983047 BGM983045:BGX983047 BQI983045:BQT983047 CAE983045:CAP983047 CKA983045:CKL983047 CTW983045:CUH983047 DDS983045:DED983047 DNO983045:DNZ983047 DXK983045:DXV983047 EHG983045:EHR983047 ERC983045:ERN983047 FAY983045:FBJ983047 FKU983045:FLF983047 FUQ983045:FVB983047 GEM983045:GEX983047 GOI983045:GOT983047 GYE983045:GYP983047 HIA983045:HIL983047 HRW983045:HSH983047 IBS983045:ICD983047 ILO983045:ILZ983047 IVK983045:IVV983047 JFG983045:JFR983047 JPC983045:JPN983047 JYY983045:JZJ983047 KIU983045:KJF983047 KSQ983045:KTB983047 LCM983045:LCX983047 LMI983045:LMT983047 LWE983045:LWP983047 MGA983045:MGL983047 MPW983045:MQH983047 MZS983045:NAD983047 NJO983045:NJZ983047 NTK983045:NTV983047 ODG983045:ODR983047 ONC983045:ONN983047 OWY983045:OXJ983047 PGU983045:PHF983047 PQQ983045:PRB983047 QAM983045:QAX983047 QKI983045:QKT983047 QUE983045:QUP983047 REA983045:REL983047 RNW983045:ROH983047 RXS983045:RYD983047 SHO983045:SHZ983047 SRK983045:SRV983047 TBG983045:TBR983047 TLC983045:TLN983047 TUY983045:TVJ983047 UEU983045:UFF983047 UOQ983045:UPB983047 UYM983045:UYX983047 VII983045:VIT983047 VSE983045:VSP983047 WCA983045:WCL983047 WLW983045:WMH983047 Z262144:AJ262146 Z196608:AJ196610 Z131072:AJ131074 Z65536:AJ65538 Z983045:AJ983047 Z917509:AJ917511 Z851973:AJ851975 Z786437:AJ786439 Z720901:AJ720903 Z655365:AJ655367 Z589829:AJ589831 Z524293:AJ524295 Z458757:AJ458759 Z393221:AJ393223 Z327685:AJ327687 Z262149:AJ262151 Z196613:AJ196615 Z131077:AJ131079 Z65541:AJ65543 Z983040:AJ983042 Z917504:AJ917506 Z851968:AJ851970 Z786432:AJ786434 Z720896:AJ720898 Z655360:AJ655362 Z589824:AJ589826 Z524288:AJ524290 Z458752:AJ458754 Z393216:AJ393218 Z327680:AJ327682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AA11:AC11 AA12 AA13:AC20 AA8:AA10 AA21:AA85">
      <formula1>"datetime,int,numeric,varchar,nvarchar"</formula1>
    </dataValidation>
    <dataValidation type="list" allowBlank="1" showInputMessage="1" showErrorMessage="1" sqref="Y8:Z85">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pageSetUpPr autoPageBreaks="0"/>
  </sheetPr>
  <dimension ref="A1:BE85"/>
  <sheetViews>
    <sheetView showGridLines="0" zoomScaleNormal="100" zoomScaleSheetLayoutView="85"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7"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7"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製品在庫実績情報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7"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7"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t_seihin_zaiko_jisseki</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7"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7"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7" ht="14.4" customHeight="1">
      <c r="A8" s="37">
        <f>IF(B8="","",COUNTA($B8:B$8))</f>
        <v>1</v>
      </c>
      <c r="B8" s="200" t="s">
        <v>1685</v>
      </c>
      <c r="C8" s="268"/>
      <c r="D8" s="268"/>
      <c r="E8" s="268"/>
      <c r="F8" s="268"/>
      <c r="G8" s="268"/>
      <c r="H8" s="268"/>
      <c r="I8" s="193" t="e">
        <v>#N/A</v>
      </c>
      <c r="J8" s="270"/>
      <c r="K8" s="270"/>
      <c r="L8" s="270"/>
      <c r="M8" s="270"/>
      <c r="N8" s="270"/>
      <c r="O8" s="270"/>
      <c r="P8" s="270"/>
      <c r="Q8" s="270"/>
      <c r="R8" s="200" t="s">
        <v>1685</v>
      </c>
      <c r="S8" s="268"/>
      <c r="T8" s="268"/>
      <c r="U8" s="268"/>
      <c r="V8" s="268"/>
      <c r="W8" s="268"/>
      <c r="X8" s="268"/>
      <c r="Y8" s="200" t="s">
        <v>1504</v>
      </c>
      <c r="Z8" s="201"/>
      <c r="AA8" s="639" t="s">
        <v>1505</v>
      </c>
      <c r="AB8" s="640"/>
      <c r="AC8" s="641"/>
      <c r="AD8" s="196">
        <v>15</v>
      </c>
      <c r="AE8" s="247" t="s">
        <v>1585</v>
      </c>
      <c r="AF8" s="247" t="s">
        <v>116</v>
      </c>
      <c r="AG8" s="247" t="s">
        <v>84</v>
      </c>
      <c r="AH8" s="247"/>
      <c r="AI8" s="247"/>
      <c r="AJ8" s="247"/>
      <c r="AK8" s="247"/>
      <c r="AL8" s="247"/>
      <c r="AM8" s="247"/>
      <c r="AN8" s="247"/>
      <c r="AO8" s="197"/>
      <c r="AP8" s="197"/>
      <c r="AQ8" s="197"/>
      <c r="AR8" s="197"/>
      <c r="AS8" s="193" t="s">
        <v>272</v>
      </c>
      <c r="AT8" s="198"/>
      <c r="AU8" s="198"/>
      <c r="AV8" s="198"/>
      <c r="AW8" s="198"/>
      <c r="AX8" s="198"/>
      <c r="AY8" s="198"/>
      <c r="AZ8" s="198"/>
      <c r="BA8" s="198"/>
      <c r="BB8" s="198"/>
      <c r="BC8" s="198"/>
      <c r="BD8" s="199"/>
      <c r="BE8" s="16" t="s">
        <v>1418</v>
      </c>
    </row>
    <row r="9" spans="1:57" ht="14.4" customHeight="1">
      <c r="A9" s="37">
        <f>IF(B9="","",COUNTA($B$8:B9))</f>
        <v>2</v>
      </c>
      <c r="B9" s="17" t="s">
        <v>1602</v>
      </c>
      <c r="C9" s="18"/>
      <c r="D9" s="18"/>
      <c r="E9" s="18"/>
      <c r="F9" s="18"/>
      <c r="G9" s="18"/>
      <c r="H9" s="18"/>
      <c r="I9" s="19" t="s">
        <v>1533</v>
      </c>
      <c r="J9" s="20"/>
      <c r="K9" s="20"/>
      <c r="L9" s="20"/>
      <c r="M9" s="20"/>
      <c r="N9" s="20"/>
      <c r="O9" s="20"/>
      <c r="P9" s="20"/>
      <c r="Q9" s="20"/>
      <c r="R9" s="17" t="s">
        <v>1602</v>
      </c>
      <c r="S9" s="18"/>
      <c r="T9" s="18"/>
      <c r="U9" s="18"/>
      <c r="V9" s="18"/>
      <c r="W9" s="18"/>
      <c r="X9" s="18"/>
      <c r="Y9" s="589" t="s">
        <v>111</v>
      </c>
      <c r="Z9" s="590"/>
      <c r="AA9" s="591" t="s">
        <v>106</v>
      </c>
      <c r="AB9" s="592"/>
      <c r="AC9" s="593"/>
      <c r="AD9" s="23">
        <v>15</v>
      </c>
      <c r="AE9" s="24" t="s">
        <v>1585</v>
      </c>
      <c r="AF9" s="24"/>
      <c r="AG9" s="24"/>
      <c r="AH9" s="24"/>
      <c r="AI9" s="24"/>
      <c r="AJ9" s="24"/>
      <c r="AK9" s="24"/>
      <c r="AL9" s="24"/>
      <c r="AM9" s="24"/>
      <c r="AN9" s="24"/>
      <c r="AO9" s="25"/>
      <c r="AP9" s="25"/>
      <c r="AQ9" s="25"/>
      <c r="AR9" s="25"/>
      <c r="AS9" s="35"/>
      <c r="AT9" s="36"/>
      <c r="AU9" s="36"/>
      <c r="AV9" s="36"/>
      <c r="AW9" s="36"/>
      <c r="AX9" s="36"/>
      <c r="AY9" s="36"/>
      <c r="AZ9" s="36"/>
      <c r="BA9" s="36"/>
      <c r="BB9" s="36"/>
      <c r="BC9" s="36"/>
      <c r="BD9" s="50"/>
    </row>
    <row r="10" spans="1:57" ht="14.4" customHeight="1">
      <c r="A10" s="37">
        <f>IF(B10="","",COUNTA($B$8:B10))</f>
        <v>3</v>
      </c>
      <c r="B10" s="17" t="s">
        <v>1608</v>
      </c>
      <c r="C10" s="18"/>
      <c r="D10" s="18"/>
      <c r="E10" s="18"/>
      <c r="F10" s="18"/>
      <c r="G10" s="18"/>
      <c r="H10" s="18"/>
      <c r="I10" s="19" t="s">
        <v>1534</v>
      </c>
      <c r="J10" s="20"/>
      <c r="K10" s="20"/>
      <c r="L10" s="20"/>
      <c r="M10" s="20"/>
      <c r="N10" s="20"/>
      <c r="O10" s="20"/>
      <c r="P10" s="20"/>
      <c r="Q10" s="20"/>
      <c r="R10" s="17" t="s">
        <v>1608</v>
      </c>
      <c r="S10" s="18"/>
      <c r="T10" s="18"/>
      <c r="U10" s="18"/>
      <c r="V10" s="18"/>
      <c r="W10" s="18"/>
      <c r="X10" s="18"/>
      <c r="Y10" s="589" t="s">
        <v>111</v>
      </c>
      <c r="Z10" s="636"/>
      <c r="AA10" s="591" t="s">
        <v>106</v>
      </c>
      <c r="AB10" s="592"/>
      <c r="AC10" s="593"/>
      <c r="AD10" s="23">
        <v>15</v>
      </c>
      <c r="AE10" s="24" t="s">
        <v>1585</v>
      </c>
      <c r="AF10" s="24"/>
      <c r="AG10" s="24"/>
      <c r="AH10" s="24"/>
      <c r="AI10" s="24"/>
      <c r="AJ10" s="24"/>
      <c r="AK10" s="24"/>
      <c r="AL10" s="24"/>
      <c r="AM10" s="24"/>
      <c r="AN10" s="24"/>
      <c r="AO10" s="25"/>
      <c r="AP10" s="25"/>
      <c r="AQ10" s="25"/>
      <c r="AR10" s="25"/>
      <c r="AS10" s="35"/>
      <c r="AT10" s="36"/>
      <c r="AU10" s="36"/>
      <c r="AV10" s="36"/>
      <c r="AW10" s="36"/>
      <c r="AX10" s="36"/>
      <c r="AY10" s="36"/>
      <c r="AZ10" s="36"/>
      <c r="BA10" s="36"/>
      <c r="BB10" s="36"/>
      <c r="BC10" s="36"/>
      <c r="BD10" s="50"/>
    </row>
    <row r="11" spans="1:57" ht="14.4" customHeight="1">
      <c r="A11" s="37">
        <f>IF(B11="","",COUNTA($B$8:B11))</f>
        <v>4</v>
      </c>
      <c r="B11" s="17" t="s">
        <v>1609</v>
      </c>
      <c r="C11" s="18"/>
      <c r="D11" s="18"/>
      <c r="E11" s="18"/>
      <c r="F11" s="18"/>
      <c r="G11" s="18"/>
      <c r="H11" s="18"/>
      <c r="I11" s="202" t="s">
        <v>1419</v>
      </c>
      <c r="J11" s="20"/>
      <c r="K11" s="20"/>
      <c r="L11" s="20"/>
      <c r="M11" s="20"/>
      <c r="N11" s="20"/>
      <c r="O11" s="20"/>
      <c r="P11" s="20"/>
      <c r="Q11" s="20"/>
      <c r="R11" s="17" t="s">
        <v>1609</v>
      </c>
      <c r="S11" s="18"/>
      <c r="T11" s="18"/>
      <c r="U11" s="18"/>
      <c r="V11" s="18"/>
      <c r="W11" s="18"/>
      <c r="X11" s="18"/>
      <c r="Y11" s="589" t="s">
        <v>107</v>
      </c>
      <c r="Z11" s="636"/>
      <c r="AA11" s="591" t="s">
        <v>109</v>
      </c>
      <c r="AB11" s="592"/>
      <c r="AC11" s="593"/>
      <c r="AD11" s="23">
        <v>3</v>
      </c>
      <c r="AE11" s="24" t="s">
        <v>1585</v>
      </c>
      <c r="AF11" s="24"/>
      <c r="AG11" s="24"/>
      <c r="AH11" s="24"/>
      <c r="AI11" s="24"/>
      <c r="AJ11" s="24"/>
      <c r="AK11" s="24"/>
      <c r="AL11" s="24"/>
      <c r="AM11" s="24"/>
      <c r="AN11" s="24"/>
      <c r="AO11" s="25"/>
      <c r="AP11" s="25"/>
      <c r="AQ11" s="25"/>
      <c r="AR11" s="25"/>
      <c r="AS11" s="35"/>
      <c r="AT11" s="36"/>
      <c r="AU11" s="36"/>
      <c r="AV11" s="36"/>
      <c r="AW11" s="36"/>
      <c r="AX11" s="36"/>
      <c r="AY11" s="36"/>
      <c r="AZ11" s="36"/>
      <c r="BA11" s="36"/>
      <c r="BB11" s="36"/>
      <c r="BC11" s="36"/>
      <c r="BD11" s="50"/>
    </row>
    <row r="12" spans="1:57" ht="14.4" customHeight="1">
      <c r="A12" s="37">
        <f>IF(B12="","",COUNTA($B$8:B12))</f>
        <v>5</v>
      </c>
      <c r="B12" s="17" t="s">
        <v>1584</v>
      </c>
      <c r="C12" s="18"/>
      <c r="D12" s="18"/>
      <c r="E12" s="18"/>
      <c r="F12" s="18"/>
      <c r="G12" s="18"/>
      <c r="H12" s="18"/>
      <c r="I12" s="26" t="s">
        <v>1420</v>
      </c>
      <c r="J12" s="134"/>
      <c r="K12" s="134"/>
      <c r="L12" s="134"/>
      <c r="M12" s="134"/>
      <c r="N12" s="134"/>
      <c r="O12" s="134"/>
      <c r="P12" s="134"/>
      <c r="Q12" s="134"/>
      <c r="R12" s="17" t="s">
        <v>1584</v>
      </c>
      <c r="S12" s="133"/>
      <c r="T12" s="133"/>
      <c r="U12" s="133"/>
      <c r="V12" s="133"/>
      <c r="W12" s="133"/>
      <c r="X12" s="133"/>
      <c r="Y12" s="589" t="s">
        <v>111</v>
      </c>
      <c r="Z12" s="636"/>
      <c r="AA12" s="591" t="s">
        <v>106</v>
      </c>
      <c r="AB12" s="592"/>
      <c r="AC12" s="593"/>
      <c r="AD12" s="23">
        <v>15</v>
      </c>
      <c r="AE12" s="24" t="s">
        <v>1585</v>
      </c>
      <c r="AF12" s="24"/>
      <c r="AG12" s="24"/>
      <c r="AH12" s="24"/>
      <c r="AI12" s="24"/>
      <c r="AJ12" s="24"/>
      <c r="AK12" s="24"/>
      <c r="AL12" s="24"/>
      <c r="AM12" s="24"/>
      <c r="AN12" s="24"/>
      <c r="AO12" s="25"/>
      <c r="AP12" s="25"/>
      <c r="AQ12" s="25"/>
      <c r="AR12" s="25"/>
      <c r="AS12" s="35"/>
      <c r="AT12" s="36"/>
      <c r="AU12" s="36"/>
      <c r="AV12" s="36"/>
      <c r="AW12" s="36"/>
      <c r="AX12" s="36"/>
      <c r="AY12" s="36"/>
      <c r="AZ12" s="36"/>
      <c r="BA12" s="36"/>
      <c r="BB12" s="36"/>
      <c r="BC12" s="36"/>
      <c r="BD12" s="50"/>
    </row>
    <row r="13" spans="1:57" ht="14.4" customHeight="1">
      <c r="A13" s="37">
        <f>IF(B13="","",COUNTA($B$8:B13))</f>
        <v>6</v>
      </c>
      <c r="B13" s="115" t="s">
        <v>1586</v>
      </c>
      <c r="C13" s="18"/>
      <c r="D13" s="18"/>
      <c r="E13" s="18"/>
      <c r="F13" s="18"/>
      <c r="G13" s="18"/>
      <c r="H13" s="18"/>
      <c r="I13" s="26" t="s">
        <v>1421</v>
      </c>
      <c r="J13" s="134"/>
      <c r="K13" s="134"/>
      <c r="L13" s="134"/>
      <c r="M13" s="134"/>
      <c r="N13" s="134"/>
      <c r="O13" s="134"/>
      <c r="P13" s="134"/>
      <c r="Q13" s="134"/>
      <c r="R13" s="115" t="s">
        <v>1586</v>
      </c>
      <c r="S13" s="133"/>
      <c r="T13" s="133"/>
      <c r="U13" s="133"/>
      <c r="V13" s="133"/>
      <c r="W13" s="133"/>
      <c r="X13" s="133"/>
      <c r="Y13" s="589" t="s">
        <v>107</v>
      </c>
      <c r="Z13" s="636"/>
      <c r="AA13" s="591" t="s">
        <v>109</v>
      </c>
      <c r="AB13" s="592"/>
      <c r="AC13" s="593"/>
      <c r="AD13" s="23">
        <v>3</v>
      </c>
      <c r="AE13" s="24" t="s">
        <v>1585</v>
      </c>
      <c r="AF13" s="24"/>
      <c r="AG13" s="24"/>
      <c r="AH13" s="24"/>
      <c r="AI13" s="24"/>
      <c r="AJ13" s="24"/>
      <c r="AK13" s="24"/>
      <c r="AL13" s="24"/>
      <c r="AM13" s="24"/>
      <c r="AN13" s="24"/>
      <c r="AO13" s="25"/>
      <c r="AP13" s="25"/>
      <c r="AQ13" s="25"/>
      <c r="AR13" s="25"/>
      <c r="AS13" s="35"/>
      <c r="AT13" s="36"/>
      <c r="AU13" s="36"/>
      <c r="AV13" s="36"/>
      <c r="AW13" s="36"/>
      <c r="AX13" s="36"/>
      <c r="AY13" s="36"/>
      <c r="AZ13" s="36"/>
      <c r="BA13" s="36"/>
      <c r="BB13" s="36"/>
      <c r="BC13" s="36"/>
      <c r="BD13" s="50"/>
    </row>
    <row r="14" spans="1:57" ht="14.4" customHeight="1">
      <c r="A14" s="37">
        <f>IF(B14="","",COUNTA($B$8:B14))</f>
        <v>7</v>
      </c>
      <c r="B14" s="17" t="s">
        <v>1606</v>
      </c>
      <c r="C14" s="18"/>
      <c r="D14" s="18"/>
      <c r="E14" s="18"/>
      <c r="F14" s="18"/>
      <c r="G14" s="18"/>
      <c r="H14" s="18"/>
      <c r="I14" s="19" t="s">
        <v>1535</v>
      </c>
      <c r="J14" s="134"/>
      <c r="K14" s="134"/>
      <c r="L14" s="134"/>
      <c r="M14" s="134"/>
      <c r="N14" s="134"/>
      <c r="O14" s="134"/>
      <c r="P14" s="134"/>
      <c r="Q14" s="134"/>
      <c r="R14" s="17" t="s">
        <v>1606</v>
      </c>
      <c r="S14" s="133"/>
      <c r="T14" s="133"/>
      <c r="U14" s="133"/>
      <c r="V14" s="133"/>
      <c r="W14" s="133"/>
      <c r="X14" s="133"/>
      <c r="Y14" s="589" t="s">
        <v>111</v>
      </c>
      <c r="Z14" s="636"/>
      <c r="AA14" s="591" t="s">
        <v>106</v>
      </c>
      <c r="AB14" s="592"/>
      <c r="AC14" s="593"/>
      <c r="AD14" s="23">
        <v>15</v>
      </c>
      <c r="AE14" s="24" t="s">
        <v>1585</v>
      </c>
      <c r="AF14" s="24"/>
      <c r="AG14" s="24"/>
      <c r="AH14" s="24"/>
      <c r="AI14" s="24"/>
      <c r="AJ14" s="24"/>
      <c r="AK14" s="24"/>
      <c r="AL14" s="24"/>
      <c r="AM14" s="24"/>
      <c r="AN14" s="24"/>
      <c r="AO14" s="25"/>
      <c r="AP14" s="25"/>
      <c r="AQ14" s="25"/>
      <c r="AR14" s="25"/>
      <c r="AS14" s="35"/>
      <c r="AT14" s="36"/>
      <c r="AU14" s="36"/>
      <c r="AV14" s="36"/>
      <c r="AW14" s="36"/>
      <c r="AX14" s="36"/>
      <c r="AY14" s="36"/>
      <c r="AZ14" s="36"/>
      <c r="BA14" s="36"/>
      <c r="BB14" s="36"/>
      <c r="BC14" s="36"/>
      <c r="BD14" s="50"/>
    </row>
    <row r="15" spans="1:57" ht="14.4" customHeight="1">
      <c r="A15" s="37">
        <f>IF(B15="","",COUNTA($B$8:B15))</f>
        <v>8</v>
      </c>
      <c r="B15" s="115" t="s">
        <v>1607</v>
      </c>
      <c r="C15" s="18"/>
      <c r="D15" s="18"/>
      <c r="E15" s="18"/>
      <c r="F15" s="18"/>
      <c r="G15" s="18"/>
      <c r="H15" s="18"/>
      <c r="I15" s="19" t="s">
        <v>1536</v>
      </c>
      <c r="J15" s="134"/>
      <c r="K15" s="134"/>
      <c r="L15" s="134"/>
      <c r="M15" s="134"/>
      <c r="N15" s="134"/>
      <c r="O15" s="134"/>
      <c r="P15" s="134"/>
      <c r="Q15" s="134"/>
      <c r="R15" s="115" t="s">
        <v>1607</v>
      </c>
      <c r="S15" s="133"/>
      <c r="T15" s="133"/>
      <c r="U15" s="133"/>
      <c r="V15" s="133"/>
      <c r="W15" s="133"/>
      <c r="X15" s="133"/>
      <c r="Y15" s="589" t="s">
        <v>107</v>
      </c>
      <c r="Z15" s="636"/>
      <c r="AA15" s="591" t="s">
        <v>109</v>
      </c>
      <c r="AB15" s="592"/>
      <c r="AC15" s="593"/>
      <c r="AD15" s="23">
        <v>3</v>
      </c>
      <c r="AE15" s="24" t="s">
        <v>1585</v>
      </c>
      <c r="AF15" s="24"/>
      <c r="AG15" s="24"/>
      <c r="AH15" s="24"/>
      <c r="AI15" s="24"/>
      <c r="AJ15" s="24"/>
      <c r="AK15" s="24"/>
      <c r="AL15" s="24"/>
      <c r="AM15" s="24"/>
      <c r="AN15" s="24"/>
      <c r="AO15" s="25"/>
      <c r="AP15" s="25"/>
      <c r="AQ15" s="25"/>
      <c r="AR15" s="25"/>
      <c r="AS15" s="35"/>
      <c r="AT15" s="36"/>
      <c r="AU15" s="36"/>
      <c r="AV15" s="36"/>
      <c r="AW15" s="36"/>
      <c r="AX15" s="36"/>
      <c r="AY15" s="36"/>
      <c r="AZ15" s="36"/>
      <c r="BA15" s="36"/>
      <c r="BB15" s="36"/>
      <c r="BC15" s="36"/>
      <c r="BD15" s="50"/>
    </row>
    <row r="16" spans="1:57" ht="14.4" customHeight="1">
      <c r="A16" s="37">
        <f>IF(B16="","",COUNTA($B$8:B16))</f>
        <v>9</v>
      </c>
      <c r="B16" s="17" t="s">
        <v>1605</v>
      </c>
      <c r="C16" s="18"/>
      <c r="D16" s="18"/>
      <c r="E16" s="18"/>
      <c r="F16" s="18"/>
      <c r="G16" s="18"/>
      <c r="H16" s="18"/>
      <c r="I16" s="19" t="s">
        <v>1537</v>
      </c>
      <c r="J16" s="134"/>
      <c r="K16" s="134"/>
      <c r="L16" s="134"/>
      <c r="M16" s="134"/>
      <c r="N16" s="134"/>
      <c r="O16" s="134"/>
      <c r="P16" s="134"/>
      <c r="Q16" s="134"/>
      <c r="R16" s="17" t="s">
        <v>1605</v>
      </c>
      <c r="S16" s="133"/>
      <c r="T16" s="133"/>
      <c r="U16" s="133"/>
      <c r="V16" s="133"/>
      <c r="W16" s="133"/>
      <c r="X16" s="133"/>
      <c r="Y16" s="589" t="s">
        <v>107</v>
      </c>
      <c r="Z16" s="636"/>
      <c r="AA16" s="591" t="s">
        <v>109</v>
      </c>
      <c r="AB16" s="592"/>
      <c r="AC16" s="593"/>
      <c r="AD16" s="23">
        <v>3</v>
      </c>
      <c r="AE16" s="24" t="s">
        <v>1585</v>
      </c>
      <c r="AF16" s="24"/>
      <c r="AG16" s="24"/>
      <c r="AH16" s="24"/>
      <c r="AI16" s="24"/>
      <c r="AJ16" s="24"/>
      <c r="AK16" s="24"/>
      <c r="AL16" s="24"/>
      <c r="AM16" s="24"/>
      <c r="AN16" s="24"/>
      <c r="AO16" s="25"/>
      <c r="AP16" s="25"/>
      <c r="AQ16" s="25"/>
      <c r="AR16" s="25"/>
      <c r="AS16" s="35"/>
      <c r="AT16" s="36"/>
      <c r="AU16" s="36"/>
      <c r="AV16" s="36"/>
      <c r="AW16" s="36"/>
      <c r="AX16" s="36"/>
      <c r="AY16" s="36"/>
      <c r="AZ16" s="36"/>
      <c r="BA16" s="36"/>
      <c r="BB16" s="36"/>
      <c r="BC16" s="36"/>
      <c r="BD16" s="50"/>
    </row>
    <row r="17" spans="1:57" ht="14.4" customHeight="1">
      <c r="A17" s="37">
        <f>IF(B17="","",COUNTA($B$8:B17))</f>
        <v>10</v>
      </c>
      <c r="B17" s="17" t="s">
        <v>1604</v>
      </c>
      <c r="C17" s="18"/>
      <c r="D17" s="18"/>
      <c r="E17" s="18"/>
      <c r="F17" s="18"/>
      <c r="G17" s="18"/>
      <c r="H17" s="18"/>
      <c r="I17" s="19" t="s">
        <v>1538</v>
      </c>
      <c r="J17" s="134"/>
      <c r="K17" s="134"/>
      <c r="L17" s="134"/>
      <c r="M17" s="134"/>
      <c r="N17" s="134"/>
      <c r="O17" s="134"/>
      <c r="P17" s="134"/>
      <c r="Q17" s="134"/>
      <c r="R17" s="17" t="s">
        <v>1604</v>
      </c>
      <c r="S17" s="133"/>
      <c r="T17" s="133"/>
      <c r="U17" s="133"/>
      <c r="V17" s="133"/>
      <c r="W17" s="133"/>
      <c r="X17" s="133"/>
      <c r="Y17" s="589" t="s">
        <v>107</v>
      </c>
      <c r="Z17" s="636"/>
      <c r="AA17" s="591" t="s">
        <v>109</v>
      </c>
      <c r="AB17" s="592"/>
      <c r="AC17" s="593"/>
      <c r="AD17" s="23">
        <v>3</v>
      </c>
      <c r="AE17" s="24" t="s">
        <v>1585</v>
      </c>
      <c r="AF17" s="24"/>
      <c r="AG17" s="24"/>
      <c r="AH17" s="24"/>
      <c r="AI17" s="24"/>
      <c r="AJ17" s="24"/>
      <c r="AK17" s="24"/>
      <c r="AL17" s="24"/>
      <c r="AM17" s="24"/>
      <c r="AN17" s="24"/>
      <c r="AO17" s="25"/>
      <c r="AP17" s="25"/>
      <c r="AQ17" s="25"/>
      <c r="AR17" s="25"/>
      <c r="AS17" s="35"/>
      <c r="AT17" s="36"/>
      <c r="AU17" s="36"/>
      <c r="AV17" s="36"/>
      <c r="AW17" s="36"/>
      <c r="AX17" s="36"/>
      <c r="AY17" s="36"/>
      <c r="AZ17" s="36"/>
      <c r="BA17" s="36"/>
      <c r="BB17" s="36"/>
      <c r="BC17" s="36"/>
      <c r="BD17" s="50"/>
    </row>
    <row r="18" spans="1:57" ht="14.4" customHeight="1">
      <c r="A18" s="37">
        <f>IF(B18="","",COUNTA($B$8:B18))</f>
        <v>11</v>
      </c>
      <c r="B18" s="200" t="s">
        <v>1603</v>
      </c>
      <c r="C18" s="268"/>
      <c r="D18" s="268"/>
      <c r="E18" s="268"/>
      <c r="F18" s="268"/>
      <c r="G18" s="268"/>
      <c r="H18" s="268"/>
      <c r="I18" s="280"/>
      <c r="J18" s="281"/>
      <c r="K18" s="281"/>
      <c r="L18" s="281"/>
      <c r="M18" s="281"/>
      <c r="N18" s="281"/>
      <c r="O18" s="281"/>
      <c r="P18" s="281"/>
      <c r="Q18" s="281"/>
      <c r="R18" s="200" t="s">
        <v>1603</v>
      </c>
      <c r="S18" s="279"/>
      <c r="T18" s="279"/>
      <c r="U18" s="279"/>
      <c r="V18" s="279"/>
      <c r="W18" s="279"/>
      <c r="X18" s="279"/>
      <c r="Y18" s="637"/>
      <c r="Z18" s="679"/>
      <c r="AA18" s="639"/>
      <c r="AB18" s="640"/>
      <c r="AC18" s="641"/>
      <c r="AD18" s="271"/>
      <c r="AE18" s="247" t="s">
        <v>1585</v>
      </c>
      <c r="AF18" s="247"/>
      <c r="AG18" s="247"/>
      <c r="AH18" s="247"/>
      <c r="AI18" s="247"/>
      <c r="AJ18" s="247"/>
      <c r="AK18" s="247"/>
      <c r="AL18" s="247"/>
      <c r="AM18" s="247"/>
      <c r="AN18" s="247"/>
      <c r="AO18" s="197"/>
      <c r="AP18" s="197"/>
      <c r="AQ18" s="197"/>
      <c r="AR18" s="197"/>
      <c r="AS18" s="193"/>
      <c r="AT18" s="198"/>
      <c r="AU18" s="198"/>
      <c r="AV18" s="198"/>
      <c r="AW18" s="198"/>
      <c r="AX18" s="198"/>
      <c r="AY18" s="198"/>
      <c r="AZ18" s="198"/>
      <c r="BA18" s="198"/>
      <c r="BB18" s="198"/>
      <c r="BC18" s="198"/>
      <c r="BD18" s="199"/>
      <c r="BE18" s="16" t="s">
        <v>1418</v>
      </c>
    </row>
    <row r="19" spans="1:57" ht="14.4" customHeight="1">
      <c r="A19" s="37">
        <f>IF(B19="","",COUNTA($B$8:B19))</f>
        <v>12</v>
      </c>
      <c r="B19" s="17" t="s">
        <v>1587</v>
      </c>
      <c r="C19" s="18"/>
      <c r="D19" s="18"/>
      <c r="E19" s="18"/>
      <c r="F19" s="18"/>
      <c r="G19" s="18"/>
      <c r="H19" s="18"/>
      <c r="I19" s="19" t="s">
        <v>1423</v>
      </c>
      <c r="J19" s="134"/>
      <c r="K19" s="134"/>
      <c r="L19" s="134"/>
      <c r="M19" s="134"/>
      <c r="N19" s="134"/>
      <c r="O19" s="134"/>
      <c r="P19" s="134"/>
      <c r="Q19" s="134"/>
      <c r="R19" s="17" t="s">
        <v>1587</v>
      </c>
      <c r="S19" s="133"/>
      <c r="T19" s="133"/>
      <c r="U19" s="133"/>
      <c r="V19" s="133"/>
      <c r="W19" s="133"/>
      <c r="X19" s="133"/>
      <c r="Y19" s="589" t="s">
        <v>111</v>
      </c>
      <c r="Z19" s="636"/>
      <c r="AA19" s="591" t="s">
        <v>106</v>
      </c>
      <c r="AB19" s="592"/>
      <c r="AC19" s="593"/>
      <c r="AD19" s="23">
        <v>15</v>
      </c>
      <c r="AE19" s="24" t="s">
        <v>1585</v>
      </c>
      <c r="AF19" s="24"/>
      <c r="AG19" s="24"/>
      <c r="AH19" s="24"/>
      <c r="AI19" s="24"/>
      <c r="AJ19" s="24"/>
      <c r="AK19" s="24"/>
      <c r="AL19" s="24"/>
      <c r="AM19" s="24"/>
      <c r="AN19" s="24"/>
      <c r="AO19" s="25"/>
      <c r="AP19" s="25"/>
      <c r="AQ19" s="25"/>
      <c r="AR19" s="25"/>
      <c r="AS19" s="35"/>
      <c r="AT19" s="36"/>
      <c r="AU19" s="36"/>
      <c r="AV19" s="36"/>
      <c r="AW19" s="36"/>
      <c r="AX19" s="36"/>
      <c r="AY19" s="36"/>
      <c r="AZ19" s="36"/>
      <c r="BA19" s="36"/>
      <c r="BB19" s="36"/>
      <c r="BC19" s="36"/>
      <c r="BD19" s="50"/>
    </row>
    <row r="20" spans="1:57" ht="14.4" customHeight="1">
      <c r="A20" s="37">
        <f>IF(B20="","",COUNTA($B$8:B20))</f>
        <v>13</v>
      </c>
      <c r="B20" s="115" t="s">
        <v>1588</v>
      </c>
      <c r="C20" s="18"/>
      <c r="D20" s="18"/>
      <c r="E20" s="18"/>
      <c r="F20" s="18"/>
      <c r="G20" s="18"/>
      <c r="H20" s="18"/>
      <c r="I20" s="19" t="s">
        <v>1424</v>
      </c>
      <c r="J20" s="134"/>
      <c r="K20" s="134"/>
      <c r="L20" s="134"/>
      <c r="M20" s="134"/>
      <c r="N20" s="134"/>
      <c r="O20" s="134"/>
      <c r="P20" s="134"/>
      <c r="Q20" s="134"/>
      <c r="R20" s="115" t="s">
        <v>1588</v>
      </c>
      <c r="S20" s="133"/>
      <c r="T20" s="133"/>
      <c r="U20" s="133"/>
      <c r="V20" s="133"/>
      <c r="W20" s="133"/>
      <c r="X20" s="133"/>
      <c r="Y20" s="589" t="s">
        <v>107</v>
      </c>
      <c r="Z20" s="636"/>
      <c r="AA20" s="591" t="s">
        <v>109</v>
      </c>
      <c r="AB20" s="592"/>
      <c r="AC20" s="593"/>
      <c r="AD20" s="23">
        <v>3</v>
      </c>
      <c r="AE20" s="24" t="s">
        <v>1585</v>
      </c>
      <c r="AF20" s="24"/>
      <c r="AG20" s="24"/>
      <c r="AH20" s="24"/>
      <c r="AI20" s="24"/>
      <c r="AJ20" s="24"/>
      <c r="AK20" s="24"/>
      <c r="AL20" s="24"/>
      <c r="AM20" s="24"/>
      <c r="AN20" s="24"/>
      <c r="AO20" s="25"/>
      <c r="AP20" s="25"/>
      <c r="AQ20" s="25"/>
      <c r="AR20" s="25"/>
      <c r="AS20" s="35"/>
      <c r="AT20" s="36"/>
      <c r="AU20" s="36"/>
      <c r="AV20" s="36"/>
      <c r="AW20" s="36"/>
      <c r="AX20" s="36"/>
      <c r="AY20" s="36"/>
      <c r="AZ20" s="36"/>
      <c r="BA20" s="36"/>
      <c r="BB20" s="36"/>
      <c r="BC20" s="36"/>
      <c r="BD20" s="50"/>
    </row>
    <row r="21" spans="1:57" ht="14.4" customHeight="1">
      <c r="A21" s="206">
        <f>IF(B21="","",COUNTA($B$8:B21))</f>
        <v>14</v>
      </c>
      <c r="B21" s="370" t="s">
        <v>1786</v>
      </c>
      <c r="C21" s="378"/>
      <c r="D21" s="378"/>
      <c r="E21" s="378"/>
      <c r="F21" s="378"/>
      <c r="G21" s="378"/>
      <c r="H21" s="378"/>
      <c r="I21" s="370" t="s">
        <v>1794</v>
      </c>
      <c r="J21" s="379"/>
      <c r="K21" s="379"/>
      <c r="L21" s="379"/>
      <c r="M21" s="379"/>
      <c r="N21" s="379"/>
      <c r="O21" s="379"/>
      <c r="P21" s="379"/>
      <c r="Q21" s="379"/>
      <c r="R21" s="370" t="s">
        <v>1786</v>
      </c>
      <c r="S21" s="378"/>
      <c r="T21" s="378"/>
      <c r="U21" s="378"/>
      <c r="V21" s="378"/>
      <c r="W21" s="378"/>
      <c r="X21" s="378"/>
      <c r="Y21" s="655" t="s">
        <v>141</v>
      </c>
      <c r="Z21" s="656"/>
      <c r="AA21" s="657" t="s">
        <v>1285</v>
      </c>
      <c r="AB21" s="658"/>
      <c r="AC21" s="659"/>
      <c r="AD21" s="369">
        <v>30</v>
      </c>
      <c r="AE21" s="351"/>
      <c r="AF21" s="351"/>
      <c r="AG21" s="351"/>
      <c r="AH21" s="351"/>
      <c r="AI21" s="351"/>
      <c r="AJ21" s="351"/>
      <c r="AK21" s="351"/>
      <c r="AL21" s="351"/>
      <c r="AM21" s="351"/>
      <c r="AN21" s="351"/>
      <c r="AO21" s="351"/>
      <c r="AP21" s="351"/>
      <c r="AQ21" s="351"/>
      <c r="AR21" s="351"/>
      <c r="AS21" s="347" t="s">
        <v>1837</v>
      </c>
      <c r="AT21" s="372"/>
      <c r="AU21" s="372"/>
      <c r="AV21" s="372"/>
      <c r="AW21" s="372"/>
      <c r="AX21" s="372"/>
      <c r="AY21" s="372"/>
      <c r="AZ21" s="372"/>
      <c r="BA21" s="372"/>
      <c r="BB21" s="372"/>
      <c r="BC21" s="372"/>
      <c r="BD21" s="373"/>
      <c r="BE21" s="16" t="s">
        <v>1834</v>
      </c>
    </row>
    <row r="22" spans="1:57" ht="14.4" customHeight="1">
      <c r="A22" s="37">
        <f>IF(B22="","",COUNTA($B$8:B22))</f>
        <v>15</v>
      </c>
      <c r="B22" s="17" t="s">
        <v>1711</v>
      </c>
      <c r="C22" s="18"/>
      <c r="D22" s="18"/>
      <c r="E22" s="18"/>
      <c r="F22" s="18"/>
      <c r="G22" s="18"/>
      <c r="H22" s="18"/>
      <c r="I22" s="35" t="s">
        <v>1461</v>
      </c>
      <c r="J22" s="20"/>
      <c r="K22" s="20"/>
      <c r="L22" s="20"/>
      <c r="M22" s="20"/>
      <c r="N22" s="20"/>
      <c r="O22" s="20"/>
      <c r="P22" s="20"/>
      <c r="Q22" s="20"/>
      <c r="R22" s="17" t="s">
        <v>1711</v>
      </c>
      <c r="S22" s="18"/>
      <c r="T22" s="18"/>
      <c r="U22" s="18"/>
      <c r="V22" s="18"/>
      <c r="W22" s="18"/>
      <c r="X22" s="18"/>
      <c r="Y22" s="17" t="s">
        <v>1504</v>
      </c>
      <c r="Z22" s="28"/>
      <c r="AA22" s="591" t="s">
        <v>1505</v>
      </c>
      <c r="AB22" s="592"/>
      <c r="AC22" s="593"/>
      <c r="AD22" s="53">
        <v>8</v>
      </c>
      <c r="AE22" s="24" t="s">
        <v>1585</v>
      </c>
      <c r="AF22" s="24"/>
      <c r="AG22" s="24"/>
      <c r="AH22" s="24"/>
      <c r="AI22" s="24"/>
      <c r="AJ22" s="24"/>
      <c r="AK22" s="24"/>
      <c r="AL22" s="24"/>
      <c r="AM22" s="24"/>
      <c r="AN22" s="24"/>
      <c r="AO22" s="25"/>
      <c r="AP22" s="25"/>
      <c r="AQ22" s="25"/>
      <c r="AR22" s="25"/>
      <c r="AS22" s="35"/>
      <c r="AT22" s="36"/>
      <c r="AU22" s="36"/>
      <c r="AV22" s="36"/>
      <c r="AW22" s="36"/>
      <c r="AX22" s="36"/>
      <c r="AY22" s="36"/>
      <c r="AZ22" s="36"/>
      <c r="BA22" s="36"/>
      <c r="BB22" s="36"/>
      <c r="BC22" s="36"/>
      <c r="BD22" s="50"/>
      <c r="BE22" s="16" t="s">
        <v>1370</v>
      </c>
    </row>
    <row r="23" spans="1:57" ht="14.4" customHeight="1">
      <c r="A23" s="37">
        <f>IF(B23="","",COUNTA($B$8:B23))</f>
        <v>16</v>
      </c>
      <c r="B23" s="200" t="s">
        <v>1683</v>
      </c>
      <c r="C23" s="268"/>
      <c r="D23" s="268"/>
      <c r="E23" s="268"/>
      <c r="F23" s="268"/>
      <c r="G23" s="268"/>
      <c r="H23" s="268"/>
      <c r="I23" s="193" t="s">
        <v>1098</v>
      </c>
      <c r="J23" s="270"/>
      <c r="K23" s="270"/>
      <c r="L23" s="270"/>
      <c r="M23" s="270"/>
      <c r="N23" s="270"/>
      <c r="O23" s="270"/>
      <c r="P23" s="270"/>
      <c r="Q23" s="270"/>
      <c r="R23" s="200" t="s">
        <v>1683</v>
      </c>
      <c r="S23" s="268"/>
      <c r="T23" s="268"/>
      <c r="U23" s="268"/>
      <c r="V23" s="268"/>
      <c r="W23" s="268"/>
      <c r="X23" s="268"/>
      <c r="Y23" s="200" t="s">
        <v>141</v>
      </c>
      <c r="Z23" s="201"/>
      <c r="AA23" s="639" t="s">
        <v>1285</v>
      </c>
      <c r="AB23" s="640"/>
      <c r="AC23" s="641"/>
      <c r="AD23" s="196">
        <v>15</v>
      </c>
      <c r="AE23" s="247" t="s">
        <v>1585</v>
      </c>
      <c r="AF23" s="247"/>
      <c r="AG23" s="247"/>
      <c r="AH23" s="247"/>
      <c r="AI23" s="247"/>
      <c r="AJ23" s="247"/>
      <c r="AK23" s="247"/>
      <c r="AL23" s="247"/>
      <c r="AM23" s="247"/>
      <c r="AN23" s="247"/>
      <c r="AO23" s="197"/>
      <c r="AP23" s="197"/>
      <c r="AQ23" s="197"/>
      <c r="AR23" s="197"/>
      <c r="AS23" s="193"/>
      <c r="AT23" s="198"/>
      <c r="AU23" s="198"/>
      <c r="AV23" s="198"/>
      <c r="AW23" s="198"/>
      <c r="AX23" s="198"/>
      <c r="AY23" s="198"/>
      <c r="AZ23" s="198"/>
      <c r="BA23" s="198"/>
      <c r="BB23" s="198"/>
      <c r="BC23" s="198"/>
      <c r="BD23" s="199"/>
      <c r="BE23" s="16" t="s">
        <v>1833</v>
      </c>
    </row>
    <row r="24" spans="1:57" ht="14.4" customHeight="1">
      <c r="A24" s="37">
        <f>IF(B24="","",COUNTA($B$8:B24))</f>
        <v>17</v>
      </c>
      <c r="B24" s="344" t="s">
        <v>1830</v>
      </c>
      <c r="C24" s="345"/>
      <c r="D24" s="345"/>
      <c r="E24" s="345"/>
      <c r="F24" s="345"/>
      <c r="G24" s="345"/>
      <c r="H24" s="345"/>
      <c r="I24" s="370" t="s">
        <v>1832</v>
      </c>
      <c r="J24" s="348"/>
      <c r="K24" s="348"/>
      <c r="L24" s="348"/>
      <c r="M24" s="348"/>
      <c r="N24" s="348"/>
      <c r="O24" s="348"/>
      <c r="P24" s="348"/>
      <c r="Q24" s="348"/>
      <c r="R24" s="344" t="s">
        <v>1830</v>
      </c>
      <c r="S24" s="345"/>
      <c r="T24" s="345"/>
      <c r="U24" s="345"/>
      <c r="V24" s="345"/>
      <c r="W24" s="345"/>
      <c r="X24" s="345"/>
      <c r="Y24" s="344" t="s">
        <v>141</v>
      </c>
      <c r="Z24" s="349"/>
      <c r="AA24" s="657" t="s">
        <v>1285</v>
      </c>
      <c r="AB24" s="658"/>
      <c r="AC24" s="659"/>
      <c r="AD24" s="371">
        <v>15</v>
      </c>
      <c r="AE24" s="352" t="s">
        <v>1585</v>
      </c>
      <c r="AF24" s="352"/>
      <c r="AG24" s="352"/>
      <c r="AH24" s="352"/>
      <c r="AI24" s="352"/>
      <c r="AJ24" s="352"/>
      <c r="AK24" s="352"/>
      <c r="AL24" s="352"/>
      <c r="AM24" s="352"/>
      <c r="AN24" s="352"/>
      <c r="AO24" s="351"/>
      <c r="AP24" s="351"/>
      <c r="AQ24" s="351"/>
      <c r="AR24" s="351"/>
      <c r="AS24" s="370"/>
      <c r="AT24" s="372"/>
      <c r="AU24" s="372"/>
      <c r="AV24" s="372"/>
      <c r="AW24" s="372"/>
      <c r="AX24" s="372"/>
      <c r="AY24" s="372"/>
      <c r="AZ24" s="372"/>
      <c r="BA24" s="372"/>
      <c r="BB24" s="372"/>
      <c r="BC24" s="372"/>
      <c r="BD24" s="373"/>
      <c r="BE24" s="291" t="s">
        <v>1834</v>
      </c>
    </row>
    <row r="25" spans="1:57" ht="14.4" customHeight="1">
      <c r="A25" s="37">
        <f>IF(B25="","",COUNTA($B$8:B25))</f>
        <v>18</v>
      </c>
      <c r="B25" s="17" t="s">
        <v>1683</v>
      </c>
      <c r="C25" s="18"/>
      <c r="D25" s="18"/>
      <c r="E25" s="18"/>
      <c r="F25" s="18"/>
      <c r="G25" s="18"/>
      <c r="H25" s="18"/>
      <c r="I25" s="35" t="s">
        <v>1098</v>
      </c>
      <c r="J25" s="20"/>
      <c r="K25" s="20"/>
      <c r="L25" s="20"/>
      <c r="M25" s="20"/>
      <c r="N25" s="20"/>
      <c r="O25" s="20"/>
      <c r="P25" s="20"/>
      <c r="Q25" s="20"/>
      <c r="R25" s="17" t="s">
        <v>1683</v>
      </c>
      <c r="S25" s="18"/>
      <c r="T25" s="18"/>
      <c r="U25" s="18"/>
      <c r="V25" s="18"/>
      <c r="W25" s="18"/>
      <c r="X25" s="18"/>
      <c r="Y25" s="17" t="s">
        <v>1504</v>
      </c>
      <c r="Z25" s="28"/>
      <c r="AA25" s="591" t="s">
        <v>1505</v>
      </c>
      <c r="AB25" s="592"/>
      <c r="AC25" s="593"/>
      <c r="AD25" s="53">
        <v>15</v>
      </c>
      <c r="AE25" s="24" t="s">
        <v>1585</v>
      </c>
      <c r="AF25" s="24"/>
      <c r="AG25" s="24"/>
      <c r="AH25" s="24"/>
      <c r="AI25" s="24"/>
      <c r="AJ25" s="24"/>
      <c r="AK25" s="24"/>
      <c r="AL25" s="24"/>
      <c r="AM25" s="24"/>
      <c r="AN25" s="24"/>
      <c r="AO25" s="25"/>
      <c r="AP25" s="25"/>
      <c r="AQ25" s="25"/>
      <c r="AR25" s="25"/>
      <c r="AS25" s="35"/>
      <c r="AT25" s="36"/>
      <c r="AU25" s="36"/>
      <c r="AV25" s="36"/>
      <c r="AW25" s="36"/>
      <c r="AX25" s="36"/>
      <c r="AY25" s="36"/>
      <c r="AZ25" s="36"/>
      <c r="BA25" s="36"/>
      <c r="BB25" s="36"/>
      <c r="BC25" s="36"/>
      <c r="BD25" s="50"/>
    </row>
    <row r="26" spans="1:57" ht="14.4" customHeight="1">
      <c r="A26" s="37">
        <f>IF(B26="","",COUNTA($B$8:B26))</f>
        <v>19</v>
      </c>
      <c r="B26" s="35" t="s">
        <v>1660</v>
      </c>
      <c r="C26" s="34"/>
      <c r="D26" s="34"/>
      <c r="E26" s="34"/>
      <c r="F26" s="34"/>
      <c r="G26" s="34"/>
      <c r="H26" s="34"/>
      <c r="I26" s="35" t="s">
        <v>1541</v>
      </c>
      <c r="J26" s="27"/>
      <c r="K26" s="27"/>
      <c r="L26" s="27"/>
      <c r="M26" s="27"/>
      <c r="N26" s="27"/>
      <c r="O26" s="27"/>
      <c r="P26" s="27"/>
      <c r="Q26" s="27"/>
      <c r="R26" s="35" t="s">
        <v>1660</v>
      </c>
      <c r="S26" s="34"/>
      <c r="T26" s="34"/>
      <c r="U26" s="34"/>
      <c r="V26" s="34"/>
      <c r="W26" s="34"/>
      <c r="X26" s="34"/>
      <c r="Y26" s="589" t="s">
        <v>1510</v>
      </c>
      <c r="Z26" s="636"/>
      <c r="AA26" s="591" t="s">
        <v>1511</v>
      </c>
      <c r="AB26" s="592"/>
      <c r="AC26" s="593"/>
      <c r="AD26" s="53"/>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7" ht="14.4" customHeight="1">
      <c r="A27" s="37">
        <f>IF(B27="","",COUNTA($B$8:B27))</f>
        <v>20</v>
      </c>
      <c r="B27" s="35" t="s">
        <v>1659</v>
      </c>
      <c r="C27" s="34"/>
      <c r="D27" s="34"/>
      <c r="E27" s="34"/>
      <c r="F27" s="34"/>
      <c r="G27" s="34"/>
      <c r="H27" s="34"/>
      <c r="I27" s="35" t="s">
        <v>1542</v>
      </c>
      <c r="J27" s="27"/>
      <c r="K27" s="27"/>
      <c r="L27" s="27"/>
      <c r="M27" s="27"/>
      <c r="N27" s="27"/>
      <c r="O27" s="27"/>
      <c r="P27" s="27"/>
      <c r="Q27" s="27"/>
      <c r="R27" s="35" t="s">
        <v>1659</v>
      </c>
      <c r="S27" s="34"/>
      <c r="T27" s="34"/>
      <c r="U27" s="34"/>
      <c r="V27" s="34"/>
      <c r="W27" s="34"/>
      <c r="X27" s="34"/>
      <c r="Y27" s="589" t="s">
        <v>1504</v>
      </c>
      <c r="Z27" s="590"/>
      <c r="AA27" s="591" t="s">
        <v>1505</v>
      </c>
      <c r="AB27" s="592"/>
      <c r="AC27" s="593"/>
      <c r="AD27" s="53">
        <v>3</v>
      </c>
      <c r="AE27" s="25"/>
      <c r="AF27" s="25"/>
      <c r="AG27" s="25"/>
      <c r="AH27" s="25"/>
      <c r="AI27" s="25"/>
      <c r="AJ27" s="25"/>
      <c r="AK27" s="25"/>
      <c r="AL27" s="25"/>
      <c r="AM27" s="25"/>
      <c r="AN27" s="25"/>
      <c r="AO27" s="25"/>
      <c r="AP27" s="25"/>
      <c r="AQ27" s="25"/>
      <c r="AR27" s="25"/>
      <c r="AS27" s="35" t="s">
        <v>271</v>
      </c>
      <c r="AT27" s="36"/>
      <c r="AU27" s="36"/>
      <c r="AV27" s="36"/>
      <c r="AW27" s="36"/>
      <c r="AX27" s="36"/>
      <c r="AY27" s="36"/>
      <c r="AZ27" s="36"/>
      <c r="BA27" s="36"/>
      <c r="BB27" s="36"/>
      <c r="BC27" s="36"/>
      <c r="BD27" s="50"/>
    </row>
    <row r="28" spans="1:57" ht="14.4" customHeight="1">
      <c r="A28" s="93">
        <f>IF(B28="","",COUNTA($B$8:B28))</f>
        <v>21</v>
      </c>
      <c r="B28" s="87" t="s">
        <v>1623</v>
      </c>
      <c r="C28" s="181"/>
      <c r="D28" s="181"/>
      <c r="E28" s="181"/>
      <c r="F28" s="181"/>
      <c r="G28" s="181"/>
      <c r="H28" s="181"/>
      <c r="I28" s="35" t="s">
        <v>1428</v>
      </c>
      <c r="J28" s="182"/>
      <c r="K28" s="182"/>
      <c r="L28" s="182"/>
      <c r="M28" s="182"/>
      <c r="N28" s="182"/>
      <c r="O28" s="182"/>
      <c r="P28" s="182"/>
      <c r="Q28" s="182"/>
      <c r="R28" s="87" t="s">
        <v>1623</v>
      </c>
      <c r="S28" s="181"/>
      <c r="T28" s="181"/>
      <c r="U28" s="181"/>
      <c r="V28" s="181"/>
      <c r="W28" s="181"/>
      <c r="X28" s="181"/>
      <c r="Y28" s="647" t="s">
        <v>1504</v>
      </c>
      <c r="Z28" s="648"/>
      <c r="AA28" s="649" t="s">
        <v>1505</v>
      </c>
      <c r="AB28" s="650"/>
      <c r="AC28" s="651"/>
      <c r="AD28" s="94">
        <v>3</v>
      </c>
      <c r="AE28" s="95"/>
      <c r="AF28" s="95"/>
      <c r="AG28" s="95"/>
      <c r="AH28" s="95"/>
      <c r="AI28" s="95"/>
      <c r="AJ28" s="95"/>
      <c r="AK28" s="95"/>
      <c r="AL28" s="95"/>
      <c r="AM28" s="95"/>
      <c r="AN28" s="95"/>
      <c r="AO28" s="95"/>
      <c r="AP28" s="95"/>
      <c r="AQ28" s="95"/>
      <c r="AR28" s="95"/>
      <c r="AS28" s="87" t="s">
        <v>1277</v>
      </c>
      <c r="AT28" s="88"/>
      <c r="AU28" s="88"/>
      <c r="AV28" s="88"/>
      <c r="AW28" s="88"/>
      <c r="AX28" s="88"/>
      <c r="AY28" s="88"/>
      <c r="AZ28" s="88"/>
      <c r="BA28" s="88"/>
      <c r="BB28" s="88"/>
      <c r="BC28" s="88"/>
      <c r="BD28" s="89"/>
    </row>
    <row r="29" spans="1:57" ht="14.4" customHeight="1">
      <c r="A29" s="96" t="str">
        <f>IF(B29="","",COUNTA($B$8:B29))</f>
        <v/>
      </c>
      <c r="B29" s="97"/>
      <c r="C29" s="98"/>
      <c r="D29" s="98"/>
      <c r="E29" s="98"/>
      <c r="F29" s="98"/>
      <c r="G29" s="98"/>
      <c r="H29" s="98"/>
      <c r="I29" s="90"/>
      <c r="J29" s="99"/>
      <c r="K29" s="99"/>
      <c r="L29" s="99"/>
      <c r="M29" s="99"/>
      <c r="N29" s="99"/>
      <c r="O29" s="99"/>
      <c r="P29" s="99"/>
      <c r="Q29" s="114"/>
      <c r="R29" s="97"/>
      <c r="S29" s="98"/>
      <c r="T29" s="98"/>
      <c r="U29" s="98"/>
      <c r="V29" s="98"/>
      <c r="W29" s="98"/>
      <c r="X29" s="98"/>
      <c r="Y29" s="97"/>
      <c r="Z29" s="100"/>
      <c r="AA29" s="644"/>
      <c r="AB29" s="645"/>
      <c r="AC29" s="646"/>
      <c r="AD29" s="101"/>
      <c r="AE29" s="102"/>
      <c r="AF29" s="102"/>
      <c r="AG29" s="102"/>
      <c r="AH29" s="102"/>
      <c r="AI29" s="102"/>
      <c r="AJ29" s="102"/>
      <c r="AK29" s="102"/>
      <c r="AL29" s="102"/>
      <c r="AM29" s="102"/>
      <c r="AN29" s="102"/>
      <c r="AO29" s="103"/>
      <c r="AP29" s="103"/>
      <c r="AQ29" s="103"/>
      <c r="AR29" s="103"/>
      <c r="AS29" s="90" t="s">
        <v>1278</v>
      </c>
      <c r="AT29" s="91"/>
      <c r="AU29" s="91"/>
      <c r="AV29" s="91"/>
      <c r="AW29" s="91"/>
      <c r="AX29" s="91"/>
      <c r="AY29" s="91"/>
      <c r="AZ29" s="91"/>
      <c r="BA29" s="91"/>
      <c r="BB29" s="91"/>
      <c r="BC29" s="91"/>
      <c r="BD29" s="92"/>
    </row>
    <row r="30" spans="1:57" ht="14.4" customHeight="1">
      <c r="A30" s="93">
        <f>IF(B30="","",COUNTA($B$8:B30))</f>
        <v>22</v>
      </c>
      <c r="B30" s="87" t="s">
        <v>1621</v>
      </c>
      <c r="C30" s="181"/>
      <c r="D30" s="181"/>
      <c r="E30" s="181"/>
      <c r="F30" s="181"/>
      <c r="G30" s="181"/>
      <c r="H30" s="181"/>
      <c r="I30" s="87" t="s">
        <v>1427</v>
      </c>
      <c r="J30" s="182"/>
      <c r="K30" s="182"/>
      <c r="L30" s="182"/>
      <c r="M30" s="182"/>
      <c r="N30" s="182"/>
      <c r="O30" s="182"/>
      <c r="P30" s="182"/>
      <c r="Q30" s="182"/>
      <c r="R30" s="87" t="s">
        <v>1621</v>
      </c>
      <c r="S30" s="181"/>
      <c r="T30" s="181"/>
      <c r="U30" s="181"/>
      <c r="V30" s="181"/>
      <c r="W30" s="181"/>
      <c r="X30" s="181"/>
      <c r="Y30" s="647" t="s">
        <v>1504</v>
      </c>
      <c r="Z30" s="648"/>
      <c r="AA30" s="649" t="s">
        <v>1505</v>
      </c>
      <c r="AB30" s="650"/>
      <c r="AC30" s="651"/>
      <c r="AD30" s="94">
        <v>3</v>
      </c>
      <c r="AE30" s="95"/>
      <c r="AF30" s="95"/>
      <c r="AG30" s="95"/>
      <c r="AH30" s="95"/>
      <c r="AI30" s="95"/>
      <c r="AJ30" s="95"/>
      <c r="AK30" s="95"/>
      <c r="AL30" s="95"/>
      <c r="AM30" s="95"/>
      <c r="AN30" s="95"/>
      <c r="AO30" s="95"/>
      <c r="AP30" s="95"/>
      <c r="AQ30" s="95"/>
      <c r="AR30" s="95"/>
      <c r="AS30" s="87" t="s">
        <v>273</v>
      </c>
      <c r="AT30" s="88"/>
      <c r="AU30" s="88"/>
      <c r="AV30" s="88"/>
      <c r="AW30" s="88"/>
      <c r="AX30" s="88"/>
      <c r="AY30" s="88"/>
      <c r="AZ30" s="88"/>
      <c r="BA30" s="88"/>
      <c r="BB30" s="88"/>
      <c r="BC30" s="88"/>
      <c r="BD30" s="89"/>
    </row>
    <row r="31" spans="1:57" ht="14.4" customHeight="1">
      <c r="A31" s="96" t="str">
        <f>IF(B31="","",COUNTA($B$8:B31))</f>
        <v/>
      </c>
      <c r="B31" s="97"/>
      <c r="C31" s="98"/>
      <c r="D31" s="98"/>
      <c r="E31" s="98"/>
      <c r="F31" s="98"/>
      <c r="G31" s="98"/>
      <c r="H31" s="98"/>
      <c r="I31" s="90"/>
      <c r="J31" s="99"/>
      <c r="K31" s="99"/>
      <c r="L31" s="99"/>
      <c r="M31" s="99"/>
      <c r="N31" s="99"/>
      <c r="O31" s="99"/>
      <c r="P31" s="99"/>
      <c r="Q31" s="114"/>
      <c r="R31" s="97"/>
      <c r="S31" s="98"/>
      <c r="T31" s="98"/>
      <c r="U31" s="98"/>
      <c r="V31" s="98"/>
      <c r="W31" s="98"/>
      <c r="X31" s="98"/>
      <c r="Y31" s="97"/>
      <c r="Z31" s="100"/>
      <c r="AA31" s="644"/>
      <c r="AB31" s="645"/>
      <c r="AC31" s="646"/>
      <c r="AD31" s="101"/>
      <c r="AE31" s="102"/>
      <c r="AF31" s="102"/>
      <c r="AG31" s="102"/>
      <c r="AH31" s="102"/>
      <c r="AI31" s="102"/>
      <c r="AJ31" s="102"/>
      <c r="AK31" s="102"/>
      <c r="AL31" s="102"/>
      <c r="AM31" s="102"/>
      <c r="AN31" s="102"/>
      <c r="AO31" s="103"/>
      <c r="AP31" s="103"/>
      <c r="AQ31" s="103"/>
      <c r="AR31" s="103"/>
      <c r="AS31" s="90" t="s">
        <v>1362</v>
      </c>
      <c r="AT31" s="91"/>
      <c r="AU31" s="91"/>
      <c r="AV31" s="91"/>
      <c r="AW31" s="91"/>
      <c r="AX31" s="91"/>
      <c r="AY31" s="91"/>
      <c r="AZ31" s="91"/>
      <c r="BA31" s="91"/>
      <c r="BB31" s="91"/>
      <c r="BC31" s="91"/>
      <c r="BD31" s="92"/>
    </row>
    <row r="32" spans="1:57" ht="14.4" customHeight="1">
      <c r="A32" s="37">
        <f>IF(B32="","",COUNTA($B$8:B32))</f>
        <v>23</v>
      </c>
      <c r="B32" s="35" t="s">
        <v>1344</v>
      </c>
      <c r="C32" s="34"/>
      <c r="D32" s="34"/>
      <c r="E32" s="34"/>
      <c r="F32" s="34"/>
      <c r="G32" s="34"/>
      <c r="H32" s="34"/>
      <c r="I32" s="35" t="s">
        <v>1444</v>
      </c>
      <c r="J32" s="27"/>
      <c r="K32" s="27"/>
      <c r="L32" s="27"/>
      <c r="M32" s="27"/>
      <c r="N32" s="27"/>
      <c r="O32" s="27"/>
      <c r="P32" s="27"/>
      <c r="Q32" s="27"/>
      <c r="R32" s="35" t="s">
        <v>1344</v>
      </c>
      <c r="S32" s="34"/>
      <c r="T32" s="34"/>
      <c r="U32" s="34"/>
      <c r="V32" s="34"/>
      <c r="W32" s="34"/>
      <c r="X32" s="34"/>
      <c r="Y32" s="589" t="s">
        <v>1504</v>
      </c>
      <c r="Z32" s="636"/>
      <c r="AA32" s="591" t="s">
        <v>1505</v>
      </c>
      <c r="AB32" s="592"/>
      <c r="AC32" s="593"/>
      <c r="AD32" s="53">
        <v>2</v>
      </c>
      <c r="AE32" s="25"/>
      <c r="AF32" s="25"/>
      <c r="AG32" s="25"/>
      <c r="AH32" s="25"/>
      <c r="AI32" s="25"/>
      <c r="AJ32" s="25"/>
      <c r="AK32" s="25"/>
      <c r="AL32" s="25"/>
      <c r="AM32" s="25"/>
      <c r="AN32" s="25"/>
      <c r="AO32" s="25"/>
      <c r="AP32" s="25"/>
      <c r="AQ32" s="25"/>
      <c r="AR32" s="25"/>
      <c r="AS32" s="35"/>
      <c r="AT32" s="36"/>
      <c r="AU32" s="36"/>
      <c r="AV32" s="36"/>
      <c r="AW32" s="36"/>
      <c r="AX32" s="36"/>
      <c r="AY32" s="36"/>
      <c r="AZ32" s="36"/>
      <c r="BA32" s="36"/>
      <c r="BB32" s="36"/>
      <c r="BC32" s="36"/>
      <c r="BD32" s="50"/>
    </row>
    <row r="33" spans="1:57" ht="14.4" customHeight="1">
      <c r="A33" s="192">
        <f>IF(B33="","",COUNTA($B$8:B33))</f>
        <v>24</v>
      </c>
      <c r="B33" s="193" t="s">
        <v>1529</v>
      </c>
      <c r="C33" s="194"/>
      <c r="D33" s="194"/>
      <c r="E33" s="194"/>
      <c r="F33" s="194"/>
      <c r="G33" s="194"/>
      <c r="H33" s="194"/>
      <c r="I33" s="193" t="s">
        <v>457</v>
      </c>
      <c r="J33" s="195"/>
      <c r="K33" s="195"/>
      <c r="L33" s="195"/>
      <c r="M33" s="195"/>
      <c r="N33" s="195"/>
      <c r="O33" s="195"/>
      <c r="P33" s="195"/>
      <c r="Q33" s="195"/>
      <c r="R33" s="193" t="s">
        <v>1687</v>
      </c>
      <c r="S33" s="194"/>
      <c r="T33" s="194"/>
      <c r="U33" s="194"/>
      <c r="V33" s="194"/>
      <c r="W33" s="194"/>
      <c r="X33" s="194"/>
      <c r="Y33" s="637" t="s">
        <v>1504</v>
      </c>
      <c r="Z33" s="679"/>
      <c r="AA33" s="639" t="s">
        <v>1505</v>
      </c>
      <c r="AB33" s="640"/>
      <c r="AC33" s="641"/>
      <c r="AD33" s="196">
        <v>5</v>
      </c>
      <c r="AE33" s="197"/>
      <c r="AF33" s="197"/>
      <c r="AG33" s="197"/>
      <c r="AH33" s="197"/>
      <c r="AI33" s="197"/>
      <c r="AJ33" s="197"/>
      <c r="AK33" s="197"/>
      <c r="AL33" s="197"/>
      <c r="AM33" s="197"/>
      <c r="AN33" s="197"/>
      <c r="AO33" s="197"/>
      <c r="AP33" s="197"/>
      <c r="AQ33" s="197"/>
      <c r="AR33" s="197"/>
      <c r="AS33" s="193"/>
      <c r="AT33" s="198"/>
      <c r="AU33" s="198"/>
      <c r="AV33" s="198"/>
      <c r="AW33" s="198"/>
      <c r="AX33" s="198"/>
      <c r="AY33" s="198"/>
      <c r="AZ33" s="198"/>
      <c r="BA33" s="198"/>
      <c r="BB33" s="198"/>
      <c r="BC33" s="198"/>
      <c r="BD33" s="199"/>
      <c r="BE33" s="16" t="s">
        <v>1378</v>
      </c>
    </row>
    <row r="34" spans="1:57" ht="14.4" customHeight="1">
      <c r="A34" s="37">
        <f>IF(B34="","",COUNTA($B$8:B34))</f>
        <v>25</v>
      </c>
      <c r="B34" s="35" t="s">
        <v>1514</v>
      </c>
      <c r="C34" s="34"/>
      <c r="D34" s="34"/>
      <c r="E34" s="34"/>
      <c r="F34" s="34"/>
      <c r="G34" s="34"/>
      <c r="H34" s="34"/>
      <c r="I34" s="35" t="s">
        <v>568</v>
      </c>
      <c r="J34" s="27"/>
      <c r="K34" s="27"/>
      <c r="L34" s="27"/>
      <c r="M34" s="27"/>
      <c r="N34" s="27"/>
      <c r="O34" s="27"/>
      <c r="P34" s="27"/>
      <c r="Q34" s="27"/>
      <c r="R34" s="35" t="s">
        <v>1715</v>
      </c>
      <c r="S34" s="34"/>
      <c r="T34" s="34"/>
      <c r="U34" s="34"/>
      <c r="V34" s="34"/>
      <c r="W34" s="34"/>
      <c r="X34" s="34"/>
      <c r="Y34" s="589" t="s">
        <v>1504</v>
      </c>
      <c r="Z34" s="636"/>
      <c r="AA34" s="591" t="s">
        <v>1505</v>
      </c>
      <c r="AB34" s="592"/>
      <c r="AC34" s="593"/>
      <c r="AD34" s="53">
        <v>20</v>
      </c>
      <c r="AE34" s="25"/>
      <c r="AF34" s="25"/>
      <c r="AG34" s="25"/>
      <c r="AH34" s="25"/>
      <c r="AI34" s="25"/>
      <c r="AJ34" s="25"/>
      <c r="AK34" s="25"/>
      <c r="AL34" s="25"/>
      <c r="AM34" s="25"/>
      <c r="AN34" s="25"/>
      <c r="AO34" s="25"/>
      <c r="AP34" s="25"/>
      <c r="AQ34" s="25"/>
      <c r="AR34" s="25"/>
      <c r="AS34" s="35"/>
      <c r="AT34" s="36"/>
      <c r="AU34" s="36"/>
      <c r="AV34" s="36"/>
      <c r="AW34" s="36"/>
      <c r="AX34" s="36"/>
      <c r="AY34" s="36"/>
      <c r="AZ34" s="36"/>
      <c r="BA34" s="36"/>
      <c r="BB34" s="36"/>
      <c r="BC34" s="36"/>
      <c r="BD34" s="50"/>
    </row>
    <row r="35" spans="1:57" ht="14.4" customHeight="1">
      <c r="A35" s="37">
        <f>IF(B35="","",COUNTA($B$8:B35))</f>
        <v>26</v>
      </c>
      <c r="B35" s="35" t="s">
        <v>1515</v>
      </c>
      <c r="C35" s="34"/>
      <c r="D35" s="34"/>
      <c r="E35" s="34"/>
      <c r="F35" s="34"/>
      <c r="G35" s="34"/>
      <c r="H35" s="34"/>
      <c r="I35" s="35" t="s">
        <v>657</v>
      </c>
      <c r="J35" s="27"/>
      <c r="K35" s="27"/>
      <c r="L35" s="27"/>
      <c r="M35" s="27"/>
      <c r="N35" s="27"/>
      <c r="O35" s="27"/>
      <c r="P35" s="27"/>
      <c r="Q35" s="27"/>
      <c r="R35" s="35" t="s">
        <v>1720</v>
      </c>
      <c r="S35" s="34"/>
      <c r="T35" s="34"/>
      <c r="U35" s="34"/>
      <c r="V35" s="34"/>
      <c r="W35" s="34"/>
      <c r="X35" s="34"/>
      <c r="Y35" s="589" t="s">
        <v>1504</v>
      </c>
      <c r="Z35" s="636"/>
      <c r="AA35" s="591" t="s">
        <v>1505</v>
      </c>
      <c r="AB35" s="592"/>
      <c r="AC35" s="593"/>
      <c r="AD35" s="53">
        <v>30</v>
      </c>
      <c r="AE35" s="25"/>
      <c r="AF35" s="25"/>
      <c r="AG35" s="25"/>
      <c r="AH35" s="25"/>
      <c r="AI35" s="25"/>
      <c r="AJ35" s="25"/>
      <c r="AK35" s="25"/>
      <c r="AL35" s="25"/>
      <c r="AM35" s="25"/>
      <c r="AN35" s="25"/>
      <c r="AO35" s="25"/>
      <c r="AP35" s="25"/>
      <c r="AQ35" s="25"/>
      <c r="AR35" s="25"/>
      <c r="AS35" s="35"/>
      <c r="AT35" s="36"/>
      <c r="AU35" s="36"/>
      <c r="AV35" s="36"/>
      <c r="AW35" s="36"/>
      <c r="AX35" s="36"/>
      <c r="AY35" s="36"/>
      <c r="AZ35" s="36"/>
      <c r="BA35" s="36"/>
      <c r="BB35" s="36"/>
      <c r="BC35" s="36"/>
      <c r="BD35" s="50"/>
    </row>
    <row r="36" spans="1:57" ht="14.4" customHeight="1">
      <c r="A36" s="37">
        <f>IF(B36="","",COUNTA($B$8:B36))</f>
        <v>27</v>
      </c>
      <c r="B36" s="35" t="s">
        <v>1518</v>
      </c>
      <c r="C36" s="34"/>
      <c r="D36" s="34"/>
      <c r="E36" s="34"/>
      <c r="F36" s="34"/>
      <c r="G36" s="34"/>
      <c r="H36" s="34"/>
      <c r="I36" s="35" t="s">
        <v>534</v>
      </c>
      <c r="J36" s="27"/>
      <c r="K36" s="27"/>
      <c r="L36" s="27"/>
      <c r="M36" s="27"/>
      <c r="N36" s="27"/>
      <c r="O36" s="27"/>
      <c r="P36" s="27"/>
      <c r="Q36" s="27"/>
      <c r="R36" s="35" t="s">
        <v>1701</v>
      </c>
      <c r="S36" s="34"/>
      <c r="T36" s="34"/>
      <c r="U36" s="34"/>
      <c r="V36" s="34"/>
      <c r="W36" s="34"/>
      <c r="X36" s="34"/>
      <c r="Y36" s="589" t="s">
        <v>1516</v>
      </c>
      <c r="Z36" s="590"/>
      <c r="AA36" s="591" t="s">
        <v>1517</v>
      </c>
      <c r="AB36" s="592"/>
      <c r="AC36" s="593"/>
      <c r="AD36" s="53">
        <v>5</v>
      </c>
      <c r="AE36" s="25">
        <v>2</v>
      </c>
      <c r="AF36" s="25"/>
      <c r="AG36" s="25"/>
      <c r="AH36" s="25"/>
      <c r="AI36" s="25"/>
      <c r="AJ36" s="25"/>
      <c r="AK36" s="25"/>
      <c r="AL36" s="25"/>
      <c r="AM36" s="25"/>
      <c r="AN36" s="25"/>
      <c r="AO36" s="25"/>
      <c r="AP36" s="25"/>
      <c r="AQ36" s="25"/>
      <c r="AR36" s="25"/>
      <c r="AS36" s="35"/>
      <c r="AT36" s="36"/>
      <c r="AU36" s="36"/>
      <c r="AV36" s="36"/>
      <c r="AW36" s="36"/>
      <c r="AX36" s="36"/>
      <c r="AY36" s="36"/>
      <c r="AZ36" s="36"/>
      <c r="BA36" s="36"/>
      <c r="BB36" s="36"/>
      <c r="BC36" s="36"/>
      <c r="BD36" s="50"/>
    </row>
    <row r="37" spans="1:57" ht="14.4" customHeight="1">
      <c r="A37" s="37">
        <f>IF(B37="","",COUNTA($B$8:B37))</f>
        <v>28</v>
      </c>
      <c r="B37" s="35" t="s">
        <v>1519</v>
      </c>
      <c r="C37" s="34"/>
      <c r="D37" s="34"/>
      <c r="E37" s="34"/>
      <c r="F37" s="34"/>
      <c r="G37" s="34"/>
      <c r="H37" s="34"/>
      <c r="I37" s="35" t="s">
        <v>584</v>
      </c>
      <c r="J37" s="27"/>
      <c r="K37" s="27"/>
      <c r="L37" s="27"/>
      <c r="M37" s="27"/>
      <c r="N37" s="27"/>
      <c r="O37" s="27"/>
      <c r="P37" s="27"/>
      <c r="Q37" s="27"/>
      <c r="R37" s="35" t="s">
        <v>1721</v>
      </c>
      <c r="S37" s="34"/>
      <c r="T37" s="34"/>
      <c r="U37" s="34"/>
      <c r="V37" s="34"/>
      <c r="W37" s="34"/>
      <c r="X37" s="34"/>
      <c r="Y37" s="589" t="s">
        <v>1516</v>
      </c>
      <c r="Z37" s="590"/>
      <c r="AA37" s="591" t="s">
        <v>1517</v>
      </c>
      <c r="AB37" s="592"/>
      <c r="AC37" s="593"/>
      <c r="AD37" s="53">
        <v>5</v>
      </c>
      <c r="AE37" s="25"/>
      <c r="AF37" s="25"/>
      <c r="AG37" s="25"/>
      <c r="AH37" s="25"/>
      <c r="AI37" s="25"/>
      <c r="AJ37" s="25"/>
      <c r="AK37" s="25"/>
      <c r="AL37" s="25"/>
      <c r="AM37" s="25"/>
      <c r="AN37" s="25"/>
      <c r="AO37" s="25"/>
      <c r="AP37" s="25"/>
      <c r="AQ37" s="25"/>
      <c r="AR37" s="25"/>
      <c r="AS37" s="35"/>
      <c r="AT37" s="36"/>
      <c r="AU37" s="36"/>
      <c r="AV37" s="36"/>
      <c r="AW37" s="36"/>
      <c r="AX37" s="36"/>
      <c r="AY37" s="36"/>
      <c r="AZ37" s="36"/>
      <c r="BA37" s="36"/>
      <c r="BB37" s="36"/>
      <c r="BC37" s="36"/>
      <c r="BD37" s="50"/>
    </row>
    <row r="38" spans="1:57" ht="14.4" customHeight="1">
      <c r="A38" s="37">
        <f>IF(B38="","",COUNTA($B$8:B38))</f>
        <v>29</v>
      </c>
      <c r="B38" s="35" t="s">
        <v>1520</v>
      </c>
      <c r="C38" s="34"/>
      <c r="D38" s="34"/>
      <c r="E38" s="34"/>
      <c r="F38" s="34"/>
      <c r="G38" s="34"/>
      <c r="H38" s="34"/>
      <c r="I38" s="35" t="s">
        <v>526</v>
      </c>
      <c r="J38" s="27"/>
      <c r="K38" s="27"/>
      <c r="L38" s="27"/>
      <c r="M38" s="27"/>
      <c r="N38" s="27"/>
      <c r="O38" s="27"/>
      <c r="P38" s="27"/>
      <c r="Q38" s="27"/>
      <c r="R38" s="35" t="s">
        <v>1700</v>
      </c>
      <c r="S38" s="34"/>
      <c r="T38" s="34"/>
      <c r="U38" s="34"/>
      <c r="V38" s="34"/>
      <c r="W38" s="34"/>
      <c r="X38" s="34"/>
      <c r="Y38" s="589" t="s">
        <v>1516</v>
      </c>
      <c r="Z38" s="590"/>
      <c r="AA38" s="591" t="s">
        <v>1517</v>
      </c>
      <c r="AB38" s="592"/>
      <c r="AC38" s="593"/>
      <c r="AD38" s="53">
        <v>5</v>
      </c>
      <c r="AE38" s="25"/>
      <c r="AF38" s="25"/>
      <c r="AG38" s="25"/>
      <c r="AH38" s="25"/>
      <c r="AI38" s="25"/>
      <c r="AJ38" s="25"/>
      <c r="AK38" s="25"/>
      <c r="AL38" s="25"/>
      <c r="AM38" s="25"/>
      <c r="AN38" s="25"/>
      <c r="AO38" s="25"/>
      <c r="AP38" s="25"/>
      <c r="AQ38" s="25"/>
      <c r="AR38" s="25"/>
      <c r="AS38" s="35"/>
      <c r="AT38" s="36"/>
      <c r="AU38" s="36"/>
      <c r="AV38" s="36"/>
      <c r="AW38" s="36"/>
      <c r="AX38" s="36"/>
      <c r="AY38" s="36"/>
      <c r="AZ38" s="36"/>
      <c r="BA38" s="36"/>
      <c r="BB38" s="36"/>
      <c r="BC38" s="36"/>
      <c r="BD38" s="50"/>
    </row>
    <row r="39" spans="1:57" ht="14.4" customHeight="1">
      <c r="A39" s="37">
        <f>IF(B39="","",COUNTA($B$8:B39))</f>
        <v>30</v>
      </c>
      <c r="B39" s="35" t="s">
        <v>1521</v>
      </c>
      <c r="C39" s="34"/>
      <c r="D39" s="34"/>
      <c r="E39" s="34"/>
      <c r="F39" s="34"/>
      <c r="G39" s="34"/>
      <c r="H39" s="34"/>
      <c r="I39" s="35" t="s">
        <v>1102</v>
      </c>
      <c r="J39" s="27"/>
      <c r="K39" s="27"/>
      <c r="L39" s="27"/>
      <c r="M39" s="27"/>
      <c r="N39" s="27"/>
      <c r="O39" s="27"/>
      <c r="P39" s="27"/>
      <c r="Q39" s="27"/>
      <c r="R39" s="35" t="s">
        <v>1729</v>
      </c>
      <c r="S39" s="34"/>
      <c r="T39" s="34"/>
      <c r="U39" s="34"/>
      <c r="V39" s="34"/>
      <c r="W39" s="34"/>
      <c r="X39" s="34"/>
      <c r="Y39" s="589" t="s">
        <v>1516</v>
      </c>
      <c r="Z39" s="590"/>
      <c r="AA39" s="591" t="s">
        <v>1517</v>
      </c>
      <c r="AB39" s="592"/>
      <c r="AC39" s="593"/>
      <c r="AD39" s="53">
        <v>7</v>
      </c>
      <c r="AE39" s="25">
        <v>2</v>
      </c>
      <c r="AF39" s="25"/>
      <c r="AG39" s="25"/>
      <c r="AH39" s="25"/>
      <c r="AI39" s="25"/>
      <c r="AJ39" s="25"/>
      <c r="AK39" s="25"/>
      <c r="AL39" s="25"/>
      <c r="AM39" s="25"/>
      <c r="AN39" s="25"/>
      <c r="AO39" s="25"/>
      <c r="AP39" s="25"/>
      <c r="AQ39" s="25"/>
      <c r="AR39" s="25"/>
      <c r="AS39" s="35"/>
      <c r="AT39" s="36"/>
      <c r="AU39" s="36"/>
      <c r="AV39" s="36"/>
      <c r="AW39" s="36"/>
      <c r="AX39" s="36"/>
      <c r="AY39" s="36"/>
      <c r="AZ39" s="36"/>
      <c r="BA39" s="36"/>
      <c r="BB39" s="36"/>
      <c r="BC39" s="36"/>
      <c r="BD39" s="50"/>
    </row>
    <row r="40" spans="1:57" ht="14.4" customHeight="1">
      <c r="A40" s="251">
        <f>IF(B40="","",COUNTA($B$8:B40))</f>
        <v>31</v>
      </c>
      <c r="B40" s="54" t="s">
        <v>505</v>
      </c>
      <c r="C40" s="55"/>
      <c r="D40" s="55"/>
      <c r="E40" s="55"/>
      <c r="F40" s="55"/>
      <c r="G40" s="55"/>
      <c r="H40" s="55"/>
      <c r="I40" s="54" t="s">
        <v>506</v>
      </c>
      <c r="J40" s="56"/>
      <c r="K40" s="56"/>
      <c r="L40" s="56"/>
      <c r="M40" s="56"/>
      <c r="N40" s="56"/>
      <c r="O40" s="56"/>
      <c r="P40" s="56"/>
      <c r="Q40" s="56"/>
      <c r="R40" s="54" t="s">
        <v>505</v>
      </c>
      <c r="S40" s="55"/>
      <c r="T40" s="55"/>
      <c r="U40" s="55"/>
      <c r="V40" s="55"/>
      <c r="W40" s="55"/>
      <c r="X40" s="55"/>
      <c r="Y40" s="677" t="s">
        <v>1504</v>
      </c>
      <c r="Z40" s="678"/>
      <c r="AA40" s="652" t="s">
        <v>1505</v>
      </c>
      <c r="AB40" s="653"/>
      <c r="AC40" s="654"/>
      <c r="AD40" s="57">
        <v>4</v>
      </c>
      <c r="AE40" s="58"/>
      <c r="AF40" s="58"/>
      <c r="AG40" s="58"/>
      <c r="AH40" s="58"/>
      <c r="AI40" s="58"/>
      <c r="AJ40" s="58"/>
      <c r="AK40" s="58"/>
      <c r="AL40" s="58"/>
      <c r="AM40" s="58"/>
      <c r="AN40" s="58"/>
      <c r="AO40" s="58"/>
      <c r="AP40" s="58"/>
      <c r="AQ40" s="58"/>
      <c r="AR40" s="58"/>
      <c r="AS40" s="54"/>
      <c r="AT40" s="59"/>
      <c r="AU40" s="59"/>
      <c r="AV40" s="59"/>
      <c r="AW40" s="59"/>
      <c r="AX40" s="59"/>
      <c r="AY40" s="59"/>
      <c r="AZ40" s="59"/>
      <c r="BA40" s="59"/>
      <c r="BB40" s="59"/>
      <c r="BC40" s="59"/>
      <c r="BD40" s="60"/>
      <c r="BE40" s="16" t="s">
        <v>1379</v>
      </c>
    </row>
    <row r="41" spans="1:57" ht="14.4" customHeight="1">
      <c r="A41" s="192">
        <f>IF(B41="","",COUNTA($B$8:B41))</f>
        <v>32</v>
      </c>
      <c r="B41" s="193" t="s">
        <v>267</v>
      </c>
      <c r="C41" s="194"/>
      <c r="D41" s="194"/>
      <c r="E41" s="194"/>
      <c r="F41" s="194"/>
      <c r="G41" s="194"/>
      <c r="H41" s="194"/>
      <c r="I41" s="193" t="s">
        <v>506</v>
      </c>
      <c r="J41" s="195"/>
      <c r="K41" s="195"/>
      <c r="L41" s="195"/>
      <c r="M41" s="195"/>
      <c r="N41" s="195"/>
      <c r="O41" s="195"/>
      <c r="P41" s="195"/>
      <c r="Q41" s="195"/>
      <c r="R41" s="193" t="s">
        <v>1672</v>
      </c>
      <c r="S41" s="194"/>
      <c r="T41" s="194"/>
      <c r="U41" s="194"/>
      <c r="V41" s="194"/>
      <c r="W41" s="194"/>
      <c r="X41" s="194"/>
      <c r="Y41" s="637" t="s">
        <v>1504</v>
      </c>
      <c r="Z41" s="638"/>
      <c r="AA41" s="639" t="s">
        <v>1505</v>
      </c>
      <c r="AB41" s="640"/>
      <c r="AC41" s="641"/>
      <c r="AD41" s="196">
        <v>4</v>
      </c>
      <c r="AE41" s="197"/>
      <c r="AF41" s="197"/>
      <c r="AG41" s="197"/>
      <c r="AH41" s="197"/>
      <c r="AI41" s="197"/>
      <c r="AJ41" s="197"/>
      <c r="AK41" s="197"/>
      <c r="AL41" s="197"/>
      <c r="AM41" s="197"/>
      <c r="AN41" s="197"/>
      <c r="AO41" s="197"/>
      <c r="AP41" s="197"/>
      <c r="AQ41" s="197"/>
      <c r="AR41" s="197"/>
      <c r="AS41" s="193"/>
      <c r="AT41" s="198"/>
      <c r="AU41" s="198"/>
      <c r="AV41" s="198"/>
      <c r="AW41" s="198"/>
      <c r="AX41" s="198"/>
      <c r="AY41" s="198"/>
      <c r="AZ41" s="198"/>
      <c r="BA41" s="198"/>
      <c r="BB41" s="198"/>
      <c r="BC41" s="198"/>
      <c r="BD41" s="199"/>
      <c r="BE41" s="16" t="s">
        <v>1378</v>
      </c>
    </row>
    <row r="42" spans="1:57" ht="14.4" customHeight="1">
      <c r="A42" s="37">
        <f>IF(B42="","",COUNTA($B$8:B42))</f>
        <v>33</v>
      </c>
      <c r="B42" s="35" t="s">
        <v>127</v>
      </c>
      <c r="C42" s="34"/>
      <c r="D42" s="34"/>
      <c r="E42" s="34"/>
      <c r="F42" s="34"/>
      <c r="G42" s="34"/>
      <c r="H42" s="34"/>
      <c r="I42" s="35" t="s">
        <v>709</v>
      </c>
      <c r="J42" s="27"/>
      <c r="K42" s="27"/>
      <c r="L42" s="27"/>
      <c r="M42" s="27"/>
      <c r="N42" s="27"/>
      <c r="O42" s="27"/>
      <c r="P42" s="27"/>
      <c r="Q42" s="27"/>
      <c r="R42" s="35" t="s">
        <v>1671</v>
      </c>
      <c r="S42" s="34"/>
      <c r="T42" s="34"/>
      <c r="U42" s="34"/>
      <c r="V42" s="34"/>
      <c r="W42" s="34"/>
      <c r="X42" s="34"/>
      <c r="Y42" s="589" t="s">
        <v>1516</v>
      </c>
      <c r="Z42" s="590"/>
      <c r="AA42" s="591" t="s">
        <v>1517</v>
      </c>
      <c r="AB42" s="592"/>
      <c r="AC42" s="593"/>
      <c r="AD42" s="53">
        <v>7</v>
      </c>
      <c r="AE42" s="25">
        <v>2</v>
      </c>
      <c r="AF42" s="25"/>
      <c r="AG42" s="25"/>
      <c r="AH42" s="25"/>
      <c r="AI42" s="25"/>
      <c r="AJ42" s="25"/>
      <c r="AK42" s="25"/>
      <c r="AL42" s="25"/>
      <c r="AM42" s="25"/>
      <c r="AN42" s="25"/>
      <c r="AO42" s="25"/>
      <c r="AP42" s="25"/>
      <c r="AQ42" s="25"/>
      <c r="AR42" s="25"/>
      <c r="AS42" s="35"/>
      <c r="AT42" s="36"/>
      <c r="AU42" s="36"/>
      <c r="AV42" s="36"/>
      <c r="AW42" s="36"/>
      <c r="AX42" s="36"/>
      <c r="AY42" s="36"/>
      <c r="AZ42" s="36"/>
      <c r="BA42" s="36"/>
      <c r="BB42" s="36"/>
      <c r="BC42" s="36"/>
      <c r="BD42" s="50"/>
    </row>
    <row r="43" spans="1:57" ht="14.4" customHeight="1">
      <c r="A43" s="192">
        <f>IF(B43="","",COUNTA($B$8:B43))</f>
        <v>34</v>
      </c>
      <c r="B43" s="193" t="s">
        <v>431</v>
      </c>
      <c r="C43" s="194"/>
      <c r="D43" s="194"/>
      <c r="E43" s="194"/>
      <c r="F43" s="194"/>
      <c r="G43" s="194"/>
      <c r="H43" s="194"/>
      <c r="I43" s="193" t="s">
        <v>432</v>
      </c>
      <c r="J43" s="195"/>
      <c r="K43" s="195"/>
      <c r="L43" s="195"/>
      <c r="M43" s="195"/>
      <c r="N43" s="195"/>
      <c r="O43" s="195"/>
      <c r="P43" s="195"/>
      <c r="Q43" s="195"/>
      <c r="R43" s="193" t="s">
        <v>431</v>
      </c>
      <c r="S43" s="194"/>
      <c r="T43" s="194"/>
      <c r="U43" s="194"/>
      <c r="V43" s="194"/>
      <c r="W43" s="194"/>
      <c r="X43" s="194"/>
      <c r="Y43" s="637" t="s">
        <v>1516</v>
      </c>
      <c r="Z43" s="638"/>
      <c r="AA43" s="639" t="s">
        <v>1517</v>
      </c>
      <c r="AB43" s="640"/>
      <c r="AC43" s="641"/>
      <c r="AD43" s="196">
        <v>5</v>
      </c>
      <c r="AE43" s="197"/>
      <c r="AF43" s="197"/>
      <c r="AG43" s="197"/>
      <c r="AH43" s="197"/>
      <c r="AI43" s="197"/>
      <c r="AJ43" s="197"/>
      <c r="AK43" s="197"/>
      <c r="AL43" s="197"/>
      <c r="AM43" s="197"/>
      <c r="AN43" s="197"/>
      <c r="AO43" s="197"/>
      <c r="AP43" s="197"/>
      <c r="AQ43" s="197"/>
      <c r="AR43" s="197"/>
      <c r="AS43" s="193"/>
      <c r="AT43" s="198"/>
      <c r="AU43" s="198"/>
      <c r="AV43" s="198"/>
      <c r="AW43" s="198"/>
      <c r="AX43" s="198"/>
      <c r="AY43" s="198"/>
      <c r="AZ43" s="198"/>
      <c r="BA43" s="198"/>
      <c r="BB43" s="198"/>
      <c r="BC43" s="198"/>
      <c r="BD43" s="199"/>
      <c r="BE43" s="16" t="s">
        <v>1378</v>
      </c>
    </row>
    <row r="44" spans="1:57" ht="14.4" customHeight="1">
      <c r="A44" s="251">
        <f>IF(B44="","",COUNTA($B$8:B44))</f>
        <v>35</v>
      </c>
      <c r="B44" s="54" t="s">
        <v>1624</v>
      </c>
      <c r="C44" s="55"/>
      <c r="D44" s="55"/>
      <c r="E44" s="55"/>
      <c r="F44" s="55"/>
      <c r="G44" s="55"/>
      <c r="H44" s="55"/>
      <c r="I44" s="54" t="s">
        <v>1465</v>
      </c>
      <c r="J44" s="56"/>
      <c r="K44" s="56"/>
      <c r="L44" s="56"/>
      <c r="M44" s="56"/>
      <c r="N44" s="56"/>
      <c r="O44" s="56"/>
      <c r="P44" s="56"/>
      <c r="Q44" s="56"/>
      <c r="R44" s="54" t="s">
        <v>1624</v>
      </c>
      <c r="S44" s="55"/>
      <c r="T44" s="55"/>
      <c r="U44" s="55"/>
      <c r="V44" s="55"/>
      <c r="W44" s="55"/>
      <c r="X44" s="55"/>
      <c r="Y44" s="677" t="s">
        <v>1504</v>
      </c>
      <c r="Z44" s="678"/>
      <c r="AA44" s="652" t="s">
        <v>1505</v>
      </c>
      <c r="AB44" s="653"/>
      <c r="AC44" s="654"/>
      <c r="AD44" s="57">
        <v>10</v>
      </c>
      <c r="AE44" s="58"/>
      <c r="AF44" s="58"/>
      <c r="AG44" s="58"/>
      <c r="AH44" s="58"/>
      <c r="AI44" s="58"/>
      <c r="AJ44" s="58"/>
      <c r="AK44" s="58"/>
      <c r="AL44" s="58"/>
      <c r="AM44" s="58"/>
      <c r="AN44" s="58"/>
      <c r="AO44" s="58"/>
      <c r="AP44" s="58"/>
      <c r="AQ44" s="58"/>
      <c r="AR44" s="58"/>
      <c r="AS44" s="54"/>
      <c r="AT44" s="59"/>
      <c r="AU44" s="59"/>
      <c r="AV44" s="59"/>
      <c r="AW44" s="59"/>
      <c r="AX44" s="59"/>
      <c r="AY44" s="59"/>
      <c r="AZ44" s="59"/>
      <c r="BA44" s="59"/>
      <c r="BB44" s="59"/>
      <c r="BC44" s="59"/>
      <c r="BD44" s="60"/>
      <c r="BE44" s="16" t="s">
        <v>1380</v>
      </c>
    </row>
    <row r="45" spans="1:57" ht="14.4" customHeight="1">
      <c r="A45" s="37">
        <f>IF(B45="","",COUNTA($B$8:B45))</f>
        <v>36</v>
      </c>
      <c r="B45" s="35" t="s">
        <v>589</v>
      </c>
      <c r="C45" s="34"/>
      <c r="D45" s="34"/>
      <c r="E45" s="34"/>
      <c r="F45" s="34"/>
      <c r="G45" s="34"/>
      <c r="H45" s="34"/>
      <c r="I45" s="35" t="s">
        <v>1395</v>
      </c>
      <c r="J45" s="27"/>
      <c r="K45" s="27"/>
      <c r="L45" s="27"/>
      <c r="M45" s="27"/>
      <c r="N45" s="27"/>
      <c r="O45" s="27"/>
      <c r="P45" s="27"/>
      <c r="Q45" s="27"/>
      <c r="R45" s="35" t="s">
        <v>589</v>
      </c>
      <c r="S45" s="34"/>
      <c r="T45" s="34"/>
      <c r="U45" s="34"/>
      <c r="V45" s="34"/>
      <c r="W45" s="34"/>
      <c r="X45" s="34"/>
      <c r="Y45" s="589" t="s">
        <v>1504</v>
      </c>
      <c r="Z45" s="590"/>
      <c r="AA45" s="591" t="s">
        <v>1505</v>
      </c>
      <c r="AB45" s="592"/>
      <c r="AC45" s="593"/>
      <c r="AD45" s="53">
        <v>3</v>
      </c>
      <c r="AE45" s="25"/>
      <c r="AF45" s="25"/>
      <c r="AG45" s="25"/>
      <c r="AH45" s="25"/>
      <c r="AI45" s="25"/>
      <c r="AJ45" s="25"/>
      <c r="AK45" s="25"/>
      <c r="AL45" s="25"/>
      <c r="AM45" s="25"/>
      <c r="AN45" s="25"/>
      <c r="AO45" s="25"/>
      <c r="AP45" s="25"/>
      <c r="AQ45" s="25"/>
      <c r="AR45" s="25"/>
      <c r="AS45" s="35"/>
      <c r="AT45" s="36"/>
      <c r="AU45" s="36"/>
      <c r="AV45" s="36"/>
      <c r="AW45" s="36"/>
      <c r="AX45" s="36"/>
      <c r="AY45" s="36"/>
      <c r="AZ45" s="36"/>
      <c r="BA45" s="36"/>
      <c r="BB45" s="36"/>
      <c r="BC45" s="36"/>
      <c r="BD45" s="50"/>
    </row>
    <row r="46" spans="1:57" ht="14.4" customHeight="1">
      <c r="A46" s="37">
        <f>IF(B46="","",COUNTA($B$8:B46))</f>
        <v>37</v>
      </c>
      <c r="B46" s="35" t="s">
        <v>1528</v>
      </c>
      <c r="C46" s="34"/>
      <c r="D46" s="34"/>
      <c r="E46" s="34"/>
      <c r="F46" s="34"/>
      <c r="G46" s="34"/>
      <c r="H46" s="34"/>
      <c r="I46" s="35" t="s">
        <v>1449</v>
      </c>
      <c r="J46" s="27"/>
      <c r="K46" s="27"/>
      <c r="L46" s="27"/>
      <c r="M46" s="27"/>
      <c r="N46" s="27"/>
      <c r="O46" s="27"/>
      <c r="P46" s="27"/>
      <c r="Q46" s="27"/>
      <c r="R46" s="35" t="s">
        <v>1528</v>
      </c>
      <c r="S46" s="34"/>
      <c r="T46" s="34"/>
      <c r="U46" s="34"/>
      <c r="V46" s="34"/>
      <c r="W46" s="34"/>
      <c r="X46" s="34"/>
      <c r="Y46" s="17" t="s">
        <v>1504</v>
      </c>
      <c r="Z46" s="28"/>
      <c r="AA46" s="591" t="s">
        <v>1505</v>
      </c>
      <c r="AB46" s="592"/>
      <c r="AC46" s="593"/>
      <c r="AD46" s="53">
        <v>10</v>
      </c>
      <c r="AE46" s="25"/>
      <c r="AF46" s="25"/>
      <c r="AG46" s="25"/>
      <c r="AH46" s="25"/>
      <c r="AI46" s="25"/>
      <c r="AJ46" s="25"/>
      <c r="AK46" s="25"/>
      <c r="AL46" s="25"/>
      <c r="AM46" s="25"/>
      <c r="AN46" s="25"/>
      <c r="AO46" s="25"/>
      <c r="AP46" s="25"/>
      <c r="AQ46" s="25"/>
      <c r="AR46" s="25"/>
      <c r="AS46" s="35"/>
      <c r="AT46" s="36"/>
      <c r="AU46" s="36"/>
      <c r="AV46" s="36"/>
      <c r="AW46" s="36"/>
      <c r="AX46" s="36"/>
      <c r="AY46" s="36"/>
      <c r="AZ46" s="36"/>
      <c r="BA46" s="36"/>
      <c r="BB46" s="36"/>
      <c r="BC46" s="36"/>
      <c r="BD46" s="50"/>
    </row>
    <row r="47" spans="1:57" ht="14.4" customHeight="1">
      <c r="A47" s="192">
        <f>IF(B47="","",COUNTA($B$8:B47))</f>
        <v>38</v>
      </c>
      <c r="B47" s="193" t="s">
        <v>118</v>
      </c>
      <c r="C47" s="194"/>
      <c r="D47" s="194"/>
      <c r="E47" s="194"/>
      <c r="F47" s="194"/>
      <c r="G47" s="194"/>
      <c r="H47" s="194"/>
      <c r="I47" s="193" t="s">
        <v>1100</v>
      </c>
      <c r="J47" s="195"/>
      <c r="K47" s="195"/>
      <c r="L47" s="195"/>
      <c r="M47" s="195"/>
      <c r="N47" s="195"/>
      <c r="O47" s="195"/>
      <c r="P47" s="195"/>
      <c r="Q47" s="195"/>
      <c r="R47" s="193" t="s">
        <v>118</v>
      </c>
      <c r="S47" s="194"/>
      <c r="T47" s="194"/>
      <c r="U47" s="194"/>
      <c r="V47" s="194"/>
      <c r="W47" s="194"/>
      <c r="X47" s="194"/>
      <c r="Y47" s="200" t="s">
        <v>1504</v>
      </c>
      <c r="Z47" s="201"/>
      <c r="AA47" s="639" t="s">
        <v>1505</v>
      </c>
      <c r="AB47" s="640"/>
      <c r="AC47" s="641"/>
      <c r="AD47" s="196">
        <v>10</v>
      </c>
      <c r="AE47" s="197"/>
      <c r="AF47" s="197"/>
      <c r="AG47" s="197"/>
      <c r="AH47" s="197"/>
      <c r="AI47" s="197"/>
      <c r="AJ47" s="197"/>
      <c r="AK47" s="197"/>
      <c r="AL47" s="197"/>
      <c r="AM47" s="197"/>
      <c r="AN47" s="197"/>
      <c r="AO47" s="197"/>
      <c r="AP47" s="197"/>
      <c r="AQ47" s="197"/>
      <c r="AR47" s="197"/>
      <c r="AS47" s="193"/>
      <c r="AT47" s="198"/>
      <c r="AU47" s="198"/>
      <c r="AV47" s="198"/>
      <c r="AW47" s="198"/>
      <c r="AX47" s="198"/>
      <c r="AY47" s="198"/>
      <c r="AZ47" s="198"/>
      <c r="BA47" s="198"/>
      <c r="BB47" s="198"/>
      <c r="BC47" s="198"/>
      <c r="BD47" s="199"/>
      <c r="BE47" s="16" t="s">
        <v>1378</v>
      </c>
    </row>
    <row r="48" spans="1:57" ht="14.4" customHeight="1">
      <c r="A48" s="37">
        <f>IF(B48="","",COUNTA($B$8:B48))</f>
        <v>39</v>
      </c>
      <c r="B48" s="17" t="s">
        <v>1302</v>
      </c>
      <c r="C48" s="34"/>
      <c r="D48" s="34"/>
      <c r="E48" s="34"/>
      <c r="F48" s="34"/>
      <c r="G48" s="34"/>
      <c r="H48" s="34"/>
      <c r="I48" s="35" t="s">
        <v>624</v>
      </c>
      <c r="J48" s="27"/>
      <c r="K48" s="27"/>
      <c r="L48" s="27"/>
      <c r="M48" s="27"/>
      <c r="N48" s="27"/>
      <c r="O48" s="27"/>
      <c r="P48" s="27"/>
      <c r="Q48" s="27"/>
      <c r="R48" s="17" t="s">
        <v>1704</v>
      </c>
      <c r="S48" s="34"/>
      <c r="T48" s="34"/>
      <c r="U48" s="34"/>
      <c r="V48" s="34"/>
      <c r="W48" s="34"/>
      <c r="X48" s="34"/>
      <c r="Y48" s="589" t="s">
        <v>1504</v>
      </c>
      <c r="Z48" s="590"/>
      <c r="AA48" s="591" t="s">
        <v>1505</v>
      </c>
      <c r="AB48" s="592"/>
      <c r="AC48" s="593"/>
      <c r="AD48" s="23">
        <v>10</v>
      </c>
      <c r="AE48" s="25"/>
      <c r="AF48" s="25"/>
      <c r="AG48" s="25"/>
      <c r="AH48" s="25"/>
      <c r="AI48" s="25"/>
      <c r="AJ48" s="25"/>
      <c r="AK48" s="25"/>
      <c r="AL48" s="25"/>
      <c r="AM48" s="25"/>
      <c r="AN48" s="25"/>
      <c r="AO48" s="25"/>
      <c r="AP48" s="25"/>
      <c r="AQ48" s="25"/>
      <c r="AR48" s="25"/>
      <c r="AS48" s="26"/>
      <c r="AT48" s="51"/>
      <c r="AU48" s="51"/>
      <c r="AV48" s="51"/>
      <c r="AW48" s="51"/>
      <c r="AX48" s="51"/>
      <c r="AY48" s="51"/>
      <c r="AZ48" s="51"/>
      <c r="BA48" s="51"/>
      <c r="BB48" s="51"/>
      <c r="BC48" s="51"/>
      <c r="BD48" s="52"/>
    </row>
    <row r="49" spans="1:56" ht="14.4" customHeight="1">
      <c r="A49" s="37">
        <f>IF(B49="","",COUNTA($B$8:B49))</f>
        <v>40</v>
      </c>
      <c r="B49" s="17" t="s">
        <v>1508</v>
      </c>
      <c r="C49" s="34"/>
      <c r="D49" s="34"/>
      <c r="E49" s="34"/>
      <c r="F49" s="34"/>
      <c r="G49" s="34"/>
      <c r="H49" s="34"/>
      <c r="I49" s="35" t="s">
        <v>624</v>
      </c>
      <c r="J49" s="27"/>
      <c r="K49" s="27"/>
      <c r="L49" s="27"/>
      <c r="M49" s="27"/>
      <c r="N49" s="27"/>
      <c r="O49" s="27"/>
      <c r="P49" s="27"/>
      <c r="Q49" s="27"/>
      <c r="R49" s="17" t="s">
        <v>1508</v>
      </c>
      <c r="S49" s="34"/>
      <c r="T49" s="34"/>
      <c r="U49" s="34"/>
      <c r="V49" s="34"/>
      <c r="W49" s="34"/>
      <c r="X49" s="34"/>
      <c r="Y49" s="589" t="s">
        <v>1504</v>
      </c>
      <c r="Z49" s="590"/>
      <c r="AA49" s="591" t="s">
        <v>1505</v>
      </c>
      <c r="AB49" s="592"/>
      <c r="AC49" s="593"/>
      <c r="AD49" s="23">
        <v>10</v>
      </c>
      <c r="AE49" s="25"/>
      <c r="AF49" s="25"/>
      <c r="AG49" s="25"/>
      <c r="AH49" s="25"/>
      <c r="AI49" s="25"/>
      <c r="AJ49" s="25"/>
      <c r="AK49" s="25"/>
      <c r="AL49" s="25"/>
      <c r="AM49" s="25"/>
      <c r="AN49" s="25"/>
      <c r="AO49" s="25"/>
      <c r="AP49" s="25"/>
      <c r="AQ49" s="25"/>
      <c r="AR49" s="25"/>
      <c r="AS49" s="26"/>
      <c r="AT49" s="51"/>
      <c r="AU49" s="51"/>
      <c r="AV49" s="51"/>
      <c r="AW49" s="51"/>
      <c r="AX49" s="51"/>
      <c r="AY49" s="51"/>
      <c r="AZ49" s="51"/>
      <c r="BA49" s="51"/>
      <c r="BB49" s="51"/>
      <c r="BC49" s="51"/>
      <c r="BD49" s="52"/>
    </row>
    <row r="50" spans="1:56" ht="14.4" customHeight="1">
      <c r="A50" s="37">
        <f>IF(B50="","",COUNTA($B$8:B50))</f>
        <v>41</v>
      </c>
      <c r="B50" s="17" t="s">
        <v>1509</v>
      </c>
      <c r="C50" s="34"/>
      <c r="D50" s="34"/>
      <c r="E50" s="34"/>
      <c r="F50" s="34"/>
      <c r="G50" s="34"/>
      <c r="H50" s="34"/>
      <c r="I50" s="35" t="s">
        <v>548</v>
      </c>
      <c r="J50" s="27"/>
      <c r="K50" s="27"/>
      <c r="L50" s="27"/>
      <c r="M50" s="27"/>
      <c r="N50" s="27"/>
      <c r="O50" s="27"/>
      <c r="P50" s="27"/>
      <c r="Q50" s="27"/>
      <c r="R50" s="17" t="s">
        <v>1509</v>
      </c>
      <c r="S50" s="34"/>
      <c r="T50" s="34"/>
      <c r="U50" s="34"/>
      <c r="V50" s="34"/>
      <c r="W50" s="34"/>
      <c r="X50" s="34"/>
      <c r="Y50" s="589" t="s">
        <v>1510</v>
      </c>
      <c r="Z50" s="590"/>
      <c r="AA50" s="591" t="s">
        <v>1511</v>
      </c>
      <c r="AB50" s="592"/>
      <c r="AC50" s="593"/>
      <c r="AD50" s="38"/>
      <c r="AE50" s="25"/>
      <c r="AF50" s="25"/>
      <c r="AG50" s="25"/>
      <c r="AH50" s="25"/>
      <c r="AI50" s="25"/>
      <c r="AJ50" s="25"/>
      <c r="AK50" s="25"/>
      <c r="AL50" s="25"/>
      <c r="AM50" s="25"/>
      <c r="AN50" s="25"/>
      <c r="AO50" s="25"/>
      <c r="AP50" s="25"/>
      <c r="AQ50" s="25"/>
      <c r="AR50" s="25"/>
      <c r="AS50" s="26"/>
      <c r="AT50" s="51"/>
      <c r="AU50" s="51"/>
      <c r="AV50" s="51"/>
      <c r="AW50" s="51"/>
      <c r="AX50" s="51"/>
      <c r="AY50" s="51"/>
      <c r="AZ50" s="51"/>
      <c r="BA50" s="51"/>
      <c r="BB50" s="51"/>
      <c r="BC50" s="51"/>
      <c r="BD50" s="52"/>
    </row>
    <row r="51" spans="1:56" ht="14.4" customHeight="1">
      <c r="A51" s="37">
        <f>IF(B51="","",COUNTA($B$8:B51))</f>
        <v>42</v>
      </c>
      <c r="B51" s="17" t="s">
        <v>1306</v>
      </c>
      <c r="C51" s="34"/>
      <c r="D51" s="34"/>
      <c r="E51" s="34"/>
      <c r="F51" s="34"/>
      <c r="G51" s="34"/>
      <c r="H51" s="34"/>
      <c r="I51" s="35" t="s">
        <v>626</v>
      </c>
      <c r="J51" s="27"/>
      <c r="K51" s="27"/>
      <c r="L51" s="27"/>
      <c r="M51" s="27"/>
      <c r="N51" s="27"/>
      <c r="O51" s="27"/>
      <c r="P51" s="27"/>
      <c r="Q51" s="27"/>
      <c r="R51" s="17" t="s">
        <v>1634</v>
      </c>
      <c r="S51" s="34"/>
      <c r="T51" s="34"/>
      <c r="U51" s="34"/>
      <c r="V51" s="34"/>
      <c r="W51" s="34"/>
      <c r="X51" s="34"/>
      <c r="Y51" s="589" t="s">
        <v>1504</v>
      </c>
      <c r="Z51" s="590"/>
      <c r="AA51" s="591" t="s">
        <v>1505</v>
      </c>
      <c r="AB51" s="592"/>
      <c r="AC51" s="593"/>
      <c r="AD51" s="23">
        <v>10</v>
      </c>
      <c r="AE51" s="25"/>
      <c r="AF51" s="25"/>
      <c r="AG51" s="25"/>
      <c r="AH51" s="25"/>
      <c r="AI51" s="25"/>
      <c r="AJ51" s="25"/>
      <c r="AK51" s="25"/>
      <c r="AL51" s="25"/>
      <c r="AM51" s="25"/>
      <c r="AN51" s="25"/>
      <c r="AO51" s="25"/>
      <c r="AP51" s="25"/>
      <c r="AQ51" s="25"/>
      <c r="AR51" s="25"/>
      <c r="AS51" s="26"/>
      <c r="AT51" s="51"/>
      <c r="AU51" s="51"/>
      <c r="AV51" s="51"/>
      <c r="AW51" s="51"/>
      <c r="AX51" s="51"/>
      <c r="AY51" s="51"/>
      <c r="AZ51" s="51"/>
      <c r="BA51" s="51"/>
      <c r="BB51" s="51"/>
      <c r="BC51" s="51"/>
      <c r="BD51" s="52"/>
    </row>
    <row r="52" spans="1:56" ht="14.4" customHeight="1">
      <c r="A52" s="37">
        <f>IF(B52="","",COUNTA($B$8:B52))</f>
        <v>43</v>
      </c>
      <c r="B52" s="17" t="s">
        <v>1512</v>
      </c>
      <c r="C52" s="18"/>
      <c r="D52" s="18"/>
      <c r="E52" s="18"/>
      <c r="F52" s="18"/>
      <c r="G52" s="18"/>
      <c r="H52" s="18"/>
      <c r="I52" s="35" t="s">
        <v>390</v>
      </c>
      <c r="J52" s="20"/>
      <c r="K52" s="20"/>
      <c r="L52" s="20"/>
      <c r="M52" s="20"/>
      <c r="N52" s="20"/>
      <c r="O52" s="20"/>
      <c r="P52" s="20"/>
      <c r="Q52" s="20"/>
      <c r="R52" s="17" t="s">
        <v>1512</v>
      </c>
      <c r="S52" s="18"/>
      <c r="T52" s="18"/>
      <c r="U52" s="18"/>
      <c r="V52" s="18"/>
      <c r="W52" s="18"/>
      <c r="X52" s="18"/>
      <c r="Y52" s="589" t="s">
        <v>1504</v>
      </c>
      <c r="Z52" s="590"/>
      <c r="AA52" s="591" t="s">
        <v>1505</v>
      </c>
      <c r="AB52" s="592"/>
      <c r="AC52" s="593"/>
      <c r="AD52" s="38">
        <v>10</v>
      </c>
      <c r="AE52" s="30" t="s">
        <v>1585</v>
      </c>
      <c r="AF52" s="30"/>
      <c r="AG52" s="30"/>
      <c r="AH52" s="30"/>
      <c r="AI52" s="30"/>
      <c r="AJ52" s="30"/>
      <c r="AK52" s="30"/>
      <c r="AL52" s="30"/>
      <c r="AM52" s="30"/>
      <c r="AN52" s="30"/>
      <c r="AO52" s="31"/>
      <c r="AP52" s="31"/>
      <c r="AQ52" s="31"/>
      <c r="AR52" s="31"/>
      <c r="AS52" s="32"/>
      <c r="AT52" s="33"/>
      <c r="AU52" s="51"/>
      <c r="AV52" s="51"/>
      <c r="AW52" s="51"/>
      <c r="AX52" s="51"/>
      <c r="AY52" s="51"/>
      <c r="AZ52" s="51"/>
      <c r="BA52" s="51"/>
      <c r="BB52" s="51"/>
      <c r="BC52" s="51"/>
      <c r="BD52" s="52"/>
    </row>
    <row r="53" spans="1:56" ht="14.4" customHeight="1">
      <c r="A53" s="37">
        <f>IF(B53="","",COUNTA($B$8:B53))</f>
        <v>44</v>
      </c>
      <c r="B53" s="17" t="s">
        <v>1513</v>
      </c>
      <c r="C53" s="18"/>
      <c r="D53" s="18"/>
      <c r="E53" s="18"/>
      <c r="F53" s="18"/>
      <c r="G53" s="18"/>
      <c r="H53" s="18"/>
      <c r="I53" s="35" t="s">
        <v>394</v>
      </c>
      <c r="J53" s="20"/>
      <c r="K53" s="20"/>
      <c r="L53" s="20"/>
      <c r="M53" s="20"/>
      <c r="N53" s="20"/>
      <c r="O53" s="20"/>
      <c r="P53" s="20"/>
      <c r="Q53" s="20"/>
      <c r="R53" s="17" t="s">
        <v>1513</v>
      </c>
      <c r="S53" s="18"/>
      <c r="T53" s="18"/>
      <c r="U53" s="18"/>
      <c r="V53" s="18"/>
      <c r="W53" s="18"/>
      <c r="X53" s="18"/>
      <c r="Y53" s="589" t="s">
        <v>1510</v>
      </c>
      <c r="Z53" s="590"/>
      <c r="AA53" s="591" t="s">
        <v>1511</v>
      </c>
      <c r="AB53" s="592"/>
      <c r="AC53" s="593"/>
      <c r="AD53" s="38"/>
      <c r="AE53" s="30" t="s">
        <v>1585</v>
      </c>
      <c r="AF53" s="30"/>
      <c r="AG53" s="30"/>
      <c r="AH53" s="30"/>
      <c r="AI53" s="30"/>
      <c r="AJ53" s="30"/>
      <c r="AK53" s="30"/>
      <c r="AL53" s="30"/>
      <c r="AM53" s="30"/>
      <c r="AN53" s="30"/>
      <c r="AO53" s="31"/>
      <c r="AP53" s="31"/>
      <c r="AQ53" s="31"/>
      <c r="AR53" s="31"/>
      <c r="AS53" s="32"/>
      <c r="AT53" s="33"/>
      <c r="AU53" s="51"/>
      <c r="AV53" s="51"/>
      <c r="AW53" s="51"/>
      <c r="AX53" s="51"/>
      <c r="AY53" s="51"/>
      <c r="AZ53" s="51"/>
      <c r="BA53" s="51"/>
      <c r="BB53" s="51"/>
      <c r="BC53" s="51"/>
      <c r="BD53" s="52"/>
    </row>
    <row r="54" spans="1:56" ht="14.4" customHeight="1">
      <c r="A54" s="37" t="str">
        <f>IF(B54="","",COUNTA($B$8:B54))</f>
        <v/>
      </c>
      <c r="B54" s="17"/>
      <c r="C54" s="18"/>
      <c r="D54" s="18"/>
      <c r="E54" s="18"/>
      <c r="F54" s="18"/>
      <c r="G54" s="18"/>
      <c r="H54" s="18"/>
      <c r="I54" s="19"/>
      <c r="J54" s="20"/>
      <c r="K54" s="20"/>
      <c r="L54" s="20"/>
      <c r="M54" s="20"/>
      <c r="N54" s="20"/>
      <c r="O54" s="20"/>
      <c r="P54" s="20"/>
      <c r="Q54" s="20"/>
      <c r="R54" s="17"/>
      <c r="S54" s="18"/>
      <c r="T54" s="18"/>
      <c r="U54" s="18"/>
      <c r="V54" s="18"/>
      <c r="W54" s="18"/>
      <c r="X54" s="18"/>
      <c r="Y54" s="17"/>
      <c r="Z54" s="28"/>
      <c r="AA54" s="21"/>
      <c r="AB54" s="22"/>
      <c r="AC54" s="29"/>
      <c r="AD54" s="38"/>
      <c r="AE54" s="30"/>
      <c r="AF54" s="30"/>
      <c r="AG54" s="30"/>
      <c r="AH54" s="30"/>
      <c r="AI54" s="30"/>
      <c r="AJ54" s="30"/>
      <c r="AK54" s="30"/>
      <c r="AL54" s="30"/>
      <c r="AM54" s="30"/>
      <c r="AN54" s="30"/>
      <c r="AO54" s="31"/>
      <c r="AP54" s="31"/>
      <c r="AQ54" s="31"/>
      <c r="AR54" s="31"/>
      <c r="AS54" s="32"/>
      <c r="AT54" s="33"/>
      <c r="AU54" s="51"/>
      <c r="AV54" s="51"/>
      <c r="AW54" s="51"/>
      <c r="AX54" s="51"/>
      <c r="AY54" s="51"/>
      <c r="AZ54" s="51"/>
      <c r="BA54" s="51"/>
      <c r="BB54" s="51"/>
      <c r="BC54" s="51"/>
      <c r="BD54" s="52"/>
    </row>
    <row r="55" spans="1:56" ht="14.4" customHeight="1">
      <c r="A55" s="37" t="str">
        <f>IF(B55="","",COUNTA($B$8:B55))</f>
        <v/>
      </c>
      <c r="B55" s="17"/>
      <c r="C55" s="18"/>
      <c r="D55" s="18"/>
      <c r="E55" s="18"/>
      <c r="F55" s="18"/>
      <c r="G55" s="18"/>
      <c r="H55" s="18"/>
      <c r="I55" s="19"/>
      <c r="J55" s="20"/>
      <c r="K55" s="20"/>
      <c r="L55" s="20"/>
      <c r="M55" s="20"/>
      <c r="N55" s="20"/>
      <c r="O55" s="20"/>
      <c r="P55" s="20"/>
      <c r="Q55" s="20"/>
      <c r="R55" s="17"/>
      <c r="S55" s="18"/>
      <c r="T55" s="18"/>
      <c r="U55" s="18"/>
      <c r="V55" s="18"/>
      <c r="W55" s="18"/>
      <c r="X55" s="18"/>
      <c r="Y55" s="17"/>
      <c r="Z55" s="28"/>
      <c r="AA55" s="21"/>
      <c r="AB55" s="22"/>
      <c r="AC55" s="29"/>
      <c r="AD55" s="38"/>
      <c r="AE55" s="30"/>
      <c r="AF55" s="30"/>
      <c r="AG55" s="30"/>
      <c r="AH55" s="30"/>
      <c r="AI55" s="30"/>
      <c r="AJ55" s="30"/>
      <c r="AK55" s="30"/>
      <c r="AL55" s="30"/>
      <c r="AM55" s="30"/>
      <c r="AN55" s="30"/>
      <c r="AO55" s="31"/>
      <c r="AP55" s="31"/>
      <c r="AQ55" s="31"/>
      <c r="AR55" s="31"/>
      <c r="AS55" s="32"/>
      <c r="AT55" s="33"/>
      <c r="AU55" s="51"/>
      <c r="AV55" s="51"/>
      <c r="AW55" s="51"/>
      <c r="AX55" s="51"/>
      <c r="AY55" s="51"/>
      <c r="AZ55" s="51"/>
      <c r="BA55" s="51"/>
      <c r="BB55" s="51"/>
      <c r="BC55" s="51"/>
      <c r="BD55" s="52"/>
    </row>
    <row r="56" spans="1:56" ht="14.4" customHeight="1">
      <c r="A56" s="37" t="str">
        <f>IF(B56="","",COUNTA($B$8:B56))</f>
        <v/>
      </c>
      <c r="B56" s="17"/>
      <c r="C56" s="18"/>
      <c r="D56" s="18"/>
      <c r="E56" s="18"/>
      <c r="F56" s="18"/>
      <c r="G56" s="18"/>
      <c r="H56" s="18"/>
      <c r="I56" s="19"/>
      <c r="J56" s="20"/>
      <c r="K56" s="20"/>
      <c r="L56" s="20"/>
      <c r="M56" s="20"/>
      <c r="N56" s="20"/>
      <c r="O56" s="20"/>
      <c r="P56" s="20"/>
      <c r="Q56" s="20"/>
      <c r="R56" s="17"/>
      <c r="S56" s="18"/>
      <c r="T56" s="18"/>
      <c r="U56" s="18"/>
      <c r="V56" s="18"/>
      <c r="W56" s="18"/>
      <c r="X56" s="18"/>
      <c r="Y56" s="17"/>
      <c r="Z56" s="28"/>
      <c r="AA56" s="21"/>
      <c r="AB56" s="22"/>
      <c r="AC56" s="29"/>
      <c r="AD56" s="38"/>
      <c r="AE56" s="30"/>
      <c r="AF56" s="30"/>
      <c r="AG56" s="30"/>
      <c r="AH56" s="30"/>
      <c r="AI56" s="30"/>
      <c r="AJ56" s="30"/>
      <c r="AK56" s="30"/>
      <c r="AL56" s="30"/>
      <c r="AM56" s="30"/>
      <c r="AN56" s="30"/>
      <c r="AO56" s="31"/>
      <c r="AP56" s="31"/>
      <c r="AQ56" s="31"/>
      <c r="AR56" s="31"/>
      <c r="AS56" s="32"/>
      <c r="AT56" s="33"/>
      <c r="AU56" s="51"/>
      <c r="AV56" s="51"/>
      <c r="AW56" s="51"/>
      <c r="AX56" s="51"/>
      <c r="AY56" s="51"/>
      <c r="AZ56" s="51"/>
      <c r="BA56" s="51"/>
      <c r="BB56" s="51"/>
      <c r="BC56" s="51"/>
      <c r="BD56" s="52"/>
    </row>
    <row r="57" spans="1:56" ht="14.4" customHeight="1">
      <c r="A57" s="37" t="str">
        <f>IF(B57="","",COUNTA($B$8:B57))</f>
        <v/>
      </c>
      <c r="B57" s="17"/>
      <c r="C57" s="18"/>
      <c r="D57" s="18"/>
      <c r="E57" s="18"/>
      <c r="F57" s="18"/>
      <c r="G57" s="18"/>
      <c r="H57" s="18"/>
      <c r="I57" s="19"/>
      <c r="J57" s="20"/>
      <c r="K57" s="20"/>
      <c r="L57" s="20"/>
      <c r="M57" s="20"/>
      <c r="N57" s="20"/>
      <c r="O57" s="20"/>
      <c r="P57" s="20"/>
      <c r="Q57" s="20"/>
      <c r="R57" s="17"/>
      <c r="S57" s="18"/>
      <c r="T57" s="18"/>
      <c r="U57" s="18"/>
      <c r="V57" s="18"/>
      <c r="W57" s="18"/>
      <c r="X57" s="18"/>
      <c r="Y57" s="17"/>
      <c r="Z57" s="28"/>
      <c r="AA57" s="21"/>
      <c r="AB57" s="22"/>
      <c r="AC57" s="29"/>
      <c r="AD57" s="38"/>
      <c r="AE57" s="30"/>
      <c r="AF57" s="30"/>
      <c r="AG57" s="30"/>
      <c r="AH57" s="30"/>
      <c r="AI57" s="30"/>
      <c r="AJ57" s="30"/>
      <c r="AK57" s="30"/>
      <c r="AL57" s="30"/>
      <c r="AM57" s="30"/>
      <c r="AN57" s="30"/>
      <c r="AO57" s="31"/>
      <c r="AP57" s="31"/>
      <c r="AQ57" s="31"/>
      <c r="AR57" s="31"/>
      <c r="AS57" s="32"/>
      <c r="AT57" s="33"/>
      <c r="AU57" s="51"/>
      <c r="AV57" s="51"/>
      <c r="AW57" s="51"/>
      <c r="AX57" s="51"/>
      <c r="AY57" s="51"/>
      <c r="AZ57" s="51"/>
      <c r="BA57" s="51"/>
      <c r="BB57" s="51"/>
      <c r="BC57" s="51"/>
      <c r="BD57" s="52"/>
    </row>
    <row r="58" spans="1:56" ht="14.4" customHeight="1">
      <c r="A58" s="37" t="str">
        <f>IF(B58="","",COUNTA($B$8:B58))</f>
        <v/>
      </c>
      <c r="B58" s="17"/>
      <c r="C58" s="18"/>
      <c r="D58" s="18"/>
      <c r="E58" s="18"/>
      <c r="F58" s="18"/>
      <c r="G58" s="18"/>
      <c r="H58" s="18"/>
      <c r="I58" s="19"/>
      <c r="J58" s="20"/>
      <c r="K58" s="20"/>
      <c r="L58" s="20"/>
      <c r="M58" s="20"/>
      <c r="N58" s="20"/>
      <c r="O58" s="20"/>
      <c r="P58" s="20"/>
      <c r="Q58" s="20"/>
      <c r="R58" s="17"/>
      <c r="S58" s="18"/>
      <c r="T58" s="18"/>
      <c r="U58" s="18"/>
      <c r="V58" s="18"/>
      <c r="W58" s="18"/>
      <c r="X58" s="18"/>
      <c r="Y58" s="17"/>
      <c r="Z58" s="28"/>
      <c r="AA58" s="21"/>
      <c r="AB58" s="22"/>
      <c r="AC58" s="29"/>
      <c r="AD58" s="38"/>
      <c r="AE58" s="30"/>
      <c r="AF58" s="30"/>
      <c r="AG58" s="30"/>
      <c r="AH58" s="30"/>
      <c r="AI58" s="30"/>
      <c r="AJ58" s="30"/>
      <c r="AK58" s="30"/>
      <c r="AL58" s="30"/>
      <c r="AM58" s="30"/>
      <c r="AN58" s="30"/>
      <c r="AO58" s="31"/>
      <c r="AP58" s="31"/>
      <c r="AQ58" s="31"/>
      <c r="AR58" s="31"/>
      <c r="AS58" s="32"/>
      <c r="AT58" s="33"/>
      <c r="AU58" s="51"/>
      <c r="AV58" s="51"/>
      <c r="AW58" s="51"/>
      <c r="AX58" s="51"/>
      <c r="AY58" s="51"/>
      <c r="AZ58" s="51"/>
      <c r="BA58" s="51"/>
      <c r="BB58" s="51"/>
      <c r="BC58" s="51"/>
      <c r="BD58" s="52"/>
    </row>
    <row r="59" spans="1:56" ht="14.4" customHeight="1">
      <c r="A59" s="37" t="str">
        <f>IF(B59="","",COUNTA($B$8:B59))</f>
        <v/>
      </c>
      <c r="B59" s="17"/>
      <c r="C59" s="18"/>
      <c r="D59" s="18"/>
      <c r="E59" s="18"/>
      <c r="F59" s="18"/>
      <c r="G59" s="18"/>
      <c r="H59" s="18"/>
      <c r="I59" s="19"/>
      <c r="J59" s="20"/>
      <c r="K59" s="20"/>
      <c r="L59" s="20"/>
      <c r="M59" s="20"/>
      <c r="N59" s="20"/>
      <c r="O59" s="20"/>
      <c r="P59" s="20"/>
      <c r="Q59" s="20"/>
      <c r="R59" s="17"/>
      <c r="S59" s="18"/>
      <c r="T59" s="18"/>
      <c r="U59" s="18"/>
      <c r="V59" s="18"/>
      <c r="W59" s="18"/>
      <c r="X59" s="18"/>
      <c r="Y59" s="17"/>
      <c r="Z59" s="28"/>
      <c r="AA59" s="21"/>
      <c r="AB59" s="22"/>
      <c r="AC59" s="29"/>
      <c r="AD59" s="38"/>
      <c r="AE59" s="30"/>
      <c r="AF59" s="30"/>
      <c r="AG59" s="30"/>
      <c r="AH59" s="30"/>
      <c r="AI59" s="30"/>
      <c r="AJ59" s="30"/>
      <c r="AK59" s="30"/>
      <c r="AL59" s="30"/>
      <c r="AM59" s="30"/>
      <c r="AN59" s="30"/>
      <c r="AO59" s="31"/>
      <c r="AP59" s="31"/>
      <c r="AQ59" s="31"/>
      <c r="AR59" s="31"/>
      <c r="AS59" s="32"/>
      <c r="AT59" s="33"/>
      <c r="AU59" s="51"/>
      <c r="AV59" s="51"/>
      <c r="AW59" s="51"/>
      <c r="AX59" s="51"/>
      <c r="AY59" s="51"/>
      <c r="AZ59" s="51"/>
      <c r="BA59" s="51"/>
      <c r="BB59" s="51"/>
      <c r="BC59" s="51"/>
      <c r="BD59" s="52"/>
    </row>
    <row r="60" spans="1:56" ht="14.4" customHeight="1">
      <c r="A60" s="37" t="str">
        <f>IF(B60="","",COUNTA($B$8:B60))</f>
        <v/>
      </c>
      <c r="B60" s="17"/>
      <c r="C60" s="18"/>
      <c r="D60" s="18"/>
      <c r="E60" s="18"/>
      <c r="F60" s="18"/>
      <c r="G60" s="18"/>
      <c r="H60" s="18"/>
      <c r="I60" s="19"/>
      <c r="J60" s="20"/>
      <c r="K60" s="20"/>
      <c r="L60" s="20"/>
      <c r="M60" s="20"/>
      <c r="N60" s="20"/>
      <c r="O60" s="20"/>
      <c r="P60" s="20"/>
      <c r="Q60" s="20"/>
      <c r="R60" s="17"/>
      <c r="S60" s="18"/>
      <c r="T60" s="18"/>
      <c r="U60" s="18"/>
      <c r="V60" s="18"/>
      <c r="W60" s="18"/>
      <c r="X60" s="18"/>
      <c r="Y60" s="17"/>
      <c r="Z60" s="28"/>
      <c r="AA60" s="21"/>
      <c r="AB60" s="22"/>
      <c r="AC60" s="29"/>
      <c r="AD60" s="38"/>
      <c r="AE60" s="30"/>
      <c r="AF60" s="30"/>
      <c r="AG60" s="30"/>
      <c r="AH60" s="30"/>
      <c r="AI60" s="30"/>
      <c r="AJ60" s="30"/>
      <c r="AK60" s="30"/>
      <c r="AL60" s="30"/>
      <c r="AM60" s="30"/>
      <c r="AN60" s="30"/>
      <c r="AO60" s="31"/>
      <c r="AP60" s="31"/>
      <c r="AQ60" s="31"/>
      <c r="AR60" s="31"/>
      <c r="AS60" s="32"/>
      <c r="AT60" s="33"/>
      <c r="AU60" s="51"/>
      <c r="AV60" s="51"/>
      <c r="AW60" s="51"/>
      <c r="AX60" s="51"/>
      <c r="AY60" s="51"/>
      <c r="AZ60" s="51"/>
      <c r="BA60" s="51"/>
      <c r="BB60" s="51"/>
      <c r="BC60" s="51"/>
      <c r="BD60" s="52"/>
    </row>
    <row r="61" spans="1:56" ht="14.4" customHeight="1">
      <c r="A61" s="37" t="str">
        <f>IF(B61="","",COUNTA($B$8:B61))</f>
        <v/>
      </c>
      <c r="B61" s="17"/>
      <c r="C61" s="18"/>
      <c r="D61" s="18"/>
      <c r="E61" s="18"/>
      <c r="F61" s="18"/>
      <c r="G61" s="18"/>
      <c r="H61" s="18"/>
      <c r="I61" s="19"/>
      <c r="J61" s="20"/>
      <c r="K61" s="20"/>
      <c r="L61" s="20"/>
      <c r="M61" s="20"/>
      <c r="N61" s="20"/>
      <c r="O61" s="20"/>
      <c r="P61" s="20"/>
      <c r="Q61" s="20"/>
      <c r="R61" s="17"/>
      <c r="S61" s="18"/>
      <c r="T61" s="18"/>
      <c r="U61" s="18"/>
      <c r="V61" s="18"/>
      <c r="W61" s="18"/>
      <c r="X61" s="18"/>
      <c r="Y61" s="17"/>
      <c r="Z61" s="28"/>
      <c r="AA61" s="21"/>
      <c r="AB61" s="22"/>
      <c r="AC61" s="29"/>
      <c r="AD61" s="38"/>
      <c r="AE61" s="30"/>
      <c r="AF61" s="30"/>
      <c r="AG61" s="30"/>
      <c r="AH61" s="30"/>
      <c r="AI61" s="30"/>
      <c r="AJ61" s="30"/>
      <c r="AK61" s="30"/>
      <c r="AL61" s="30"/>
      <c r="AM61" s="30"/>
      <c r="AN61" s="30"/>
      <c r="AO61" s="31"/>
      <c r="AP61" s="31"/>
      <c r="AQ61" s="31"/>
      <c r="AR61" s="31"/>
      <c r="AS61" s="32"/>
      <c r="AT61" s="33"/>
      <c r="AU61" s="51"/>
      <c r="AV61" s="51"/>
      <c r="AW61" s="51"/>
      <c r="AX61" s="51"/>
      <c r="AY61" s="51"/>
      <c r="AZ61" s="51"/>
      <c r="BA61" s="51"/>
      <c r="BB61" s="51"/>
      <c r="BC61" s="51"/>
      <c r="BD61" s="52"/>
    </row>
    <row r="62" spans="1:56" ht="14.4" customHeight="1">
      <c r="A62" s="37" t="str">
        <f>IF(B62="","",COUNTA($B$8:B62))</f>
        <v/>
      </c>
      <c r="B62" s="26"/>
      <c r="C62" s="34"/>
      <c r="D62" s="34"/>
      <c r="E62" s="34"/>
      <c r="F62" s="34"/>
      <c r="G62" s="34"/>
      <c r="H62" s="34"/>
      <c r="I62" s="19"/>
      <c r="J62" s="27"/>
      <c r="K62" s="27"/>
      <c r="L62" s="27"/>
      <c r="M62" s="27"/>
      <c r="N62" s="27"/>
      <c r="O62" s="27"/>
      <c r="P62" s="27"/>
      <c r="Q62" s="27"/>
      <c r="R62" s="26"/>
      <c r="S62" s="34"/>
      <c r="T62" s="34"/>
      <c r="U62" s="34"/>
      <c r="V62" s="34"/>
      <c r="W62" s="34"/>
      <c r="X62" s="34"/>
      <c r="Y62" s="589"/>
      <c r="Z62" s="590"/>
      <c r="AA62" s="591"/>
      <c r="AB62" s="592"/>
      <c r="AC62" s="593"/>
      <c r="AD62" s="38"/>
      <c r="AE62" s="25"/>
      <c r="AF62" s="25"/>
      <c r="AG62" s="25"/>
      <c r="AH62" s="25"/>
      <c r="AI62" s="25"/>
      <c r="AJ62" s="25"/>
      <c r="AK62" s="25"/>
      <c r="AL62" s="25"/>
      <c r="AM62" s="25"/>
      <c r="AN62" s="25"/>
      <c r="AO62" s="25"/>
      <c r="AP62" s="25"/>
      <c r="AQ62" s="25"/>
      <c r="AR62" s="25"/>
      <c r="AS62" s="26"/>
      <c r="AT62" s="51"/>
      <c r="AU62" s="51"/>
      <c r="AV62" s="51"/>
      <c r="AW62" s="51"/>
      <c r="AX62" s="51"/>
      <c r="AY62" s="51"/>
      <c r="AZ62" s="51"/>
      <c r="BA62" s="51"/>
      <c r="BB62" s="51"/>
      <c r="BC62" s="51"/>
      <c r="BD62" s="52"/>
    </row>
    <row r="63" spans="1:56" ht="14.4" customHeight="1">
      <c r="A63" s="37" t="str">
        <f>IF(B63="","",COUNTA($B$8:B63))</f>
        <v/>
      </c>
      <c r="B63" s="26"/>
      <c r="C63" s="34"/>
      <c r="D63" s="34"/>
      <c r="E63" s="34"/>
      <c r="F63" s="34"/>
      <c r="G63" s="34"/>
      <c r="H63" s="34"/>
      <c r="I63" s="19"/>
      <c r="J63" s="27"/>
      <c r="K63" s="27"/>
      <c r="L63" s="27"/>
      <c r="M63" s="27"/>
      <c r="N63" s="27"/>
      <c r="O63" s="27"/>
      <c r="P63" s="27"/>
      <c r="Q63" s="27"/>
      <c r="R63" s="26"/>
      <c r="S63" s="34"/>
      <c r="T63" s="34"/>
      <c r="U63" s="34"/>
      <c r="V63" s="34"/>
      <c r="W63" s="34"/>
      <c r="X63" s="34"/>
      <c r="Y63" s="589"/>
      <c r="Z63" s="590"/>
      <c r="AA63" s="591"/>
      <c r="AB63" s="592"/>
      <c r="AC63" s="593"/>
      <c r="AD63" s="38"/>
      <c r="AE63" s="25"/>
      <c r="AF63" s="25"/>
      <c r="AG63" s="25"/>
      <c r="AH63" s="25"/>
      <c r="AI63" s="25"/>
      <c r="AJ63" s="25"/>
      <c r="AK63" s="25"/>
      <c r="AL63" s="25"/>
      <c r="AM63" s="25"/>
      <c r="AN63" s="25"/>
      <c r="AO63" s="25"/>
      <c r="AP63" s="25"/>
      <c r="AQ63" s="25"/>
      <c r="AR63" s="25"/>
      <c r="AS63" s="26"/>
      <c r="AT63" s="51"/>
      <c r="AU63" s="51"/>
      <c r="AV63" s="51"/>
      <c r="AW63" s="51"/>
      <c r="AX63" s="51"/>
      <c r="AY63" s="51"/>
      <c r="AZ63" s="51"/>
      <c r="BA63" s="51"/>
      <c r="BB63" s="51"/>
      <c r="BC63" s="51"/>
      <c r="BD63" s="52"/>
    </row>
    <row r="64" spans="1:56" ht="14.4" customHeight="1">
      <c r="A64" s="37" t="str">
        <f>IF(B64="","",COUNTA($B$8:B64))</f>
        <v/>
      </c>
      <c r="B64" s="26"/>
      <c r="C64" s="34"/>
      <c r="D64" s="34"/>
      <c r="E64" s="34"/>
      <c r="F64" s="34"/>
      <c r="G64" s="34"/>
      <c r="H64" s="34"/>
      <c r="I64" s="19"/>
      <c r="J64" s="27"/>
      <c r="K64" s="27"/>
      <c r="L64" s="27"/>
      <c r="M64" s="27"/>
      <c r="N64" s="27"/>
      <c r="O64" s="27"/>
      <c r="P64" s="27"/>
      <c r="Q64" s="27"/>
      <c r="R64" s="26"/>
      <c r="S64" s="34"/>
      <c r="T64" s="34"/>
      <c r="U64" s="34"/>
      <c r="V64" s="34"/>
      <c r="W64" s="34"/>
      <c r="X64" s="34"/>
      <c r="Y64" s="589"/>
      <c r="Z64" s="590"/>
      <c r="AA64" s="591"/>
      <c r="AB64" s="592"/>
      <c r="AC64" s="593"/>
      <c r="AD64" s="38"/>
      <c r="AE64" s="25"/>
      <c r="AF64" s="25"/>
      <c r="AG64" s="25"/>
      <c r="AH64" s="25"/>
      <c r="AI64" s="25"/>
      <c r="AJ64" s="25"/>
      <c r="AK64" s="25"/>
      <c r="AL64" s="25"/>
      <c r="AM64" s="25"/>
      <c r="AN64" s="25"/>
      <c r="AO64" s="25"/>
      <c r="AP64" s="25"/>
      <c r="AQ64" s="25"/>
      <c r="AR64" s="25"/>
      <c r="AS64" s="26"/>
      <c r="AT64" s="51"/>
      <c r="AU64" s="51"/>
      <c r="AV64" s="51"/>
      <c r="AW64" s="51"/>
      <c r="AX64" s="51"/>
      <c r="AY64" s="51"/>
      <c r="AZ64" s="51"/>
      <c r="BA64" s="51"/>
      <c r="BB64" s="51"/>
      <c r="BC64" s="51"/>
      <c r="BD64" s="52"/>
    </row>
    <row r="65" spans="1:56" ht="14.4" customHeight="1">
      <c r="A65" s="37" t="str">
        <f>IF(B65="","",COUNTA($B$8:B65))</f>
        <v/>
      </c>
      <c r="B65" s="26"/>
      <c r="C65" s="34"/>
      <c r="D65" s="34"/>
      <c r="E65" s="34"/>
      <c r="F65" s="34"/>
      <c r="G65" s="34"/>
      <c r="H65" s="34"/>
      <c r="I65" s="19"/>
      <c r="J65" s="27"/>
      <c r="K65" s="27"/>
      <c r="L65" s="27"/>
      <c r="M65" s="27"/>
      <c r="N65" s="27"/>
      <c r="O65" s="27"/>
      <c r="P65" s="27"/>
      <c r="Q65" s="27"/>
      <c r="R65" s="26"/>
      <c r="S65" s="34"/>
      <c r="T65" s="34"/>
      <c r="U65" s="34"/>
      <c r="V65" s="34"/>
      <c r="W65" s="34"/>
      <c r="X65" s="34"/>
      <c r="Y65" s="589"/>
      <c r="Z65" s="590"/>
      <c r="AA65" s="591"/>
      <c r="AB65" s="592"/>
      <c r="AC65" s="593"/>
      <c r="AD65" s="38"/>
      <c r="AE65" s="25"/>
      <c r="AF65" s="25"/>
      <c r="AG65" s="25"/>
      <c r="AH65" s="25"/>
      <c r="AI65" s="25"/>
      <c r="AJ65" s="25"/>
      <c r="AK65" s="25"/>
      <c r="AL65" s="25"/>
      <c r="AM65" s="25"/>
      <c r="AN65" s="25"/>
      <c r="AO65" s="25"/>
      <c r="AP65" s="25"/>
      <c r="AQ65" s="25"/>
      <c r="AR65" s="25"/>
      <c r="AS65" s="26"/>
      <c r="AT65" s="51"/>
      <c r="AU65" s="51"/>
      <c r="AV65" s="51"/>
      <c r="AW65" s="51"/>
      <c r="AX65" s="51"/>
      <c r="AY65" s="51"/>
      <c r="AZ65" s="51"/>
      <c r="BA65" s="51"/>
      <c r="BB65" s="51"/>
      <c r="BC65" s="51"/>
      <c r="BD65" s="52"/>
    </row>
    <row r="66" spans="1:56" ht="14.4" customHeight="1">
      <c r="A66" s="37" t="str">
        <f>IF(B66="","",COUNTA($B$8:B66))</f>
        <v/>
      </c>
      <c r="B66" s="26"/>
      <c r="C66" s="34"/>
      <c r="D66" s="34"/>
      <c r="E66" s="34"/>
      <c r="F66" s="34"/>
      <c r="G66" s="34"/>
      <c r="H66" s="34"/>
      <c r="I66" s="19"/>
      <c r="J66" s="27"/>
      <c r="K66" s="27"/>
      <c r="L66" s="27"/>
      <c r="M66" s="27"/>
      <c r="N66" s="27"/>
      <c r="O66" s="27"/>
      <c r="P66" s="27"/>
      <c r="Q66" s="27"/>
      <c r="R66" s="26"/>
      <c r="S66" s="34"/>
      <c r="T66" s="34"/>
      <c r="U66" s="34"/>
      <c r="V66" s="34"/>
      <c r="W66" s="34"/>
      <c r="X66" s="34"/>
      <c r="Y66" s="589"/>
      <c r="Z66" s="590"/>
      <c r="AA66" s="591"/>
      <c r="AB66" s="592"/>
      <c r="AC66" s="593"/>
      <c r="AD66" s="38"/>
      <c r="AE66" s="25"/>
      <c r="AF66" s="25"/>
      <c r="AG66" s="25"/>
      <c r="AH66" s="25"/>
      <c r="AI66" s="25"/>
      <c r="AJ66" s="25"/>
      <c r="AK66" s="25"/>
      <c r="AL66" s="25"/>
      <c r="AM66" s="25"/>
      <c r="AN66" s="25"/>
      <c r="AO66" s="25"/>
      <c r="AP66" s="25"/>
      <c r="AQ66" s="25"/>
      <c r="AR66" s="25"/>
      <c r="AS66" s="26"/>
      <c r="AT66" s="51"/>
      <c r="AU66" s="51"/>
      <c r="AV66" s="51"/>
      <c r="AW66" s="51"/>
      <c r="AX66" s="51"/>
      <c r="AY66" s="51"/>
      <c r="AZ66" s="51"/>
      <c r="BA66" s="51"/>
      <c r="BB66" s="51"/>
      <c r="BC66" s="51"/>
      <c r="BD66" s="52"/>
    </row>
    <row r="67" spans="1:56" ht="14.4" customHeight="1">
      <c r="A67" s="37" t="str">
        <f>IF(B67="","",COUNTA($B$8:B67))</f>
        <v/>
      </c>
      <c r="B67" s="26"/>
      <c r="C67" s="34"/>
      <c r="D67" s="34"/>
      <c r="E67" s="34"/>
      <c r="F67" s="34"/>
      <c r="G67" s="34"/>
      <c r="H67" s="34"/>
      <c r="I67" s="19"/>
      <c r="J67" s="27"/>
      <c r="K67" s="27"/>
      <c r="L67" s="27"/>
      <c r="M67" s="27"/>
      <c r="N67" s="27"/>
      <c r="O67" s="27"/>
      <c r="P67" s="27"/>
      <c r="Q67" s="27"/>
      <c r="R67" s="26"/>
      <c r="S67" s="34"/>
      <c r="T67" s="34"/>
      <c r="U67" s="34"/>
      <c r="V67" s="34"/>
      <c r="W67" s="34"/>
      <c r="X67" s="34"/>
      <c r="Y67" s="589"/>
      <c r="Z67" s="590"/>
      <c r="AA67" s="591"/>
      <c r="AB67" s="592"/>
      <c r="AC67" s="593"/>
      <c r="AD67" s="38"/>
      <c r="AE67" s="25"/>
      <c r="AF67" s="25"/>
      <c r="AG67" s="25"/>
      <c r="AH67" s="25"/>
      <c r="AI67" s="25"/>
      <c r="AJ67" s="25"/>
      <c r="AK67" s="25"/>
      <c r="AL67" s="25"/>
      <c r="AM67" s="25"/>
      <c r="AN67" s="25"/>
      <c r="AO67" s="25"/>
      <c r="AP67" s="25"/>
      <c r="AQ67" s="25"/>
      <c r="AR67" s="25"/>
      <c r="AS67" s="26"/>
      <c r="AT67" s="51"/>
      <c r="AU67" s="51"/>
      <c r="AV67" s="51"/>
      <c r="AW67" s="51"/>
      <c r="AX67" s="51"/>
      <c r="AY67" s="51"/>
      <c r="AZ67" s="51"/>
      <c r="BA67" s="51"/>
      <c r="BB67" s="51"/>
      <c r="BC67" s="51"/>
      <c r="BD67" s="52"/>
    </row>
    <row r="68" spans="1:56" ht="14.4" customHeight="1">
      <c r="A68" s="37" t="str">
        <f>IF(B68="","",COUNTA($B$8:B68))</f>
        <v/>
      </c>
      <c r="B68" s="26"/>
      <c r="C68" s="34"/>
      <c r="D68" s="34"/>
      <c r="E68" s="34"/>
      <c r="F68" s="34"/>
      <c r="G68" s="34"/>
      <c r="H68" s="34"/>
      <c r="I68" s="19"/>
      <c r="J68" s="27"/>
      <c r="K68" s="27"/>
      <c r="L68" s="27"/>
      <c r="M68" s="27"/>
      <c r="N68" s="27"/>
      <c r="O68" s="27"/>
      <c r="P68" s="27"/>
      <c r="Q68" s="27"/>
      <c r="R68" s="26"/>
      <c r="S68" s="34"/>
      <c r="T68" s="34"/>
      <c r="U68" s="34"/>
      <c r="V68" s="34"/>
      <c r="W68" s="34"/>
      <c r="X68" s="34"/>
      <c r="Y68" s="589"/>
      <c r="Z68" s="590"/>
      <c r="AA68" s="591"/>
      <c r="AB68" s="592"/>
      <c r="AC68" s="593"/>
      <c r="AD68" s="38"/>
      <c r="AE68" s="25"/>
      <c r="AF68" s="25"/>
      <c r="AG68" s="25"/>
      <c r="AH68" s="25"/>
      <c r="AI68" s="25"/>
      <c r="AJ68" s="25"/>
      <c r="AK68" s="25"/>
      <c r="AL68" s="25"/>
      <c r="AM68" s="25"/>
      <c r="AN68" s="25"/>
      <c r="AO68" s="25"/>
      <c r="AP68" s="25"/>
      <c r="AQ68" s="25"/>
      <c r="AR68" s="25"/>
      <c r="AS68" s="26"/>
      <c r="AT68" s="51"/>
      <c r="AU68" s="51"/>
      <c r="AV68" s="51"/>
      <c r="AW68" s="51"/>
      <c r="AX68" s="51"/>
      <c r="AY68" s="51"/>
      <c r="AZ68" s="51"/>
      <c r="BA68" s="51"/>
      <c r="BB68" s="51"/>
      <c r="BC68" s="51"/>
      <c r="BD68" s="52"/>
    </row>
    <row r="69" spans="1:56" ht="14.4" customHeight="1">
      <c r="A69" s="37" t="str">
        <f>IF(B69="","",COUNTA($B$8:B69))</f>
        <v/>
      </c>
      <c r="B69" s="26"/>
      <c r="C69" s="34"/>
      <c r="D69" s="34"/>
      <c r="E69" s="34"/>
      <c r="F69" s="34"/>
      <c r="G69" s="34"/>
      <c r="H69" s="34"/>
      <c r="I69" s="19"/>
      <c r="J69" s="27"/>
      <c r="K69" s="27"/>
      <c r="L69" s="27"/>
      <c r="M69" s="27"/>
      <c r="N69" s="27"/>
      <c r="O69" s="27"/>
      <c r="P69" s="27"/>
      <c r="Q69" s="27"/>
      <c r="R69" s="26"/>
      <c r="S69" s="34"/>
      <c r="T69" s="34"/>
      <c r="U69" s="34"/>
      <c r="V69" s="34"/>
      <c r="W69" s="34"/>
      <c r="X69" s="34"/>
      <c r="Y69" s="589"/>
      <c r="Z69" s="590"/>
      <c r="AA69" s="591"/>
      <c r="AB69" s="592"/>
      <c r="AC69" s="593"/>
      <c r="AD69" s="38"/>
      <c r="AE69" s="25"/>
      <c r="AF69" s="25"/>
      <c r="AG69" s="25"/>
      <c r="AH69" s="25"/>
      <c r="AI69" s="25"/>
      <c r="AJ69" s="25"/>
      <c r="AK69" s="25"/>
      <c r="AL69" s="25"/>
      <c r="AM69" s="25"/>
      <c r="AN69" s="25"/>
      <c r="AO69" s="25"/>
      <c r="AP69" s="25"/>
      <c r="AQ69" s="25"/>
      <c r="AR69" s="25"/>
      <c r="AS69" s="26"/>
      <c r="AT69" s="51"/>
      <c r="AU69" s="51"/>
      <c r="AV69" s="51"/>
      <c r="AW69" s="51"/>
      <c r="AX69" s="51"/>
      <c r="AY69" s="51"/>
      <c r="AZ69" s="51"/>
      <c r="BA69" s="51"/>
      <c r="BB69" s="51"/>
      <c r="BC69" s="51"/>
      <c r="BD69" s="52"/>
    </row>
    <row r="70" spans="1:56" ht="14.4" customHeight="1">
      <c r="A70" s="37" t="str">
        <f>IF(B70="","",COUNTA($B$8:B70))</f>
        <v/>
      </c>
      <c r="B70" s="26"/>
      <c r="C70" s="34"/>
      <c r="D70" s="34"/>
      <c r="E70" s="34"/>
      <c r="F70" s="34"/>
      <c r="G70" s="34"/>
      <c r="H70" s="34"/>
      <c r="I70" s="19"/>
      <c r="J70" s="27"/>
      <c r="K70" s="27"/>
      <c r="L70" s="27"/>
      <c r="M70" s="27"/>
      <c r="N70" s="27"/>
      <c r="O70" s="27"/>
      <c r="P70" s="27"/>
      <c r="Q70" s="27"/>
      <c r="R70" s="26"/>
      <c r="S70" s="34"/>
      <c r="T70" s="34"/>
      <c r="U70" s="34"/>
      <c r="V70" s="34"/>
      <c r="W70" s="34"/>
      <c r="X70" s="34"/>
      <c r="Y70" s="589"/>
      <c r="Z70" s="590"/>
      <c r="AA70" s="591"/>
      <c r="AB70" s="592"/>
      <c r="AC70" s="593"/>
      <c r="AD70" s="38"/>
      <c r="AE70" s="25"/>
      <c r="AF70" s="25"/>
      <c r="AG70" s="25"/>
      <c r="AH70" s="25"/>
      <c r="AI70" s="25"/>
      <c r="AJ70" s="25"/>
      <c r="AK70" s="25"/>
      <c r="AL70" s="25"/>
      <c r="AM70" s="25"/>
      <c r="AN70" s="25"/>
      <c r="AO70" s="25"/>
      <c r="AP70" s="25"/>
      <c r="AQ70" s="25"/>
      <c r="AR70" s="25"/>
      <c r="AS70" s="26"/>
      <c r="AT70" s="51"/>
      <c r="AU70" s="51"/>
      <c r="AV70" s="51"/>
      <c r="AW70" s="51"/>
      <c r="AX70" s="51"/>
      <c r="AY70" s="51"/>
      <c r="AZ70" s="51"/>
      <c r="BA70" s="51"/>
      <c r="BB70" s="51"/>
      <c r="BC70" s="51"/>
      <c r="BD70" s="52"/>
    </row>
    <row r="71" spans="1:56" ht="14.4" customHeight="1">
      <c r="A71" s="37" t="str">
        <f>IF(B71="","",COUNTA($B$8:B71))</f>
        <v/>
      </c>
      <c r="B71" s="26"/>
      <c r="C71" s="34"/>
      <c r="D71" s="34"/>
      <c r="E71" s="34"/>
      <c r="F71" s="34"/>
      <c r="G71" s="34"/>
      <c r="H71" s="34"/>
      <c r="I71" s="19"/>
      <c r="J71" s="27"/>
      <c r="K71" s="27"/>
      <c r="L71" s="27"/>
      <c r="M71" s="27"/>
      <c r="N71" s="27"/>
      <c r="O71" s="27"/>
      <c r="P71" s="27"/>
      <c r="Q71" s="27"/>
      <c r="R71" s="26"/>
      <c r="S71" s="34"/>
      <c r="T71" s="34"/>
      <c r="U71" s="34"/>
      <c r="V71" s="34"/>
      <c r="W71" s="34"/>
      <c r="X71" s="34"/>
      <c r="Y71" s="589"/>
      <c r="Z71" s="590"/>
      <c r="AA71" s="591"/>
      <c r="AB71" s="592"/>
      <c r="AC71" s="593"/>
      <c r="AD71" s="38"/>
      <c r="AE71" s="25"/>
      <c r="AF71" s="25"/>
      <c r="AG71" s="25"/>
      <c r="AH71" s="25"/>
      <c r="AI71" s="25"/>
      <c r="AJ71" s="25"/>
      <c r="AK71" s="25"/>
      <c r="AL71" s="25"/>
      <c r="AM71" s="25"/>
      <c r="AN71" s="25"/>
      <c r="AO71" s="25"/>
      <c r="AP71" s="25"/>
      <c r="AQ71" s="25"/>
      <c r="AR71" s="25"/>
      <c r="AS71" s="26"/>
      <c r="AT71" s="51"/>
      <c r="AU71" s="51"/>
      <c r="AV71" s="51"/>
      <c r="AW71" s="51"/>
      <c r="AX71" s="51"/>
      <c r="AY71" s="51"/>
      <c r="AZ71" s="51"/>
      <c r="BA71" s="51"/>
      <c r="BB71" s="51"/>
      <c r="BC71" s="51"/>
      <c r="BD71" s="52"/>
    </row>
    <row r="72" spans="1:56" ht="14.4" customHeight="1">
      <c r="A72" s="37" t="str">
        <f>IF(B72="","",COUNTA($B$8:B72))</f>
        <v/>
      </c>
      <c r="B72" s="26"/>
      <c r="C72" s="34"/>
      <c r="D72" s="34"/>
      <c r="E72" s="34"/>
      <c r="F72" s="34"/>
      <c r="G72" s="34"/>
      <c r="H72" s="34"/>
      <c r="I72" s="19"/>
      <c r="J72" s="27"/>
      <c r="K72" s="27"/>
      <c r="L72" s="27"/>
      <c r="M72" s="27"/>
      <c r="N72" s="27"/>
      <c r="O72" s="27"/>
      <c r="P72" s="27"/>
      <c r="Q72" s="27"/>
      <c r="R72" s="26"/>
      <c r="S72" s="34"/>
      <c r="T72" s="34"/>
      <c r="U72" s="34"/>
      <c r="V72" s="34"/>
      <c r="W72" s="34"/>
      <c r="X72" s="34"/>
      <c r="Y72" s="589"/>
      <c r="Z72" s="590"/>
      <c r="AA72" s="591"/>
      <c r="AB72" s="592"/>
      <c r="AC72" s="593"/>
      <c r="AD72" s="38"/>
      <c r="AE72" s="25"/>
      <c r="AF72" s="25"/>
      <c r="AG72" s="25"/>
      <c r="AH72" s="25"/>
      <c r="AI72" s="25"/>
      <c r="AJ72" s="25"/>
      <c r="AK72" s="25"/>
      <c r="AL72" s="25"/>
      <c r="AM72" s="25"/>
      <c r="AN72" s="25"/>
      <c r="AO72" s="25"/>
      <c r="AP72" s="25"/>
      <c r="AQ72" s="25"/>
      <c r="AR72" s="25"/>
      <c r="AS72" s="26"/>
      <c r="AT72" s="51"/>
      <c r="AU72" s="51"/>
      <c r="AV72" s="51"/>
      <c r="AW72" s="51"/>
      <c r="AX72" s="51"/>
      <c r="AY72" s="51"/>
      <c r="AZ72" s="51"/>
      <c r="BA72" s="51"/>
      <c r="BB72" s="51"/>
      <c r="BC72" s="51"/>
      <c r="BD72" s="52"/>
    </row>
    <row r="73" spans="1:56" ht="14.4" customHeight="1">
      <c r="A73" s="37" t="str">
        <f>IF(B73="","",COUNTA($B$8:B73))</f>
        <v/>
      </c>
      <c r="B73" s="26"/>
      <c r="C73" s="34"/>
      <c r="D73" s="34"/>
      <c r="E73" s="34"/>
      <c r="F73" s="34"/>
      <c r="G73" s="34"/>
      <c r="H73" s="34"/>
      <c r="I73" s="19"/>
      <c r="J73" s="27"/>
      <c r="K73" s="27"/>
      <c r="L73" s="27"/>
      <c r="M73" s="27"/>
      <c r="N73" s="27"/>
      <c r="O73" s="27"/>
      <c r="P73" s="27"/>
      <c r="Q73" s="27"/>
      <c r="R73" s="26"/>
      <c r="S73" s="34"/>
      <c r="T73" s="34"/>
      <c r="U73" s="34"/>
      <c r="V73" s="34"/>
      <c r="W73" s="34"/>
      <c r="X73" s="34"/>
      <c r="Y73" s="589"/>
      <c r="Z73" s="590"/>
      <c r="AA73" s="591"/>
      <c r="AB73" s="592"/>
      <c r="AC73" s="593"/>
      <c r="AD73" s="38"/>
      <c r="AE73" s="25"/>
      <c r="AF73" s="25"/>
      <c r="AG73" s="25"/>
      <c r="AH73" s="25"/>
      <c r="AI73" s="25"/>
      <c r="AJ73" s="25"/>
      <c r="AK73" s="25"/>
      <c r="AL73" s="25"/>
      <c r="AM73" s="25"/>
      <c r="AN73" s="25"/>
      <c r="AO73" s="25"/>
      <c r="AP73" s="25"/>
      <c r="AQ73" s="25"/>
      <c r="AR73" s="25"/>
      <c r="AS73" s="26"/>
      <c r="AT73" s="51"/>
      <c r="AU73" s="51"/>
      <c r="AV73" s="51"/>
      <c r="AW73" s="51"/>
      <c r="AX73" s="51"/>
      <c r="AY73" s="51"/>
      <c r="AZ73" s="51"/>
      <c r="BA73" s="51"/>
      <c r="BB73" s="51"/>
      <c r="BC73" s="51"/>
      <c r="BD73" s="52"/>
    </row>
    <row r="74" spans="1:56" ht="14.4" customHeight="1">
      <c r="A74" s="37" t="str">
        <f>IF(B74="","",COUNTA($B$8:B74))</f>
        <v/>
      </c>
      <c r="B74" s="26"/>
      <c r="C74" s="34"/>
      <c r="D74" s="34"/>
      <c r="E74" s="34"/>
      <c r="F74" s="34"/>
      <c r="G74" s="34"/>
      <c r="H74" s="34"/>
      <c r="I74" s="19"/>
      <c r="J74" s="27"/>
      <c r="K74" s="27"/>
      <c r="L74" s="27"/>
      <c r="M74" s="27"/>
      <c r="N74" s="27"/>
      <c r="O74" s="27"/>
      <c r="P74" s="27"/>
      <c r="Q74" s="27"/>
      <c r="R74" s="26"/>
      <c r="S74" s="34"/>
      <c r="T74" s="34"/>
      <c r="U74" s="34"/>
      <c r="V74" s="34"/>
      <c r="W74" s="34"/>
      <c r="X74" s="34"/>
      <c r="Y74" s="589"/>
      <c r="Z74" s="590"/>
      <c r="AA74" s="591"/>
      <c r="AB74" s="592"/>
      <c r="AC74" s="593"/>
      <c r="AD74" s="38"/>
      <c r="AE74" s="25"/>
      <c r="AF74" s="25"/>
      <c r="AG74" s="25"/>
      <c r="AH74" s="25"/>
      <c r="AI74" s="25"/>
      <c r="AJ74" s="25"/>
      <c r="AK74" s="25"/>
      <c r="AL74" s="25"/>
      <c r="AM74" s="25"/>
      <c r="AN74" s="25"/>
      <c r="AO74" s="25"/>
      <c r="AP74" s="25"/>
      <c r="AQ74" s="25"/>
      <c r="AR74" s="25"/>
      <c r="AS74" s="26"/>
      <c r="AT74" s="51"/>
      <c r="AU74" s="51"/>
      <c r="AV74" s="51"/>
      <c r="AW74" s="51"/>
      <c r="AX74" s="51"/>
      <c r="AY74" s="51"/>
      <c r="AZ74" s="51"/>
      <c r="BA74" s="51"/>
      <c r="BB74" s="51"/>
      <c r="BC74" s="51"/>
      <c r="BD74" s="52"/>
    </row>
    <row r="75" spans="1:56" ht="14.4" customHeight="1">
      <c r="A75" s="37" t="str">
        <f>IF(B75="","",COUNTA($B$8:B75))</f>
        <v/>
      </c>
      <c r="B75" s="26"/>
      <c r="C75" s="34"/>
      <c r="D75" s="34"/>
      <c r="E75" s="34"/>
      <c r="F75" s="34"/>
      <c r="G75" s="34"/>
      <c r="H75" s="34"/>
      <c r="I75" s="19"/>
      <c r="J75" s="27"/>
      <c r="K75" s="27"/>
      <c r="L75" s="27"/>
      <c r="M75" s="27"/>
      <c r="N75" s="27"/>
      <c r="O75" s="27"/>
      <c r="P75" s="27"/>
      <c r="Q75" s="27"/>
      <c r="R75" s="26"/>
      <c r="S75" s="34"/>
      <c r="T75" s="34"/>
      <c r="U75" s="34"/>
      <c r="V75" s="34"/>
      <c r="W75" s="34"/>
      <c r="X75" s="34"/>
      <c r="Y75" s="589"/>
      <c r="Z75" s="590"/>
      <c r="AA75" s="591"/>
      <c r="AB75" s="592"/>
      <c r="AC75" s="593"/>
      <c r="AD75" s="38"/>
      <c r="AE75" s="25"/>
      <c r="AF75" s="25"/>
      <c r="AG75" s="25"/>
      <c r="AH75" s="25"/>
      <c r="AI75" s="25"/>
      <c r="AJ75" s="25"/>
      <c r="AK75" s="25"/>
      <c r="AL75" s="25"/>
      <c r="AM75" s="25"/>
      <c r="AN75" s="25"/>
      <c r="AO75" s="25"/>
      <c r="AP75" s="25"/>
      <c r="AQ75" s="25"/>
      <c r="AR75" s="25"/>
      <c r="AS75" s="26"/>
      <c r="AT75" s="51"/>
      <c r="AU75" s="51"/>
      <c r="AV75" s="51"/>
      <c r="AW75" s="51"/>
      <c r="AX75" s="51"/>
      <c r="AY75" s="51"/>
      <c r="AZ75" s="51"/>
      <c r="BA75" s="51"/>
      <c r="BB75" s="51"/>
      <c r="BC75" s="51"/>
      <c r="BD75" s="52"/>
    </row>
    <row r="76" spans="1:56" ht="14.4" customHeight="1">
      <c r="A76" s="37" t="str">
        <f>IF(B76="","",COUNTA($B$8:B76))</f>
        <v/>
      </c>
      <c r="B76" s="26"/>
      <c r="C76" s="34"/>
      <c r="D76" s="34"/>
      <c r="E76" s="34"/>
      <c r="F76" s="34"/>
      <c r="G76" s="34"/>
      <c r="H76" s="34"/>
      <c r="I76" s="19"/>
      <c r="J76" s="27"/>
      <c r="K76" s="27"/>
      <c r="L76" s="27"/>
      <c r="M76" s="27"/>
      <c r="N76" s="27"/>
      <c r="O76" s="27"/>
      <c r="P76" s="27"/>
      <c r="Q76" s="27"/>
      <c r="R76" s="26"/>
      <c r="S76" s="34"/>
      <c r="T76" s="34"/>
      <c r="U76" s="34"/>
      <c r="V76" s="34"/>
      <c r="W76" s="34"/>
      <c r="X76" s="34"/>
      <c r="Y76" s="589"/>
      <c r="Z76" s="590"/>
      <c r="AA76" s="591"/>
      <c r="AB76" s="592"/>
      <c r="AC76" s="593"/>
      <c r="AD76" s="38"/>
      <c r="AE76" s="25"/>
      <c r="AF76" s="25"/>
      <c r="AG76" s="25"/>
      <c r="AH76" s="25"/>
      <c r="AI76" s="25"/>
      <c r="AJ76" s="25"/>
      <c r="AK76" s="25"/>
      <c r="AL76" s="25"/>
      <c r="AM76" s="25"/>
      <c r="AN76" s="25"/>
      <c r="AO76" s="25"/>
      <c r="AP76" s="25"/>
      <c r="AQ76" s="25"/>
      <c r="AR76" s="25"/>
      <c r="AS76" s="26"/>
      <c r="AT76" s="51"/>
      <c r="AU76" s="51"/>
      <c r="AV76" s="51"/>
      <c r="AW76" s="51"/>
      <c r="AX76" s="51"/>
      <c r="AY76" s="51"/>
      <c r="AZ76" s="51"/>
      <c r="BA76" s="51"/>
      <c r="BB76" s="51"/>
      <c r="BC76" s="51"/>
      <c r="BD76" s="52"/>
    </row>
    <row r="77" spans="1:56" ht="14.4" customHeight="1">
      <c r="A77" s="37" t="str">
        <f>IF(B77="","",COUNTA($B$8:B77))</f>
        <v/>
      </c>
      <c r="B77" s="26"/>
      <c r="C77" s="34"/>
      <c r="D77" s="34"/>
      <c r="E77" s="34"/>
      <c r="F77" s="34"/>
      <c r="G77" s="34"/>
      <c r="H77" s="34"/>
      <c r="I77" s="19"/>
      <c r="J77" s="27"/>
      <c r="K77" s="27"/>
      <c r="L77" s="27"/>
      <c r="M77" s="27"/>
      <c r="N77" s="27"/>
      <c r="O77" s="27"/>
      <c r="P77" s="27"/>
      <c r="Q77" s="27"/>
      <c r="R77" s="26"/>
      <c r="S77" s="34"/>
      <c r="T77" s="34"/>
      <c r="U77" s="34"/>
      <c r="V77" s="34"/>
      <c r="W77" s="34"/>
      <c r="X77" s="34"/>
      <c r="Y77" s="589"/>
      <c r="Z77" s="590"/>
      <c r="AA77" s="591"/>
      <c r="AB77" s="592"/>
      <c r="AC77" s="593"/>
      <c r="AD77" s="38"/>
      <c r="AE77" s="25"/>
      <c r="AF77" s="25"/>
      <c r="AG77" s="25"/>
      <c r="AH77" s="25"/>
      <c r="AI77" s="25"/>
      <c r="AJ77" s="25"/>
      <c r="AK77" s="25"/>
      <c r="AL77" s="25"/>
      <c r="AM77" s="25"/>
      <c r="AN77" s="25"/>
      <c r="AO77" s="25"/>
      <c r="AP77" s="25"/>
      <c r="AQ77" s="25"/>
      <c r="AR77" s="25"/>
      <c r="AS77" s="26"/>
      <c r="AT77" s="51"/>
      <c r="AU77" s="51"/>
      <c r="AV77" s="51"/>
      <c r="AW77" s="51"/>
      <c r="AX77" s="51"/>
      <c r="AY77" s="51"/>
      <c r="AZ77" s="51"/>
      <c r="BA77" s="51"/>
      <c r="BB77" s="51"/>
      <c r="BC77" s="51"/>
      <c r="BD77" s="52"/>
    </row>
    <row r="78" spans="1:56" ht="14.4" customHeight="1">
      <c r="A78" s="37" t="str">
        <f>IF(B78="","",COUNTA($B$8:B78))</f>
        <v/>
      </c>
      <c r="B78" s="26"/>
      <c r="C78" s="34"/>
      <c r="D78" s="34"/>
      <c r="E78" s="34"/>
      <c r="F78" s="34"/>
      <c r="G78" s="34"/>
      <c r="H78" s="34"/>
      <c r="I78" s="19"/>
      <c r="J78" s="27"/>
      <c r="K78" s="27"/>
      <c r="L78" s="27"/>
      <c r="M78" s="27"/>
      <c r="N78" s="27"/>
      <c r="O78" s="27"/>
      <c r="P78" s="27"/>
      <c r="Q78" s="27"/>
      <c r="R78" s="26"/>
      <c r="S78" s="34"/>
      <c r="T78" s="34"/>
      <c r="U78" s="34"/>
      <c r="V78" s="34"/>
      <c r="W78" s="34"/>
      <c r="X78" s="34"/>
      <c r="Y78" s="589"/>
      <c r="Z78" s="590"/>
      <c r="AA78" s="591"/>
      <c r="AB78" s="592"/>
      <c r="AC78" s="593"/>
      <c r="AD78" s="38"/>
      <c r="AE78" s="25"/>
      <c r="AF78" s="25"/>
      <c r="AG78" s="25"/>
      <c r="AH78" s="25"/>
      <c r="AI78" s="25"/>
      <c r="AJ78" s="25"/>
      <c r="AK78" s="25"/>
      <c r="AL78" s="25"/>
      <c r="AM78" s="25"/>
      <c r="AN78" s="25"/>
      <c r="AO78" s="25"/>
      <c r="AP78" s="25"/>
      <c r="AQ78" s="25"/>
      <c r="AR78" s="25"/>
      <c r="AS78" s="26"/>
      <c r="AT78" s="51"/>
      <c r="AU78" s="51"/>
      <c r="AV78" s="51"/>
      <c r="AW78" s="51"/>
      <c r="AX78" s="51"/>
      <c r="AY78" s="51"/>
      <c r="AZ78" s="51"/>
      <c r="BA78" s="51"/>
      <c r="BB78" s="51"/>
      <c r="BC78" s="51"/>
      <c r="BD78" s="52"/>
    </row>
    <row r="79" spans="1:56" ht="14.4" customHeight="1">
      <c r="A79" s="37" t="str">
        <f>IF(B79="","",COUNTA($B$8:B79))</f>
        <v/>
      </c>
      <c r="B79" s="26"/>
      <c r="C79" s="34"/>
      <c r="D79" s="34"/>
      <c r="E79" s="34"/>
      <c r="F79" s="34"/>
      <c r="G79" s="34"/>
      <c r="H79" s="34"/>
      <c r="I79" s="19"/>
      <c r="J79" s="27"/>
      <c r="K79" s="27"/>
      <c r="L79" s="27"/>
      <c r="M79" s="27"/>
      <c r="N79" s="27"/>
      <c r="O79" s="27"/>
      <c r="P79" s="27"/>
      <c r="Q79" s="27"/>
      <c r="R79" s="26"/>
      <c r="S79" s="34"/>
      <c r="T79" s="34"/>
      <c r="U79" s="34"/>
      <c r="V79" s="34"/>
      <c r="W79" s="34"/>
      <c r="X79" s="34"/>
      <c r="Y79" s="589"/>
      <c r="Z79" s="590"/>
      <c r="AA79" s="591"/>
      <c r="AB79" s="592"/>
      <c r="AC79" s="593"/>
      <c r="AD79" s="38"/>
      <c r="AE79" s="25"/>
      <c r="AF79" s="25"/>
      <c r="AG79" s="25"/>
      <c r="AH79" s="25"/>
      <c r="AI79" s="25"/>
      <c r="AJ79" s="25"/>
      <c r="AK79" s="25"/>
      <c r="AL79" s="25"/>
      <c r="AM79" s="25"/>
      <c r="AN79" s="25"/>
      <c r="AO79" s="25"/>
      <c r="AP79" s="25"/>
      <c r="AQ79" s="25"/>
      <c r="AR79" s="25"/>
      <c r="AS79" s="26"/>
      <c r="AT79" s="51"/>
      <c r="AU79" s="51"/>
      <c r="AV79" s="51"/>
      <c r="AW79" s="51"/>
      <c r="AX79" s="51"/>
      <c r="AY79" s="51"/>
      <c r="AZ79" s="51"/>
      <c r="BA79" s="51"/>
      <c r="BB79" s="51"/>
      <c r="BC79" s="51"/>
      <c r="BD79" s="52"/>
    </row>
    <row r="80" spans="1:56" ht="14.4" customHeight="1">
      <c r="A80" s="37" t="str">
        <f>IF(B80="","",COUNTA($B$8:B80))</f>
        <v/>
      </c>
      <c r="B80" s="26"/>
      <c r="C80" s="34"/>
      <c r="D80" s="34"/>
      <c r="E80" s="34"/>
      <c r="F80" s="34"/>
      <c r="G80" s="34"/>
      <c r="H80" s="34"/>
      <c r="I80" s="19"/>
      <c r="J80" s="27"/>
      <c r="K80" s="27"/>
      <c r="L80" s="27"/>
      <c r="M80" s="27"/>
      <c r="N80" s="27"/>
      <c r="O80" s="27"/>
      <c r="P80" s="27"/>
      <c r="Q80" s="27"/>
      <c r="R80" s="26"/>
      <c r="S80" s="34"/>
      <c r="T80" s="34"/>
      <c r="U80" s="34"/>
      <c r="V80" s="34"/>
      <c r="W80" s="34"/>
      <c r="X80" s="34"/>
      <c r="Y80" s="589"/>
      <c r="Z80" s="590"/>
      <c r="AA80" s="591"/>
      <c r="AB80" s="592"/>
      <c r="AC80" s="593"/>
      <c r="AD80" s="38"/>
      <c r="AE80" s="25"/>
      <c r="AF80" s="25"/>
      <c r="AG80" s="25"/>
      <c r="AH80" s="25"/>
      <c r="AI80" s="25"/>
      <c r="AJ80" s="25"/>
      <c r="AK80" s="25"/>
      <c r="AL80" s="25"/>
      <c r="AM80" s="25"/>
      <c r="AN80" s="25"/>
      <c r="AO80" s="25"/>
      <c r="AP80" s="25"/>
      <c r="AQ80" s="25"/>
      <c r="AR80" s="25"/>
      <c r="AS80" s="26"/>
      <c r="AT80" s="51"/>
      <c r="AU80" s="51"/>
      <c r="AV80" s="51"/>
      <c r="AW80" s="51"/>
      <c r="AX80" s="51"/>
      <c r="AY80" s="51"/>
      <c r="AZ80" s="51"/>
      <c r="BA80" s="51"/>
      <c r="BB80" s="51"/>
      <c r="BC80" s="51"/>
      <c r="BD80" s="52"/>
    </row>
    <row r="81" spans="1:56" ht="14.4" customHeight="1">
      <c r="A81" s="37" t="str">
        <f>IF(B81="","",COUNTA($B$8:B81))</f>
        <v/>
      </c>
      <c r="B81" s="26"/>
      <c r="C81" s="34"/>
      <c r="D81" s="34"/>
      <c r="E81" s="34"/>
      <c r="F81" s="34"/>
      <c r="G81" s="34"/>
      <c r="H81" s="34"/>
      <c r="I81" s="19"/>
      <c r="J81" s="27"/>
      <c r="K81" s="27"/>
      <c r="L81" s="27"/>
      <c r="M81" s="27"/>
      <c r="N81" s="27"/>
      <c r="O81" s="27"/>
      <c r="P81" s="27"/>
      <c r="Q81" s="27"/>
      <c r="R81" s="26"/>
      <c r="S81" s="34"/>
      <c r="T81" s="34"/>
      <c r="U81" s="34"/>
      <c r="V81" s="34"/>
      <c r="W81" s="34"/>
      <c r="X81" s="34"/>
      <c r="Y81" s="589"/>
      <c r="Z81" s="590"/>
      <c r="AA81" s="591"/>
      <c r="AB81" s="592"/>
      <c r="AC81" s="593"/>
      <c r="AD81" s="38"/>
      <c r="AE81" s="25"/>
      <c r="AF81" s="25"/>
      <c r="AG81" s="25"/>
      <c r="AH81" s="25"/>
      <c r="AI81" s="25"/>
      <c r="AJ81" s="25"/>
      <c r="AK81" s="25"/>
      <c r="AL81" s="25"/>
      <c r="AM81" s="25"/>
      <c r="AN81" s="25"/>
      <c r="AO81" s="25"/>
      <c r="AP81" s="25"/>
      <c r="AQ81" s="25"/>
      <c r="AR81" s="25"/>
      <c r="AS81" s="26"/>
      <c r="AT81" s="51"/>
      <c r="AU81" s="51"/>
      <c r="AV81" s="51"/>
      <c r="AW81" s="51"/>
      <c r="AX81" s="51"/>
      <c r="AY81" s="51"/>
      <c r="AZ81" s="51"/>
      <c r="BA81" s="51"/>
      <c r="BB81" s="51"/>
      <c r="BC81" s="51"/>
      <c r="BD81" s="52"/>
    </row>
    <row r="82" spans="1:56" ht="14.4" customHeight="1">
      <c r="A82" s="37" t="str">
        <f>IF(B82="","",COUNTA($B$8:B82))</f>
        <v/>
      </c>
      <c r="B82" s="26"/>
      <c r="C82" s="34"/>
      <c r="D82" s="34"/>
      <c r="E82" s="34"/>
      <c r="F82" s="34"/>
      <c r="G82" s="34"/>
      <c r="H82" s="34"/>
      <c r="I82" s="19"/>
      <c r="J82" s="27"/>
      <c r="K82" s="27"/>
      <c r="L82" s="27"/>
      <c r="M82" s="27"/>
      <c r="N82" s="27"/>
      <c r="O82" s="27"/>
      <c r="P82" s="27"/>
      <c r="Q82" s="27"/>
      <c r="R82" s="26"/>
      <c r="S82" s="34"/>
      <c r="T82" s="34"/>
      <c r="U82" s="34"/>
      <c r="V82" s="34"/>
      <c r="W82" s="34"/>
      <c r="X82" s="34"/>
      <c r="Y82" s="589"/>
      <c r="Z82" s="590"/>
      <c r="AA82" s="591"/>
      <c r="AB82" s="592"/>
      <c r="AC82" s="593"/>
      <c r="AD82" s="38"/>
      <c r="AE82" s="25"/>
      <c r="AF82" s="25"/>
      <c r="AG82" s="25"/>
      <c r="AH82" s="25"/>
      <c r="AI82" s="25"/>
      <c r="AJ82" s="25"/>
      <c r="AK82" s="25"/>
      <c r="AL82" s="25"/>
      <c r="AM82" s="25"/>
      <c r="AN82" s="25"/>
      <c r="AO82" s="25"/>
      <c r="AP82" s="25"/>
      <c r="AQ82" s="25"/>
      <c r="AR82" s="25"/>
      <c r="AS82" s="26"/>
      <c r="AT82" s="51"/>
      <c r="AU82" s="51"/>
      <c r="AV82" s="51"/>
      <c r="AW82" s="51"/>
      <c r="AX82" s="51"/>
      <c r="AY82" s="51"/>
      <c r="AZ82" s="51"/>
      <c r="BA82" s="51"/>
      <c r="BB82" s="51"/>
      <c r="BC82" s="51"/>
      <c r="BD82" s="52"/>
    </row>
    <row r="83" spans="1:56" ht="14.4" customHeight="1">
      <c r="A83" s="37" t="str">
        <f>IF(B83="","",COUNTA($B$8:B83))</f>
        <v/>
      </c>
      <c r="B83" s="26"/>
      <c r="C83" s="34"/>
      <c r="D83" s="34"/>
      <c r="E83" s="34"/>
      <c r="F83" s="34"/>
      <c r="G83" s="34"/>
      <c r="H83" s="34"/>
      <c r="I83" s="19"/>
      <c r="J83" s="27"/>
      <c r="K83" s="27"/>
      <c r="L83" s="27"/>
      <c r="M83" s="27"/>
      <c r="N83" s="27"/>
      <c r="O83" s="27"/>
      <c r="P83" s="27"/>
      <c r="Q83" s="27"/>
      <c r="R83" s="26"/>
      <c r="S83" s="34"/>
      <c r="T83" s="34"/>
      <c r="U83" s="34"/>
      <c r="V83" s="34"/>
      <c r="W83" s="34"/>
      <c r="X83" s="34"/>
      <c r="Y83" s="589"/>
      <c r="Z83" s="590"/>
      <c r="AA83" s="591"/>
      <c r="AB83" s="592"/>
      <c r="AC83" s="593"/>
      <c r="AD83" s="38"/>
      <c r="AE83" s="25"/>
      <c r="AF83" s="25"/>
      <c r="AG83" s="25"/>
      <c r="AH83" s="25"/>
      <c r="AI83" s="25"/>
      <c r="AJ83" s="25"/>
      <c r="AK83" s="25"/>
      <c r="AL83" s="25"/>
      <c r="AM83" s="25"/>
      <c r="AN83" s="25"/>
      <c r="AO83" s="25"/>
      <c r="AP83" s="25"/>
      <c r="AQ83" s="25"/>
      <c r="AR83" s="25"/>
      <c r="AS83" s="26"/>
      <c r="AT83" s="51"/>
      <c r="AU83" s="51"/>
      <c r="AV83" s="51"/>
      <c r="AW83" s="51"/>
      <c r="AX83" s="51"/>
      <c r="AY83" s="51"/>
      <c r="AZ83" s="51"/>
      <c r="BA83" s="51"/>
      <c r="BB83" s="51"/>
      <c r="BC83" s="51"/>
      <c r="BD83" s="52"/>
    </row>
    <row r="84" spans="1:56" ht="14.4" customHeight="1">
      <c r="A84" s="37" t="str">
        <f>IF(B84="","",COUNTA($B$8:B84))</f>
        <v/>
      </c>
      <c r="B84" s="26"/>
      <c r="C84" s="34"/>
      <c r="D84" s="34"/>
      <c r="E84" s="34"/>
      <c r="F84" s="34"/>
      <c r="G84" s="34"/>
      <c r="H84" s="34"/>
      <c r="I84" s="19"/>
      <c r="J84" s="27"/>
      <c r="K84" s="27"/>
      <c r="L84" s="27"/>
      <c r="M84" s="27"/>
      <c r="N84" s="27"/>
      <c r="O84" s="27"/>
      <c r="P84" s="27"/>
      <c r="Q84" s="27"/>
      <c r="R84" s="26"/>
      <c r="S84" s="34"/>
      <c r="T84" s="34"/>
      <c r="U84" s="34"/>
      <c r="V84" s="34"/>
      <c r="W84" s="34"/>
      <c r="X84" s="34"/>
      <c r="Y84" s="589"/>
      <c r="Z84" s="590"/>
      <c r="AA84" s="591"/>
      <c r="AB84" s="592"/>
      <c r="AC84" s="593"/>
      <c r="AD84" s="38"/>
      <c r="AE84" s="25"/>
      <c r="AF84" s="25"/>
      <c r="AG84" s="25"/>
      <c r="AH84" s="25"/>
      <c r="AI84" s="25"/>
      <c r="AJ84" s="25"/>
      <c r="AK84" s="25"/>
      <c r="AL84" s="25"/>
      <c r="AM84" s="25"/>
      <c r="AN84" s="25"/>
      <c r="AO84" s="25"/>
      <c r="AP84" s="25"/>
      <c r="AQ84" s="25"/>
      <c r="AR84" s="25"/>
      <c r="AS84" s="26"/>
      <c r="AT84" s="51"/>
      <c r="AU84" s="51"/>
      <c r="AV84" s="51"/>
      <c r="AW84" s="51"/>
      <c r="AX84" s="51"/>
      <c r="AY84" s="51"/>
      <c r="AZ84" s="51"/>
      <c r="BA84" s="51"/>
      <c r="BB84" s="51"/>
      <c r="BC84" s="51"/>
      <c r="BD84" s="52"/>
    </row>
    <row r="85" spans="1:56" ht="14.4" customHeight="1">
      <c r="A85" s="37" t="str">
        <f>IF(B85="","",COUNTA($B$8:B85))</f>
        <v/>
      </c>
      <c r="B85" s="26"/>
      <c r="C85" s="34"/>
      <c r="D85" s="34"/>
      <c r="E85" s="34"/>
      <c r="F85" s="34"/>
      <c r="G85" s="34"/>
      <c r="H85" s="34"/>
      <c r="I85" s="19"/>
      <c r="J85" s="27"/>
      <c r="K85" s="27"/>
      <c r="L85" s="27"/>
      <c r="M85" s="27"/>
      <c r="N85" s="27"/>
      <c r="O85" s="27"/>
      <c r="P85" s="27"/>
      <c r="Q85" s="27"/>
      <c r="R85" s="26"/>
      <c r="S85" s="34"/>
      <c r="T85" s="34"/>
      <c r="U85" s="34"/>
      <c r="V85" s="34"/>
      <c r="W85" s="34"/>
      <c r="X85" s="34"/>
      <c r="Y85" s="589"/>
      <c r="Z85" s="590"/>
      <c r="AA85" s="591"/>
      <c r="AB85" s="592"/>
      <c r="AC85" s="593"/>
      <c r="AD85" s="38"/>
      <c r="AE85" s="25"/>
      <c r="AF85" s="25"/>
      <c r="AG85" s="25"/>
      <c r="AH85" s="25"/>
      <c r="AI85" s="25"/>
      <c r="AJ85" s="25"/>
      <c r="AK85" s="25"/>
      <c r="AL85" s="25"/>
      <c r="AM85" s="25"/>
      <c r="AN85" s="25"/>
      <c r="AO85" s="25"/>
      <c r="AP85" s="25"/>
      <c r="AQ85" s="25"/>
      <c r="AR85" s="25"/>
      <c r="AS85" s="26"/>
      <c r="AT85" s="51"/>
      <c r="AU85" s="51"/>
      <c r="AV85" s="51"/>
      <c r="AW85" s="51"/>
      <c r="AX85" s="51"/>
      <c r="AY85" s="51"/>
      <c r="AZ85" s="51"/>
      <c r="BA85" s="51"/>
      <c r="BB85" s="51"/>
      <c r="BC85" s="51"/>
      <c r="BD85" s="52"/>
    </row>
  </sheetData>
  <mergeCells count="163">
    <mergeCell ref="AA23:AC23"/>
    <mergeCell ref="AA24:AC24"/>
    <mergeCell ref="AG6:AG7"/>
    <mergeCell ref="AH6:AH7"/>
    <mergeCell ref="AI6:AR6"/>
    <mergeCell ref="AS6:BD7"/>
    <mergeCell ref="AA8:AC8"/>
    <mergeCell ref="AZ4:BD4"/>
    <mergeCell ref="Y11:Z11"/>
    <mergeCell ref="AA11:AC11"/>
    <mergeCell ref="Y12:Z12"/>
    <mergeCell ref="AA12:AC12"/>
    <mergeCell ref="Y9:Z9"/>
    <mergeCell ref="AA9:AC9"/>
    <mergeCell ref="Y10:Z10"/>
    <mergeCell ref="AA10:AC10"/>
    <mergeCell ref="Y17:Z17"/>
    <mergeCell ref="AA17:AC17"/>
    <mergeCell ref="Y18:Z18"/>
    <mergeCell ref="AA18:AC18"/>
    <mergeCell ref="Y19:Z19"/>
    <mergeCell ref="AA19:AC19"/>
    <mergeCell ref="Y14:Z14"/>
    <mergeCell ref="AA14:AC14"/>
    <mergeCell ref="A6:A7"/>
    <mergeCell ref="B6:H7"/>
    <mergeCell ref="I6:Q7"/>
    <mergeCell ref="R6:X7"/>
    <mergeCell ref="Y6:Z7"/>
    <mergeCell ref="AA6:AC7"/>
    <mergeCell ref="AD6:AD7"/>
    <mergeCell ref="AE6:AE7"/>
    <mergeCell ref="AF6:AF7"/>
    <mergeCell ref="A1:H4"/>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AU4:AY4"/>
    <mergeCell ref="Y15:Z15"/>
    <mergeCell ref="AA15:AC15"/>
    <mergeCell ref="Y16:Z16"/>
    <mergeCell ref="AA16:AC16"/>
    <mergeCell ref="Y13:Z13"/>
    <mergeCell ref="AA13:AC13"/>
    <mergeCell ref="Y40:Z40"/>
    <mergeCell ref="AA40:AC40"/>
    <mergeCell ref="Y20:Z20"/>
    <mergeCell ref="AA20:AC20"/>
    <mergeCell ref="Y32:Z32"/>
    <mergeCell ref="AA32:AC32"/>
    <mergeCell ref="Y33:Z33"/>
    <mergeCell ref="AA33:AC33"/>
    <mergeCell ref="Y26:Z26"/>
    <mergeCell ref="AA26:AC26"/>
    <mergeCell ref="Y27:Z27"/>
    <mergeCell ref="AA27:AC27"/>
    <mergeCell ref="AA22:AC22"/>
    <mergeCell ref="AA25:AC25"/>
    <mergeCell ref="Y28:Z28"/>
    <mergeCell ref="AA28:AC28"/>
    <mergeCell ref="AA29:AC29"/>
    <mergeCell ref="Y30:Z30"/>
    <mergeCell ref="AA30:AC30"/>
    <mergeCell ref="AA31:AC31"/>
    <mergeCell ref="Y37:Z37"/>
    <mergeCell ref="AA37:AC37"/>
    <mergeCell ref="Y38:Z38"/>
    <mergeCell ref="AA38:AC38"/>
    <mergeCell ref="Y39:Z39"/>
    <mergeCell ref="AA39:AC39"/>
    <mergeCell ref="Y34:Z34"/>
    <mergeCell ref="AA34:AC34"/>
    <mergeCell ref="Y35:Z35"/>
    <mergeCell ref="AA35:AC35"/>
    <mergeCell ref="Y36:Z36"/>
    <mergeCell ref="AA36:AC36"/>
    <mergeCell ref="Y52:Z52"/>
    <mergeCell ref="AA52:AC52"/>
    <mergeCell ref="Y53:Z53"/>
    <mergeCell ref="AA53:AC53"/>
    <mergeCell ref="Y62:Z62"/>
    <mergeCell ref="AA62:AC62"/>
    <mergeCell ref="Y49:Z49"/>
    <mergeCell ref="AA49:AC49"/>
    <mergeCell ref="Y50:Z50"/>
    <mergeCell ref="AA50:AC50"/>
    <mergeCell ref="Y51:Z51"/>
    <mergeCell ref="AA51:AC51"/>
    <mergeCell ref="Y21:Z21"/>
    <mergeCell ref="AA21:AC21"/>
    <mergeCell ref="Y63:Z63"/>
    <mergeCell ref="AA63:AC63"/>
    <mergeCell ref="Y64:Z64"/>
    <mergeCell ref="AA64:AC64"/>
    <mergeCell ref="Y65:Z65"/>
    <mergeCell ref="AA65:AC65"/>
    <mergeCell ref="Y66:Z66"/>
    <mergeCell ref="AA66:AC66"/>
    <mergeCell ref="AA46:AC46"/>
    <mergeCell ref="AA47:AC47"/>
    <mergeCell ref="Y48:Z48"/>
    <mergeCell ref="AA48:AC48"/>
    <mergeCell ref="Y45:Z45"/>
    <mergeCell ref="AA45:AC45"/>
    <mergeCell ref="Y41:Z41"/>
    <mergeCell ref="AA41:AC41"/>
    <mergeCell ref="Y42:Z42"/>
    <mergeCell ref="AA42:AC42"/>
    <mergeCell ref="Y43:Z43"/>
    <mergeCell ref="AA43:AC43"/>
    <mergeCell ref="Y44:Z44"/>
    <mergeCell ref="AA44:AC44"/>
    <mergeCell ref="Y67:Z67"/>
    <mergeCell ref="AA67:AC67"/>
    <mergeCell ref="Y68:Z68"/>
    <mergeCell ref="AA68:AC68"/>
    <mergeCell ref="Y69:Z69"/>
    <mergeCell ref="AA69:AC69"/>
    <mergeCell ref="Y70:Z70"/>
    <mergeCell ref="AA70:AC70"/>
    <mergeCell ref="Y71:Z71"/>
    <mergeCell ref="AA71:AC71"/>
    <mergeCell ref="Y72:Z72"/>
    <mergeCell ref="AA72:AC72"/>
    <mergeCell ref="Y73:Z73"/>
    <mergeCell ref="AA73:AC73"/>
    <mergeCell ref="Y74:Z74"/>
    <mergeCell ref="AA74:AC74"/>
    <mergeCell ref="Y75:Z75"/>
    <mergeCell ref="AA75:AC75"/>
    <mergeCell ref="Y76:Z76"/>
    <mergeCell ref="AA76:AC76"/>
    <mergeCell ref="Y82:Z82"/>
    <mergeCell ref="AA82:AC82"/>
    <mergeCell ref="Y83:Z83"/>
    <mergeCell ref="AA83:AC83"/>
    <mergeCell ref="Y84:Z84"/>
    <mergeCell ref="AA84:AC84"/>
    <mergeCell ref="Y85:Z85"/>
    <mergeCell ref="AA85:AC85"/>
    <mergeCell ref="Y77:Z77"/>
    <mergeCell ref="AA77:AC77"/>
    <mergeCell ref="Y78:Z78"/>
    <mergeCell ref="AA78:AC78"/>
    <mergeCell ref="Y79:Z79"/>
    <mergeCell ref="AA79:AC79"/>
    <mergeCell ref="Y80:Z80"/>
    <mergeCell ref="AA80:AC80"/>
    <mergeCell ref="Y81:Z81"/>
    <mergeCell ref="AA81:AC81"/>
  </mergeCells>
  <phoneticPr fontId="12"/>
  <dataValidations count="3">
    <dataValidation type="list" allowBlank="1" showInputMessage="1" showErrorMessage="1" sqref="AA11:AC11 AA12 AA21:AA85 AA8:AA10 AA13:AC20">
      <formula1>"datetime,int,numeric,varchar,nvarchar"</formula1>
    </dataValidation>
    <dataValidation imeMode="hiragana" allowBlank="1" showInputMessage="1" showErrorMessage="1" sqref="JG65537:JR65539 TC65537:TN65539 ACY65537:ADJ65539 AMU65537:ANF65539 AWQ65537:AXB65539 BGM65537:BGX65539 BQI65537:BQT65539 CAE65537:CAP65539 CKA65537:CKL65539 CTW65537:CUH65539 DDS65537:DED65539 DNO65537:DNZ65539 DXK65537:DXV65539 EHG65537:EHR65539 ERC65537:ERN65539 FAY65537:FBJ65539 FKU65537:FLF65539 FUQ65537:FVB65539 GEM65537:GEX65539 GOI65537:GOT65539 GYE65537:GYP65539 HIA65537:HIL65539 HRW65537:HSH65539 IBS65537:ICD65539 ILO65537:ILZ65539 IVK65537:IVV65539 JFG65537:JFR65539 JPC65537:JPN65539 JYY65537:JZJ65539 KIU65537:KJF65539 KSQ65537:KTB65539 LCM65537:LCX65539 LMI65537:LMT65539 LWE65537:LWP65539 MGA65537:MGL65539 MPW65537:MQH65539 MZS65537:NAD65539 NJO65537:NJZ65539 NTK65537:NTV65539 ODG65537:ODR65539 ONC65537:ONN65539 OWY65537:OXJ65539 PGU65537:PHF65539 PQQ65537:PRB65539 QAM65537:QAX65539 QKI65537:QKT65539 QUE65537:QUP65539 REA65537:REL65539 RNW65537:ROH65539 RXS65537:RYD65539 SHO65537:SHZ65539 SRK65537:SRV65539 TBG65537:TBR65539 TLC65537:TLN65539 TUY65537:TVJ65539 UEU65537:UFF65539 UOQ65537:UPB65539 UYM65537:UYX65539 VII65537:VIT65539 VSE65537:VSP65539 WCA65537:WCL65539 WLW65537:WMH65539 WVS65537:WWD65539 JG131073:JR131075 TC131073:TN131075 ACY131073:ADJ131075 AMU131073:ANF131075 AWQ131073:AXB131075 BGM131073:BGX131075 BQI131073:BQT131075 CAE131073:CAP131075 CKA131073:CKL131075 CTW131073:CUH131075 DDS131073:DED131075 DNO131073:DNZ131075 DXK131073:DXV131075 EHG131073:EHR131075 ERC131073:ERN131075 FAY131073:FBJ131075 FKU131073:FLF131075 FUQ131073:FVB131075 GEM131073:GEX131075 GOI131073:GOT131075 GYE131073:GYP131075 HIA131073:HIL131075 HRW131073:HSH131075 IBS131073:ICD131075 ILO131073:ILZ131075 IVK131073:IVV131075 JFG131073:JFR131075 JPC131073:JPN131075 JYY131073:JZJ131075 KIU131073:KJF131075 KSQ131073:KTB131075 LCM131073:LCX131075 LMI131073:LMT131075 LWE131073:LWP131075 MGA131073:MGL131075 MPW131073:MQH131075 MZS131073:NAD131075 NJO131073:NJZ131075 NTK131073:NTV131075 ODG131073:ODR131075 ONC131073:ONN131075 OWY131073:OXJ131075 PGU131073:PHF131075 PQQ131073:PRB131075 QAM131073:QAX131075 QKI131073:QKT131075 QUE131073:QUP131075 REA131073:REL131075 RNW131073:ROH131075 RXS131073:RYD131075 SHO131073:SHZ131075 SRK131073:SRV131075 TBG131073:TBR131075 TLC131073:TLN131075 TUY131073:TVJ131075 UEU131073:UFF131075 UOQ131073:UPB131075 UYM131073:UYX131075 VII131073:VIT131075 VSE131073:VSP131075 WCA131073:WCL131075 WLW131073:WMH131075 WVS131073:WWD131075 JG196609:JR196611 TC196609:TN196611 ACY196609:ADJ196611 AMU196609:ANF196611 AWQ196609:AXB196611 BGM196609:BGX196611 BQI196609:BQT196611 CAE196609:CAP196611 CKA196609:CKL196611 CTW196609:CUH196611 DDS196609:DED196611 DNO196609:DNZ196611 DXK196609:DXV196611 EHG196609:EHR196611 ERC196609:ERN196611 FAY196609:FBJ196611 FKU196609:FLF196611 FUQ196609:FVB196611 GEM196609:GEX196611 GOI196609:GOT196611 GYE196609:GYP196611 HIA196609:HIL196611 HRW196609:HSH196611 IBS196609:ICD196611 ILO196609:ILZ196611 IVK196609:IVV196611 JFG196609:JFR196611 JPC196609:JPN196611 JYY196609:JZJ196611 KIU196609:KJF196611 KSQ196609:KTB196611 LCM196609:LCX196611 LMI196609:LMT196611 LWE196609:LWP196611 MGA196609:MGL196611 MPW196609:MQH196611 MZS196609:NAD196611 NJO196609:NJZ196611 NTK196609:NTV196611 ODG196609:ODR196611 ONC196609:ONN196611 OWY196609:OXJ196611 PGU196609:PHF196611 PQQ196609:PRB196611 QAM196609:QAX196611 QKI196609:QKT196611 QUE196609:QUP196611 REA196609:REL196611 RNW196609:ROH196611 RXS196609:RYD196611 SHO196609:SHZ196611 SRK196609:SRV196611 TBG196609:TBR196611 TLC196609:TLN196611 TUY196609:TVJ196611 UEU196609:UFF196611 UOQ196609:UPB196611 UYM196609:UYX196611 VII196609:VIT196611 VSE196609:VSP196611 WCA196609:WCL196611 WLW196609:WMH196611 WVS196609:WWD196611 JG262145:JR262147 TC262145:TN262147 ACY262145:ADJ262147 AMU262145:ANF262147 AWQ262145:AXB262147 BGM262145:BGX262147 BQI262145:BQT262147 CAE262145:CAP262147 CKA262145:CKL262147 CTW262145:CUH262147 DDS262145:DED262147 DNO262145:DNZ262147 DXK262145:DXV262147 EHG262145:EHR262147 ERC262145:ERN262147 FAY262145:FBJ262147 FKU262145:FLF262147 FUQ262145:FVB262147 GEM262145:GEX262147 GOI262145:GOT262147 GYE262145:GYP262147 HIA262145:HIL262147 HRW262145:HSH262147 IBS262145:ICD262147 ILO262145:ILZ262147 IVK262145:IVV262147 JFG262145:JFR262147 JPC262145:JPN262147 JYY262145:JZJ262147 KIU262145:KJF262147 KSQ262145:KTB262147 LCM262145:LCX262147 LMI262145:LMT262147 LWE262145:LWP262147 MGA262145:MGL262147 MPW262145:MQH262147 MZS262145:NAD262147 NJO262145:NJZ262147 NTK262145:NTV262147 ODG262145:ODR262147 ONC262145:ONN262147 OWY262145:OXJ262147 PGU262145:PHF262147 PQQ262145:PRB262147 QAM262145:QAX262147 QKI262145:QKT262147 QUE262145:QUP262147 REA262145:REL262147 RNW262145:ROH262147 RXS262145:RYD262147 SHO262145:SHZ262147 SRK262145:SRV262147 TBG262145:TBR262147 TLC262145:TLN262147 TUY262145:TVJ262147 UEU262145:UFF262147 UOQ262145:UPB262147 UYM262145:UYX262147 VII262145:VIT262147 VSE262145:VSP262147 WCA262145:WCL262147 WLW262145:WMH262147 WVS262145:WWD262147 JG327681:JR327683 TC327681:TN327683 ACY327681:ADJ327683 AMU327681:ANF327683 AWQ327681:AXB327683 BGM327681:BGX327683 BQI327681:BQT327683 CAE327681:CAP327683 CKA327681:CKL327683 CTW327681:CUH327683 DDS327681:DED327683 DNO327681:DNZ327683 DXK327681:DXV327683 EHG327681:EHR327683 ERC327681:ERN327683 FAY327681:FBJ327683 FKU327681:FLF327683 FUQ327681:FVB327683 GEM327681:GEX327683 GOI327681:GOT327683 GYE327681:GYP327683 HIA327681:HIL327683 HRW327681:HSH327683 IBS327681:ICD327683 ILO327681:ILZ327683 IVK327681:IVV327683 JFG327681:JFR327683 JPC327681:JPN327683 JYY327681:JZJ327683 KIU327681:KJF327683 KSQ327681:KTB327683 LCM327681:LCX327683 LMI327681:LMT327683 LWE327681:LWP327683 MGA327681:MGL327683 MPW327681:MQH327683 MZS327681:NAD327683 NJO327681:NJZ327683 NTK327681:NTV327683 ODG327681:ODR327683 ONC327681:ONN327683 OWY327681:OXJ327683 PGU327681:PHF327683 PQQ327681:PRB327683 QAM327681:QAX327683 QKI327681:QKT327683 QUE327681:QUP327683 REA327681:REL327683 RNW327681:ROH327683 RXS327681:RYD327683 SHO327681:SHZ327683 SRK327681:SRV327683 TBG327681:TBR327683 TLC327681:TLN327683 TUY327681:TVJ327683 UEU327681:UFF327683 UOQ327681:UPB327683 UYM327681:UYX327683 VII327681:VIT327683 VSE327681:VSP327683 WCA327681:WCL327683 WLW327681:WMH327683 WVS327681:WWD327683 JG393217:JR393219 TC393217:TN393219 ACY393217:ADJ393219 AMU393217:ANF393219 AWQ393217:AXB393219 BGM393217:BGX393219 BQI393217:BQT393219 CAE393217:CAP393219 CKA393217:CKL393219 CTW393217:CUH393219 DDS393217:DED393219 DNO393217:DNZ393219 DXK393217:DXV393219 EHG393217:EHR393219 ERC393217:ERN393219 FAY393217:FBJ393219 FKU393217:FLF393219 FUQ393217:FVB393219 GEM393217:GEX393219 GOI393217:GOT393219 GYE393217:GYP393219 HIA393217:HIL393219 HRW393217:HSH393219 IBS393217:ICD393219 ILO393217:ILZ393219 IVK393217:IVV393219 JFG393217:JFR393219 JPC393217:JPN393219 JYY393217:JZJ393219 KIU393217:KJF393219 KSQ393217:KTB393219 LCM393217:LCX393219 LMI393217:LMT393219 LWE393217:LWP393219 MGA393217:MGL393219 MPW393217:MQH393219 MZS393217:NAD393219 NJO393217:NJZ393219 NTK393217:NTV393219 ODG393217:ODR393219 ONC393217:ONN393219 OWY393217:OXJ393219 PGU393217:PHF393219 PQQ393217:PRB393219 QAM393217:QAX393219 QKI393217:QKT393219 QUE393217:QUP393219 REA393217:REL393219 RNW393217:ROH393219 RXS393217:RYD393219 SHO393217:SHZ393219 SRK393217:SRV393219 TBG393217:TBR393219 TLC393217:TLN393219 TUY393217:TVJ393219 UEU393217:UFF393219 UOQ393217:UPB393219 UYM393217:UYX393219 VII393217:VIT393219 VSE393217:VSP393219 WCA393217:WCL393219 WLW393217:WMH393219 WVS393217:WWD393219 JG458753:JR458755 TC458753:TN458755 ACY458753:ADJ458755 AMU458753:ANF458755 AWQ458753:AXB458755 BGM458753:BGX458755 BQI458753:BQT458755 CAE458753:CAP458755 CKA458753:CKL458755 CTW458753:CUH458755 DDS458753:DED458755 DNO458753:DNZ458755 DXK458753:DXV458755 EHG458753:EHR458755 ERC458753:ERN458755 FAY458753:FBJ458755 FKU458753:FLF458755 FUQ458753:FVB458755 GEM458753:GEX458755 GOI458753:GOT458755 GYE458753:GYP458755 HIA458753:HIL458755 HRW458753:HSH458755 IBS458753:ICD458755 ILO458753:ILZ458755 IVK458753:IVV458755 JFG458753:JFR458755 JPC458753:JPN458755 JYY458753:JZJ458755 KIU458753:KJF458755 KSQ458753:KTB458755 LCM458753:LCX458755 LMI458753:LMT458755 LWE458753:LWP458755 MGA458753:MGL458755 MPW458753:MQH458755 MZS458753:NAD458755 NJO458753:NJZ458755 NTK458753:NTV458755 ODG458753:ODR458755 ONC458753:ONN458755 OWY458753:OXJ458755 PGU458753:PHF458755 PQQ458753:PRB458755 QAM458753:QAX458755 QKI458753:QKT458755 QUE458753:QUP458755 REA458753:REL458755 RNW458753:ROH458755 RXS458753:RYD458755 SHO458753:SHZ458755 SRK458753:SRV458755 TBG458753:TBR458755 TLC458753:TLN458755 TUY458753:TVJ458755 UEU458753:UFF458755 UOQ458753:UPB458755 UYM458753:UYX458755 VII458753:VIT458755 VSE458753:VSP458755 WCA458753:WCL458755 WLW458753:WMH458755 WVS458753:WWD458755 JG524289:JR524291 TC524289:TN524291 ACY524289:ADJ524291 AMU524289:ANF524291 AWQ524289:AXB524291 BGM524289:BGX524291 BQI524289:BQT524291 CAE524289:CAP524291 CKA524289:CKL524291 CTW524289:CUH524291 DDS524289:DED524291 DNO524289:DNZ524291 DXK524289:DXV524291 EHG524289:EHR524291 ERC524289:ERN524291 FAY524289:FBJ524291 FKU524289:FLF524291 FUQ524289:FVB524291 GEM524289:GEX524291 GOI524289:GOT524291 GYE524289:GYP524291 HIA524289:HIL524291 HRW524289:HSH524291 IBS524289:ICD524291 ILO524289:ILZ524291 IVK524289:IVV524291 JFG524289:JFR524291 JPC524289:JPN524291 JYY524289:JZJ524291 KIU524289:KJF524291 KSQ524289:KTB524291 LCM524289:LCX524291 LMI524289:LMT524291 LWE524289:LWP524291 MGA524289:MGL524291 MPW524289:MQH524291 MZS524289:NAD524291 NJO524289:NJZ524291 NTK524289:NTV524291 ODG524289:ODR524291 ONC524289:ONN524291 OWY524289:OXJ524291 PGU524289:PHF524291 PQQ524289:PRB524291 QAM524289:QAX524291 QKI524289:QKT524291 QUE524289:QUP524291 REA524289:REL524291 RNW524289:ROH524291 RXS524289:RYD524291 SHO524289:SHZ524291 SRK524289:SRV524291 TBG524289:TBR524291 TLC524289:TLN524291 TUY524289:TVJ524291 UEU524289:UFF524291 UOQ524289:UPB524291 UYM524289:UYX524291 VII524289:VIT524291 VSE524289:VSP524291 WCA524289:WCL524291 WLW524289:WMH524291 WVS524289:WWD524291 JG589825:JR589827 TC589825:TN589827 ACY589825:ADJ589827 AMU589825:ANF589827 AWQ589825:AXB589827 BGM589825:BGX589827 BQI589825:BQT589827 CAE589825:CAP589827 CKA589825:CKL589827 CTW589825:CUH589827 DDS589825:DED589827 DNO589825:DNZ589827 DXK589825:DXV589827 EHG589825:EHR589827 ERC589825:ERN589827 FAY589825:FBJ589827 FKU589825:FLF589827 FUQ589825:FVB589827 GEM589825:GEX589827 GOI589825:GOT589827 GYE589825:GYP589827 HIA589825:HIL589827 HRW589825:HSH589827 IBS589825:ICD589827 ILO589825:ILZ589827 IVK589825:IVV589827 JFG589825:JFR589827 JPC589825:JPN589827 JYY589825:JZJ589827 KIU589825:KJF589827 KSQ589825:KTB589827 LCM589825:LCX589827 LMI589825:LMT589827 LWE589825:LWP589827 MGA589825:MGL589827 MPW589825:MQH589827 MZS589825:NAD589827 NJO589825:NJZ589827 NTK589825:NTV589827 ODG589825:ODR589827 ONC589825:ONN589827 OWY589825:OXJ589827 PGU589825:PHF589827 PQQ589825:PRB589827 QAM589825:QAX589827 QKI589825:QKT589827 QUE589825:QUP589827 REA589825:REL589827 RNW589825:ROH589827 RXS589825:RYD589827 SHO589825:SHZ589827 SRK589825:SRV589827 TBG589825:TBR589827 TLC589825:TLN589827 TUY589825:TVJ589827 UEU589825:UFF589827 UOQ589825:UPB589827 UYM589825:UYX589827 VII589825:VIT589827 VSE589825:VSP589827 WCA589825:WCL589827 WLW589825:WMH589827 WVS589825:WWD589827 JG655361:JR655363 TC655361:TN655363 ACY655361:ADJ655363 AMU655361:ANF655363 AWQ655361:AXB655363 BGM655361:BGX655363 BQI655361:BQT655363 CAE655361:CAP655363 CKA655361:CKL655363 CTW655361:CUH655363 DDS655361:DED655363 DNO655361:DNZ655363 DXK655361:DXV655363 EHG655361:EHR655363 ERC655361:ERN655363 FAY655361:FBJ655363 FKU655361:FLF655363 FUQ655361:FVB655363 GEM655361:GEX655363 GOI655361:GOT655363 GYE655361:GYP655363 HIA655361:HIL655363 HRW655361:HSH655363 IBS655361:ICD655363 ILO655361:ILZ655363 IVK655361:IVV655363 JFG655361:JFR655363 JPC655361:JPN655363 JYY655361:JZJ655363 KIU655361:KJF655363 KSQ655361:KTB655363 LCM655361:LCX655363 LMI655361:LMT655363 LWE655361:LWP655363 MGA655361:MGL655363 MPW655361:MQH655363 MZS655361:NAD655363 NJO655361:NJZ655363 NTK655361:NTV655363 ODG655361:ODR655363 ONC655361:ONN655363 OWY655361:OXJ655363 PGU655361:PHF655363 PQQ655361:PRB655363 QAM655361:QAX655363 QKI655361:QKT655363 QUE655361:QUP655363 REA655361:REL655363 RNW655361:ROH655363 RXS655361:RYD655363 SHO655361:SHZ655363 SRK655361:SRV655363 TBG655361:TBR655363 TLC655361:TLN655363 TUY655361:TVJ655363 UEU655361:UFF655363 UOQ655361:UPB655363 UYM655361:UYX655363 VII655361:VIT655363 VSE655361:VSP655363 WCA655361:WCL655363 WLW655361:WMH655363 WVS655361:WWD655363 JG720897:JR720899 TC720897:TN720899 ACY720897:ADJ720899 AMU720897:ANF720899 AWQ720897:AXB720899 BGM720897:BGX720899 BQI720897:BQT720899 CAE720897:CAP720899 CKA720897:CKL720899 CTW720897:CUH720899 DDS720897:DED720899 DNO720897:DNZ720899 DXK720897:DXV720899 EHG720897:EHR720899 ERC720897:ERN720899 FAY720897:FBJ720899 FKU720897:FLF720899 FUQ720897:FVB720899 GEM720897:GEX720899 GOI720897:GOT720899 GYE720897:GYP720899 HIA720897:HIL720899 HRW720897:HSH720899 IBS720897:ICD720899 ILO720897:ILZ720899 IVK720897:IVV720899 JFG720897:JFR720899 JPC720897:JPN720899 JYY720897:JZJ720899 KIU720897:KJF720899 KSQ720897:KTB720899 LCM720897:LCX720899 LMI720897:LMT720899 LWE720897:LWP720899 MGA720897:MGL720899 MPW720897:MQH720899 MZS720897:NAD720899 NJO720897:NJZ720899 NTK720897:NTV720899 ODG720897:ODR720899 ONC720897:ONN720899 OWY720897:OXJ720899 PGU720897:PHF720899 PQQ720897:PRB720899 QAM720897:QAX720899 QKI720897:QKT720899 QUE720897:QUP720899 REA720897:REL720899 RNW720897:ROH720899 RXS720897:RYD720899 SHO720897:SHZ720899 SRK720897:SRV720899 TBG720897:TBR720899 TLC720897:TLN720899 TUY720897:TVJ720899 UEU720897:UFF720899 UOQ720897:UPB720899 UYM720897:UYX720899 VII720897:VIT720899 VSE720897:VSP720899 WCA720897:WCL720899 WLW720897:WMH720899 WVS720897:WWD720899 JG786433:JR786435 TC786433:TN786435 ACY786433:ADJ786435 AMU786433:ANF786435 AWQ786433:AXB786435 BGM786433:BGX786435 BQI786433:BQT786435 CAE786433:CAP786435 CKA786433:CKL786435 CTW786433:CUH786435 DDS786433:DED786435 DNO786433:DNZ786435 DXK786433:DXV786435 EHG786433:EHR786435 ERC786433:ERN786435 FAY786433:FBJ786435 FKU786433:FLF786435 FUQ786433:FVB786435 GEM786433:GEX786435 GOI786433:GOT786435 GYE786433:GYP786435 HIA786433:HIL786435 HRW786433:HSH786435 IBS786433:ICD786435 ILO786433:ILZ786435 IVK786433:IVV786435 JFG786433:JFR786435 JPC786433:JPN786435 JYY786433:JZJ786435 KIU786433:KJF786435 KSQ786433:KTB786435 LCM786433:LCX786435 LMI786433:LMT786435 LWE786433:LWP786435 MGA786433:MGL786435 MPW786433:MQH786435 MZS786433:NAD786435 NJO786433:NJZ786435 NTK786433:NTV786435 ODG786433:ODR786435 ONC786433:ONN786435 OWY786433:OXJ786435 PGU786433:PHF786435 PQQ786433:PRB786435 QAM786433:QAX786435 QKI786433:QKT786435 QUE786433:QUP786435 REA786433:REL786435 RNW786433:ROH786435 RXS786433:RYD786435 SHO786433:SHZ786435 SRK786433:SRV786435 TBG786433:TBR786435 TLC786433:TLN786435 TUY786433:TVJ786435 UEU786433:UFF786435 UOQ786433:UPB786435 UYM786433:UYX786435 VII786433:VIT786435 VSE786433:VSP786435 WCA786433:WCL786435 WLW786433:WMH786435 WVS786433:WWD786435 JG851969:JR851971 TC851969:TN851971 ACY851969:ADJ851971 AMU851969:ANF851971 AWQ851969:AXB851971 BGM851969:BGX851971 BQI851969:BQT851971 CAE851969:CAP851971 CKA851969:CKL851971 CTW851969:CUH851971 DDS851969:DED851971 DNO851969:DNZ851971 DXK851969:DXV851971 EHG851969:EHR851971 ERC851969:ERN851971 FAY851969:FBJ851971 FKU851969:FLF851971 FUQ851969:FVB851971 GEM851969:GEX851971 GOI851969:GOT851971 GYE851969:GYP851971 HIA851969:HIL851971 HRW851969:HSH851971 IBS851969:ICD851971 ILO851969:ILZ851971 IVK851969:IVV851971 JFG851969:JFR851971 JPC851969:JPN851971 JYY851969:JZJ851971 KIU851969:KJF851971 KSQ851969:KTB851971 LCM851969:LCX851971 LMI851969:LMT851971 LWE851969:LWP851971 MGA851969:MGL851971 MPW851969:MQH851971 MZS851969:NAD851971 NJO851969:NJZ851971 NTK851969:NTV851971 ODG851969:ODR851971 ONC851969:ONN851971 OWY851969:OXJ851971 PGU851969:PHF851971 PQQ851969:PRB851971 QAM851969:QAX851971 QKI851969:QKT851971 QUE851969:QUP851971 REA851969:REL851971 RNW851969:ROH851971 RXS851969:RYD851971 SHO851969:SHZ851971 SRK851969:SRV851971 TBG851969:TBR851971 TLC851969:TLN851971 TUY851969:TVJ851971 UEU851969:UFF851971 UOQ851969:UPB851971 UYM851969:UYX851971 VII851969:VIT851971 VSE851969:VSP851971 WCA851969:WCL851971 WLW851969:WMH851971 WVS851969:WWD851971 JG917505:JR917507 TC917505:TN917507 ACY917505:ADJ917507 AMU917505:ANF917507 AWQ917505:AXB917507 BGM917505:BGX917507 BQI917505:BQT917507 CAE917505:CAP917507 CKA917505:CKL917507 CTW917505:CUH917507 DDS917505:DED917507 DNO917505:DNZ917507 DXK917505:DXV917507 EHG917505:EHR917507 ERC917505:ERN917507 FAY917505:FBJ917507 FKU917505:FLF917507 FUQ917505:FVB917507 GEM917505:GEX917507 GOI917505:GOT917507 GYE917505:GYP917507 HIA917505:HIL917507 HRW917505:HSH917507 IBS917505:ICD917507 ILO917505:ILZ917507 IVK917505:IVV917507 JFG917505:JFR917507 JPC917505:JPN917507 JYY917505:JZJ917507 KIU917505:KJF917507 KSQ917505:KTB917507 LCM917505:LCX917507 LMI917505:LMT917507 LWE917505:LWP917507 MGA917505:MGL917507 MPW917505:MQH917507 MZS917505:NAD917507 NJO917505:NJZ917507 NTK917505:NTV917507 ODG917505:ODR917507 ONC917505:ONN917507 OWY917505:OXJ917507 PGU917505:PHF917507 PQQ917505:PRB917507 QAM917505:QAX917507 QKI917505:QKT917507 QUE917505:QUP917507 REA917505:REL917507 RNW917505:ROH917507 RXS917505:RYD917507 SHO917505:SHZ917507 SRK917505:SRV917507 TBG917505:TBR917507 TLC917505:TLN917507 TUY917505:TVJ917507 UEU917505:UFF917507 UOQ917505:UPB917507 UYM917505:UYX917507 VII917505:VIT917507 VSE917505:VSP917507 WCA917505:WCL917507 WLW917505:WMH917507 WVS917505:WWD917507 JG983041:JR983043 TC983041:TN983043 ACY983041:ADJ983043 AMU983041:ANF983043 AWQ983041:AXB983043 BGM983041:BGX983043 BQI983041:BQT983043 CAE983041:CAP983043 CKA983041:CKL983043 CTW983041:CUH983043 DDS983041:DED983043 DNO983041:DNZ983043 DXK983041:DXV983043 EHG983041:EHR983043 ERC983041:ERN983043 FAY983041:FBJ983043 FKU983041:FLF983043 FUQ983041:FVB983043 GEM983041:GEX983043 GOI983041:GOT983043 GYE983041:GYP983043 HIA983041:HIL983043 HRW983041:HSH983043 IBS983041:ICD983043 ILO983041:ILZ983043 IVK983041:IVV983043 JFG983041:JFR983043 JPC983041:JPN983043 JYY983041:JZJ983043 KIU983041:KJF983043 KSQ983041:KTB983043 LCM983041:LCX983043 LMI983041:LMT983043 LWE983041:LWP983043 MGA983041:MGL983043 MPW983041:MQH983043 MZS983041:NAD983043 NJO983041:NJZ983043 NTK983041:NTV983043 ODG983041:ODR983043 ONC983041:ONN983043 OWY983041:OXJ983043 PGU983041:PHF983043 PQQ983041:PRB983043 QAM983041:QAX983043 QKI983041:QKT983043 QUE983041:QUP983043 REA983041:REL983043 RNW983041:ROH983043 RXS983041:RYD983043 SHO983041:SHZ983043 SRK983041:SRV983043 TBG983041:TBR983043 TLC983041:TLN983043 TUY983041:TVJ983043 UEU983041:UFF983043 UOQ983041:UPB983043 UYM983041:UYX983043 VII983041:VIT983043 VSE983041:VSP983043 WCA983041:WCL983043 WLW983041:WMH983043 WVS983041:WWD983043 WVS983046:WWD983048 JG65542:JR65544 TC65542:TN65544 ACY65542:ADJ65544 AMU65542:ANF65544 AWQ65542:AXB65544 BGM65542:BGX65544 BQI65542:BQT65544 CAE65542:CAP65544 CKA65542:CKL65544 CTW65542:CUH65544 DDS65542:DED65544 DNO65542:DNZ65544 DXK65542:DXV65544 EHG65542:EHR65544 ERC65542:ERN65544 FAY65542:FBJ65544 FKU65542:FLF65544 FUQ65542:FVB65544 GEM65542:GEX65544 GOI65542:GOT65544 GYE65542:GYP65544 HIA65542:HIL65544 HRW65542:HSH65544 IBS65542:ICD65544 ILO65542:ILZ65544 IVK65542:IVV65544 JFG65542:JFR65544 JPC65542:JPN65544 JYY65542:JZJ65544 KIU65542:KJF65544 KSQ65542:KTB65544 LCM65542:LCX65544 LMI65542:LMT65544 LWE65542:LWP65544 MGA65542:MGL65544 MPW65542:MQH65544 MZS65542:NAD65544 NJO65542:NJZ65544 NTK65542:NTV65544 ODG65542:ODR65544 ONC65542:ONN65544 OWY65542:OXJ65544 PGU65542:PHF65544 PQQ65542:PRB65544 QAM65542:QAX65544 QKI65542:QKT65544 QUE65542:QUP65544 REA65542:REL65544 RNW65542:ROH65544 RXS65542:RYD65544 SHO65542:SHZ65544 SRK65542:SRV65544 TBG65542:TBR65544 TLC65542:TLN65544 TUY65542:TVJ65544 UEU65542:UFF65544 UOQ65542:UPB65544 UYM65542:UYX65544 VII65542:VIT65544 VSE65542:VSP65544 WCA65542:WCL65544 WLW65542:WMH65544 WVS65542:WWD65544 JG131078:JR131080 TC131078:TN131080 ACY131078:ADJ131080 AMU131078:ANF131080 AWQ131078:AXB131080 BGM131078:BGX131080 BQI131078:BQT131080 CAE131078:CAP131080 CKA131078:CKL131080 CTW131078:CUH131080 DDS131078:DED131080 DNO131078:DNZ131080 DXK131078:DXV131080 EHG131078:EHR131080 ERC131078:ERN131080 FAY131078:FBJ131080 FKU131078:FLF131080 FUQ131078:FVB131080 GEM131078:GEX131080 GOI131078:GOT131080 GYE131078:GYP131080 HIA131078:HIL131080 HRW131078:HSH131080 IBS131078:ICD131080 ILO131078:ILZ131080 IVK131078:IVV131080 JFG131078:JFR131080 JPC131078:JPN131080 JYY131078:JZJ131080 KIU131078:KJF131080 KSQ131078:KTB131080 LCM131078:LCX131080 LMI131078:LMT131080 LWE131078:LWP131080 MGA131078:MGL131080 MPW131078:MQH131080 MZS131078:NAD131080 NJO131078:NJZ131080 NTK131078:NTV131080 ODG131078:ODR131080 ONC131078:ONN131080 OWY131078:OXJ131080 PGU131078:PHF131080 PQQ131078:PRB131080 QAM131078:QAX131080 QKI131078:QKT131080 QUE131078:QUP131080 REA131078:REL131080 RNW131078:ROH131080 RXS131078:RYD131080 SHO131078:SHZ131080 SRK131078:SRV131080 TBG131078:TBR131080 TLC131078:TLN131080 TUY131078:TVJ131080 UEU131078:UFF131080 UOQ131078:UPB131080 UYM131078:UYX131080 VII131078:VIT131080 VSE131078:VSP131080 WCA131078:WCL131080 WLW131078:WMH131080 WVS131078:WWD131080 JG196614:JR196616 TC196614:TN196616 ACY196614:ADJ196616 AMU196614:ANF196616 AWQ196614:AXB196616 BGM196614:BGX196616 BQI196614:BQT196616 CAE196614:CAP196616 CKA196614:CKL196616 CTW196614:CUH196616 DDS196614:DED196616 DNO196614:DNZ196616 DXK196614:DXV196616 EHG196614:EHR196616 ERC196614:ERN196616 FAY196614:FBJ196616 FKU196614:FLF196616 FUQ196614:FVB196616 GEM196614:GEX196616 GOI196614:GOT196616 GYE196614:GYP196616 HIA196614:HIL196616 HRW196614:HSH196616 IBS196614:ICD196616 ILO196614:ILZ196616 IVK196614:IVV196616 JFG196614:JFR196616 JPC196614:JPN196616 JYY196614:JZJ196616 KIU196614:KJF196616 KSQ196614:KTB196616 LCM196614:LCX196616 LMI196614:LMT196616 LWE196614:LWP196616 MGA196614:MGL196616 MPW196614:MQH196616 MZS196614:NAD196616 NJO196614:NJZ196616 NTK196614:NTV196616 ODG196614:ODR196616 ONC196614:ONN196616 OWY196614:OXJ196616 PGU196614:PHF196616 PQQ196614:PRB196616 QAM196614:QAX196616 QKI196614:QKT196616 QUE196614:QUP196616 REA196614:REL196616 RNW196614:ROH196616 RXS196614:RYD196616 SHO196614:SHZ196616 SRK196614:SRV196616 TBG196614:TBR196616 TLC196614:TLN196616 TUY196614:TVJ196616 UEU196614:UFF196616 UOQ196614:UPB196616 UYM196614:UYX196616 VII196614:VIT196616 VSE196614:VSP196616 WCA196614:WCL196616 WLW196614:WMH196616 WVS196614:WWD196616 JG262150:JR262152 TC262150:TN262152 ACY262150:ADJ262152 AMU262150:ANF262152 AWQ262150:AXB262152 BGM262150:BGX262152 BQI262150:BQT262152 CAE262150:CAP262152 CKA262150:CKL262152 CTW262150:CUH262152 DDS262150:DED262152 DNO262150:DNZ262152 DXK262150:DXV262152 EHG262150:EHR262152 ERC262150:ERN262152 FAY262150:FBJ262152 FKU262150:FLF262152 FUQ262150:FVB262152 GEM262150:GEX262152 GOI262150:GOT262152 GYE262150:GYP262152 HIA262150:HIL262152 HRW262150:HSH262152 IBS262150:ICD262152 ILO262150:ILZ262152 IVK262150:IVV262152 JFG262150:JFR262152 JPC262150:JPN262152 JYY262150:JZJ262152 KIU262150:KJF262152 KSQ262150:KTB262152 LCM262150:LCX262152 LMI262150:LMT262152 LWE262150:LWP262152 MGA262150:MGL262152 MPW262150:MQH262152 MZS262150:NAD262152 NJO262150:NJZ262152 NTK262150:NTV262152 ODG262150:ODR262152 ONC262150:ONN262152 OWY262150:OXJ262152 PGU262150:PHF262152 PQQ262150:PRB262152 QAM262150:QAX262152 QKI262150:QKT262152 QUE262150:QUP262152 REA262150:REL262152 RNW262150:ROH262152 RXS262150:RYD262152 SHO262150:SHZ262152 SRK262150:SRV262152 TBG262150:TBR262152 TLC262150:TLN262152 TUY262150:TVJ262152 UEU262150:UFF262152 UOQ262150:UPB262152 UYM262150:UYX262152 VII262150:VIT262152 VSE262150:VSP262152 WCA262150:WCL262152 WLW262150:WMH262152 WVS262150:WWD262152 JG327686:JR327688 TC327686:TN327688 ACY327686:ADJ327688 AMU327686:ANF327688 AWQ327686:AXB327688 BGM327686:BGX327688 BQI327686:BQT327688 CAE327686:CAP327688 CKA327686:CKL327688 CTW327686:CUH327688 DDS327686:DED327688 DNO327686:DNZ327688 DXK327686:DXV327688 EHG327686:EHR327688 ERC327686:ERN327688 FAY327686:FBJ327688 FKU327686:FLF327688 FUQ327686:FVB327688 GEM327686:GEX327688 GOI327686:GOT327688 GYE327686:GYP327688 HIA327686:HIL327688 HRW327686:HSH327688 IBS327686:ICD327688 ILO327686:ILZ327688 IVK327686:IVV327688 JFG327686:JFR327688 JPC327686:JPN327688 JYY327686:JZJ327688 KIU327686:KJF327688 KSQ327686:KTB327688 LCM327686:LCX327688 LMI327686:LMT327688 LWE327686:LWP327688 MGA327686:MGL327688 MPW327686:MQH327688 MZS327686:NAD327688 NJO327686:NJZ327688 NTK327686:NTV327688 ODG327686:ODR327688 ONC327686:ONN327688 OWY327686:OXJ327688 PGU327686:PHF327688 PQQ327686:PRB327688 QAM327686:QAX327688 QKI327686:QKT327688 QUE327686:QUP327688 REA327686:REL327688 RNW327686:ROH327688 RXS327686:RYD327688 SHO327686:SHZ327688 SRK327686:SRV327688 TBG327686:TBR327688 TLC327686:TLN327688 TUY327686:TVJ327688 UEU327686:UFF327688 UOQ327686:UPB327688 UYM327686:UYX327688 VII327686:VIT327688 VSE327686:VSP327688 WCA327686:WCL327688 WLW327686:WMH327688 WVS327686:WWD327688 JG393222:JR393224 TC393222:TN393224 ACY393222:ADJ393224 AMU393222:ANF393224 AWQ393222:AXB393224 BGM393222:BGX393224 BQI393222:BQT393224 CAE393222:CAP393224 CKA393222:CKL393224 CTW393222:CUH393224 DDS393222:DED393224 DNO393222:DNZ393224 DXK393222:DXV393224 EHG393222:EHR393224 ERC393222:ERN393224 FAY393222:FBJ393224 FKU393222:FLF393224 FUQ393222:FVB393224 GEM393222:GEX393224 GOI393222:GOT393224 GYE393222:GYP393224 HIA393222:HIL393224 HRW393222:HSH393224 IBS393222:ICD393224 ILO393222:ILZ393224 IVK393222:IVV393224 JFG393222:JFR393224 JPC393222:JPN393224 JYY393222:JZJ393224 KIU393222:KJF393224 KSQ393222:KTB393224 LCM393222:LCX393224 LMI393222:LMT393224 LWE393222:LWP393224 MGA393222:MGL393224 MPW393222:MQH393224 MZS393222:NAD393224 NJO393222:NJZ393224 NTK393222:NTV393224 ODG393222:ODR393224 ONC393222:ONN393224 OWY393222:OXJ393224 PGU393222:PHF393224 PQQ393222:PRB393224 QAM393222:QAX393224 QKI393222:QKT393224 QUE393222:QUP393224 REA393222:REL393224 RNW393222:ROH393224 RXS393222:RYD393224 SHO393222:SHZ393224 SRK393222:SRV393224 TBG393222:TBR393224 TLC393222:TLN393224 TUY393222:TVJ393224 UEU393222:UFF393224 UOQ393222:UPB393224 UYM393222:UYX393224 VII393222:VIT393224 VSE393222:VSP393224 WCA393222:WCL393224 WLW393222:WMH393224 WVS393222:WWD393224 JG458758:JR458760 TC458758:TN458760 ACY458758:ADJ458760 AMU458758:ANF458760 AWQ458758:AXB458760 BGM458758:BGX458760 BQI458758:BQT458760 CAE458758:CAP458760 CKA458758:CKL458760 CTW458758:CUH458760 DDS458758:DED458760 DNO458758:DNZ458760 DXK458758:DXV458760 EHG458758:EHR458760 ERC458758:ERN458760 FAY458758:FBJ458760 FKU458758:FLF458760 FUQ458758:FVB458760 GEM458758:GEX458760 GOI458758:GOT458760 GYE458758:GYP458760 HIA458758:HIL458760 HRW458758:HSH458760 IBS458758:ICD458760 ILO458758:ILZ458760 IVK458758:IVV458760 JFG458758:JFR458760 JPC458758:JPN458760 JYY458758:JZJ458760 KIU458758:KJF458760 KSQ458758:KTB458760 LCM458758:LCX458760 LMI458758:LMT458760 LWE458758:LWP458760 MGA458758:MGL458760 MPW458758:MQH458760 MZS458758:NAD458760 NJO458758:NJZ458760 NTK458758:NTV458760 ODG458758:ODR458760 ONC458758:ONN458760 OWY458758:OXJ458760 PGU458758:PHF458760 PQQ458758:PRB458760 QAM458758:QAX458760 QKI458758:QKT458760 QUE458758:QUP458760 REA458758:REL458760 RNW458758:ROH458760 RXS458758:RYD458760 SHO458758:SHZ458760 SRK458758:SRV458760 TBG458758:TBR458760 TLC458758:TLN458760 TUY458758:TVJ458760 UEU458758:UFF458760 UOQ458758:UPB458760 UYM458758:UYX458760 VII458758:VIT458760 VSE458758:VSP458760 WCA458758:WCL458760 WLW458758:WMH458760 WVS458758:WWD458760 JG524294:JR524296 TC524294:TN524296 ACY524294:ADJ524296 AMU524294:ANF524296 AWQ524294:AXB524296 BGM524294:BGX524296 BQI524294:BQT524296 CAE524294:CAP524296 CKA524294:CKL524296 CTW524294:CUH524296 DDS524294:DED524296 DNO524294:DNZ524296 DXK524294:DXV524296 EHG524294:EHR524296 ERC524294:ERN524296 FAY524294:FBJ524296 FKU524294:FLF524296 FUQ524294:FVB524296 GEM524294:GEX524296 GOI524294:GOT524296 GYE524294:GYP524296 HIA524294:HIL524296 HRW524294:HSH524296 IBS524294:ICD524296 ILO524294:ILZ524296 IVK524294:IVV524296 JFG524294:JFR524296 JPC524294:JPN524296 JYY524294:JZJ524296 KIU524294:KJF524296 KSQ524294:KTB524296 LCM524294:LCX524296 LMI524294:LMT524296 LWE524294:LWP524296 MGA524294:MGL524296 MPW524294:MQH524296 MZS524294:NAD524296 NJO524294:NJZ524296 NTK524294:NTV524296 ODG524294:ODR524296 ONC524294:ONN524296 OWY524294:OXJ524296 PGU524294:PHF524296 PQQ524294:PRB524296 QAM524294:QAX524296 QKI524294:QKT524296 QUE524294:QUP524296 REA524294:REL524296 RNW524294:ROH524296 RXS524294:RYD524296 SHO524294:SHZ524296 SRK524294:SRV524296 TBG524294:TBR524296 TLC524294:TLN524296 TUY524294:TVJ524296 UEU524294:UFF524296 UOQ524294:UPB524296 UYM524294:UYX524296 VII524294:VIT524296 VSE524294:VSP524296 WCA524294:WCL524296 WLW524294:WMH524296 WVS524294:WWD524296 JG589830:JR589832 TC589830:TN589832 ACY589830:ADJ589832 AMU589830:ANF589832 AWQ589830:AXB589832 BGM589830:BGX589832 BQI589830:BQT589832 CAE589830:CAP589832 CKA589830:CKL589832 CTW589830:CUH589832 DDS589830:DED589832 DNO589830:DNZ589832 DXK589830:DXV589832 EHG589830:EHR589832 ERC589830:ERN589832 FAY589830:FBJ589832 FKU589830:FLF589832 FUQ589830:FVB589832 GEM589830:GEX589832 GOI589830:GOT589832 GYE589830:GYP589832 HIA589830:HIL589832 HRW589830:HSH589832 IBS589830:ICD589832 ILO589830:ILZ589832 IVK589830:IVV589832 JFG589830:JFR589832 JPC589830:JPN589832 JYY589830:JZJ589832 KIU589830:KJF589832 KSQ589830:KTB589832 LCM589830:LCX589832 LMI589830:LMT589832 LWE589830:LWP589832 MGA589830:MGL589832 MPW589830:MQH589832 MZS589830:NAD589832 NJO589830:NJZ589832 NTK589830:NTV589832 ODG589830:ODR589832 ONC589830:ONN589832 OWY589830:OXJ589832 PGU589830:PHF589832 PQQ589830:PRB589832 QAM589830:QAX589832 QKI589830:QKT589832 QUE589830:QUP589832 REA589830:REL589832 RNW589830:ROH589832 RXS589830:RYD589832 SHO589830:SHZ589832 SRK589830:SRV589832 TBG589830:TBR589832 TLC589830:TLN589832 TUY589830:TVJ589832 UEU589830:UFF589832 UOQ589830:UPB589832 UYM589830:UYX589832 VII589830:VIT589832 VSE589830:VSP589832 WCA589830:WCL589832 WLW589830:WMH589832 WVS589830:WWD589832 JG655366:JR655368 TC655366:TN655368 ACY655366:ADJ655368 AMU655366:ANF655368 AWQ655366:AXB655368 BGM655366:BGX655368 BQI655366:BQT655368 CAE655366:CAP655368 CKA655366:CKL655368 CTW655366:CUH655368 DDS655366:DED655368 DNO655366:DNZ655368 DXK655366:DXV655368 EHG655366:EHR655368 ERC655366:ERN655368 FAY655366:FBJ655368 FKU655366:FLF655368 FUQ655366:FVB655368 GEM655366:GEX655368 GOI655366:GOT655368 GYE655366:GYP655368 HIA655366:HIL655368 HRW655366:HSH655368 IBS655366:ICD655368 ILO655366:ILZ655368 IVK655366:IVV655368 JFG655366:JFR655368 JPC655366:JPN655368 JYY655366:JZJ655368 KIU655366:KJF655368 KSQ655366:KTB655368 LCM655366:LCX655368 LMI655366:LMT655368 LWE655366:LWP655368 MGA655366:MGL655368 MPW655366:MQH655368 MZS655366:NAD655368 NJO655366:NJZ655368 NTK655366:NTV655368 ODG655366:ODR655368 ONC655366:ONN655368 OWY655366:OXJ655368 PGU655366:PHF655368 PQQ655366:PRB655368 QAM655366:QAX655368 QKI655366:QKT655368 QUE655366:QUP655368 REA655366:REL655368 RNW655366:ROH655368 RXS655366:RYD655368 SHO655366:SHZ655368 SRK655366:SRV655368 TBG655366:TBR655368 TLC655366:TLN655368 TUY655366:TVJ655368 UEU655366:UFF655368 UOQ655366:UPB655368 UYM655366:UYX655368 VII655366:VIT655368 VSE655366:VSP655368 WCA655366:WCL655368 WLW655366:WMH655368 WVS655366:WWD655368 JG720902:JR720904 TC720902:TN720904 ACY720902:ADJ720904 AMU720902:ANF720904 AWQ720902:AXB720904 BGM720902:BGX720904 BQI720902:BQT720904 CAE720902:CAP720904 CKA720902:CKL720904 CTW720902:CUH720904 DDS720902:DED720904 DNO720902:DNZ720904 DXK720902:DXV720904 EHG720902:EHR720904 ERC720902:ERN720904 FAY720902:FBJ720904 FKU720902:FLF720904 FUQ720902:FVB720904 GEM720902:GEX720904 GOI720902:GOT720904 GYE720902:GYP720904 HIA720902:HIL720904 HRW720902:HSH720904 IBS720902:ICD720904 ILO720902:ILZ720904 IVK720902:IVV720904 JFG720902:JFR720904 JPC720902:JPN720904 JYY720902:JZJ720904 KIU720902:KJF720904 KSQ720902:KTB720904 LCM720902:LCX720904 LMI720902:LMT720904 LWE720902:LWP720904 MGA720902:MGL720904 MPW720902:MQH720904 MZS720902:NAD720904 NJO720902:NJZ720904 NTK720902:NTV720904 ODG720902:ODR720904 ONC720902:ONN720904 OWY720902:OXJ720904 PGU720902:PHF720904 PQQ720902:PRB720904 QAM720902:QAX720904 QKI720902:QKT720904 QUE720902:QUP720904 REA720902:REL720904 RNW720902:ROH720904 RXS720902:RYD720904 SHO720902:SHZ720904 SRK720902:SRV720904 TBG720902:TBR720904 TLC720902:TLN720904 TUY720902:TVJ720904 UEU720902:UFF720904 UOQ720902:UPB720904 UYM720902:UYX720904 VII720902:VIT720904 VSE720902:VSP720904 WCA720902:WCL720904 WLW720902:WMH720904 WVS720902:WWD720904 JG786438:JR786440 TC786438:TN786440 ACY786438:ADJ786440 AMU786438:ANF786440 AWQ786438:AXB786440 BGM786438:BGX786440 BQI786438:BQT786440 CAE786438:CAP786440 CKA786438:CKL786440 CTW786438:CUH786440 DDS786438:DED786440 DNO786438:DNZ786440 DXK786438:DXV786440 EHG786438:EHR786440 ERC786438:ERN786440 FAY786438:FBJ786440 FKU786438:FLF786440 FUQ786438:FVB786440 GEM786438:GEX786440 GOI786438:GOT786440 GYE786438:GYP786440 HIA786438:HIL786440 HRW786438:HSH786440 IBS786438:ICD786440 ILO786438:ILZ786440 IVK786438:IVV786440 JFG786438:JFR786440 JPC786438:JPN786440 JYY786438:JZJ786440 KIU786438:KJF786440 KSQ786438:KTB786440 LCM786438:LCX786440 LMI786438:LMT786440 LWE786438:LWP786440 MGA786438:MGL786440 MPW786438:MQH786440 MZS786438:NAD786440 NJO786438:NJZ786440 NTK786438:NTV786440 ODG786438:ODR786440 ONC786438:ONN786440 OWY786438:OXJ786440 PGU786438:PHF786440 PQQ786438:PRB786440 QAM786438:QAX786440 QKI786438:QKT786440 QUE786438:QUP786440 REA786438:REL786440 RNW786438:ROH786440 RXS786438:RYD786440 SHO786438:SHZ786440 SRK786438:SRV786440 TBG786438:TBR786440 TLC786438:TLN786440 TUY786438:TVJ786440 UEU786438:UFF786440 UOQ786438:UPB786440 UYM786438:UYX786440 VII786438:VIT786440 VSE786438:VSP786440 WCA786438:WCL786440 WLW786438:WMH786440 WVS786438:WWD786440 JG851974:JR851976 TC851974:TN851976 ACY851974:ADJ851976 AMU851974:ANF851976 AWQ851974:AXB851976 BGM851974:BGX851976 BQI851974:BQT851976 CAE851974:CAP851976 CKA851974:CKL851976 CTW851974:CUH851976 DDS851974:DED851976 DNO851974:DNZ851976 DXK851974:DXV851976 EHG851974:EHR851976 ERC851974:ERN851976 FAY851974:FBJ851976 FKU851974:FLF851976 FUQ851974:FVB851976 GEM851974:GEX851976 GOI851974:GOT851976 GYE851974:GYP851976 HIA851974:HIL851976 HRW851974:HSH851976 IBS851974:ICD851976 ILO851974:ILZ851976 IVK851974:IVV851976 JFG851974:JFR851976 JPC851974:JPN851976 JYY851974:JZJ851976 KIU851974:KJF851976 KSQ851974:KTB851976 LCM851974:LCX851976 LMI851974:LMT851976 LWE851974:LWP851976 MGA851974:MGL851976 MPW851974:MQH851976 MZS851974:NAD851976 NJO851974:NJZ851976 NTK851974:NTV851976 ODG851974:ODR851976 ONC851974:ONN851976 OWY851974:OXJ851976 PGU851974:PHF851976 PQQ851974:PRB851976 QAM851974:QAX851976 QKI851974:QKT851976 QUE851974:QUP851976 REA851974:REL851976 RNW851974:ROH851976 RXS851974:RYD851976 SHO851974:SHZ851976 SRK851974:SRV851976 TBG851974:TBR851976 TLC851974:TLN851976 TUY851974:TVJ851976 UEU851974:UFF851976 UOQ851974:UPB851976 UYM851974:UYX851976 VII851974:VIT851976 VSE851974:VSP851976 WCA851974:WCL851976 WLW851974:WMH851976 WVS851974:WWD851976 JG917510:JR917512 TC917510:TN917512 ACY917510:ADJ917512 AMU917510:ANF917512 AWQ917510:AXB917512 BGM917510:BGX917512 BQI917510:BQT917512 CAE917510:CAP917512 CKA917510:CKL917512 CTW917510:CUH917512 DDS917510:DED917512 DNO917510:DNZ917512 DXK917510:DXV917512 EHG917510:EHR917512 ERC917510:ERN917512 FAY917510:FBJ917512 FKU917510:FLF917512 FUQ917510:FVB917512 GEM917510:GEX917512 GOI917510:GOT917512 GYE917510:GYP917512 HIA917510:HIL917512 HRW917510:HSH917512 IBS917510:ICD917512 ILO917510:ILZ917512 IVK917510:IVV917512 JFG917510:JFR917512 JPC917510:JPN917512 JYY917510:JZJ917512 KIU917510:KJF917512 KSQ917510:KTB917512 LCM917510:LCX917512 LMI917510:LMT917512 LWE917510:LWP917512 MGA917510:MGL917512 MPW917510:MQH917512 MZS917510:NAD917512 NJO917510:NJZ917512 NTK917510:NTV917512 ODG917510:ODR917512 ONC917510:ONN917512 OWY917510:OXJ917512 PGU917510:PHF917512 PQQ917510:PRB917512 QAM917510:QAX917512 QKI917510:QKT917512 QUE917510:QUP917512 REA917510:REL917512 RNW917510:ROH917512 RXS917510:RYD917512 SHO917510:SHZ917512 SRK917510:SRV917512 TBG917510:TBR917512 TLC917510:TLN917512 TUY917510:TVJ917512 UEU917510:UFF917512 UOQ917510:UPB917512 UYM917510:UYX917512 VII917510:VIT917512 VSE917510:VSP917512 WCA917510:WCL917512 WLW917510:WMH917512 WVS917510:WWD917512 JG983046:JR983048 TC983046:TN983048 ACY983046:ADJ983048 AMU983046:ANF983048 AWQ983046:AXB983048 BGM983046:BGX983048 BQI983046:BQT983048 CAE983046:CAP983048 CKA983046:CKL983048 CTW983046:CUH983048 DDS983046:DED983048 DNO983046:DNZ983048 DXK983046:DXV983048 EHG983046:EHR983048 ERC983046:ERN983048 FAY983046:FBJ983048 FKU983046:FLF983048 FUQ983046:FVB983048 GEM983046:GEX983048 GOI983046:GOT983048 GYE983046:GYP983048 HIA983046:HIL983048 HRW983046:HSH983048 IBS983046:ICD983048 ILO983046:ILZ983048 IVK983046:IVV983048 JFG983046:JFR983048 JPC983046:JPN983048 JYY983046:JZJ983048 KIU983046:KJF983048 KSQ983046:KTB983048 LCM983046:LCX983048 LMI983046:LMT983048 LWE983046:LWP983048 MGA983046:MGL983048 MPW983046:MQH983048 MZS983046:NAD983048 NJO983046:NJZ983048 NTK983046:NTV983048 ODG983046:ODR983048 ONC983046:ONN983048 OWY983046:OXJ983048 PGU983046:PHF983048 PQQ983046:PRB983048 QAM983046:QAX983048 QKI983046:QKT983048 QUE983046:QUP983048 REA983046:REL983048 RNW983046:ROH983048 RXS983046:RYD983048 SHO983046:SHZ983048 SRK983046:SRV983048 TBG983046:TBR983048 TLC983046:TLN983048 TUY983046:TVJ983048 UEU983046:UFF983048 UOQ983046:UPB983048 UYM983046:UYX983048 VII983046:VIT983048 VSE983046:VSP983048 WCA983046:WCL983048 WLW983046:WMH983048 Z262145:AJ262147 Z196609:AJ196611 Z131073:AJ131075 Z65537:AJ65539 Z983046:AJ983048 Z917510:AJ917512 Z851974:AJ851976 Z786438:AJ786440 Z720902:AJ720904 Z655366:AJ655368 Z589830:AJ589832 Z524294:AJ524296 Z458758:AJ458760 Z393222:AJ393224 Z327686:AJ327688 Z262150:AJ262152 Z196614:AJ196616 Z131078:AJ131080 Z65542:AJ65544 Z983041:AJ983043 Z917505:AJ917507 Z851969:AJ851971 Z786433:AJ786435 Z720897:AJ720899 Z655361:AJ655363 Z589825:AJ589827 Z524289:AJ524291 Z458753:AJ458755 Z393217:AJ393219 Z327681:AJ327683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Y8:Z85">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pageSetUpPr autoPageBreaks="0"/>
  </sheetPr>
  <dimension ref="A1:BE46"/>
  <sheetViews>
    <sheetView showGridLines="0" zoomScaleNormal="100" zoomScaleSheetLayoutView="85"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7"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7"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製品在庫月末情報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7"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7"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7"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7"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7" ht="14.4" customHeight="1">
      <c r="A8" s="37">
        <f>IF(B8="","",COUNTA($B8:B$8))</f>
        <v>1</v>
      </c>
      <c r="B8" s="35" t="s">
        <v>1543</v>
      </c>
      <c r="C8" s="34"/>
      <c r="D8" s="34"/>
      <c r="E8" s="34"/>
      <c r="F8" s="34"/>
      <c r="G8" s="34"/>
      <c r="H8" s="34"/>
      <c r="I8" s="35" t="s">
        <v>1430</v>
      </c>
      <c r="J8" s="27"/>
      <c r="K8" s="27"/>
      <c r="L8" s="27"/>
      <c r="M8" s="27"/>
      <c r="N8" s="27"/>
      <c r="O8" s="27"/>
      <c r="P8" s="27"/>
      <c r="Q8" s="27"/>
      <c r="R8" s="35" t="s">
        <v>270</v>
      </c>
      <c r="S8" s="34"/>
      <c r="T8" s="34"/>
      <c r="U8" s="34"/>
      <c r="V8" s="34"/>
      <c r="W8" s="34"/>
      <c r="X8" s="34"/>
      <c r="Y8" s="589" t="s">
        <v>1504</v>
      </c>
      <c r="Z8" s="590"/>
      <c r="AA8" s="591" t="s">
        <v>1505</v>
      </c>
      <c r="AB8" s="592"/>
      <c r="AC8" s="593"/>
      <c r="AD8" s="53">
        <v>12</v>
      </c>
      <c r="AE8" s="25"/>
      <c r="AF8" s="25">
        <v>1</v>
      </c>
      <c r="AG8" s="24" t="s">
        <v>84</v>
      </c>
      <c r="AH8" s="25"/>
      <c r="AI8" s="25"/>
      <c r="AJ8" s="25"/>
      <c r="AK8" s="25"/>
      <c r="AL8" s="25"/>
      <c r="AM8" s="25"/>
      <c r="AN8" s="25"/>
      <c r="AO8" s="25"/>
      <c r="AP8" s="25"/>
      <c r="AQ8" s="25"/>
      <c r="AR8" s="25"/>
      <c r="AS8" s="35" t="s">
        <v>1178</v>
      </c>
      <c r="AT8" s="36"/>
      <c r="AU8" s="36"/>
      <c r="AV8" s="36"/>
      <c r="AW8" s="36"/>
      <c r="AX8" s="36"/>
      <c r="AY8" s="36"/>
      <c r="AZ8" s="36"/>
      <c r="BA8" s="36"/>
      <c r="BB8" s="36"/>
      <c r="BC8" s="36"/>
      <c r="BD8" s="50"/>
    </row>
    <row r="9" spans="1:57" ht="14.4" customHeight="1">
      <c r="A9" s="37">
        <f>IF(B9="","",COUNTA($B$8:B9))</f>
        <v>2</v>
      </c>
      <c r="B9" s="193" t="s">
        <v>1683</v>
      </c>
      <c r="C9" s="194"/>
      <c r="D9" s="194"/>
      <c r="E9" s="194"/>
      <c r="F9" s="194"/>
      <c r="G9" s="194"/>
      <c r="H9" s="194"/>
      <c r="I9" s="193" t="s">
        <v>1098</v>
      </c>
      <c r="J9" s="195"/>
      <c r="K9" s="195"/>
      <c r="L9" s="195"/>
      <c r="M9" s="195"/>
      <c r="N9" s="195"/>
      <c r="O9" s="195"/>
      <c r="P9" s="195"/>
      <c r="Q9" s="195"/>
      <c r="R9" s="200" t="s">
        <v>1683</v>
      </c>
      <c r="S9" s="194"/>
      <c r="T9" s="194"/>
      <c r="U9" s="194"/>
      <c r="V9" s="194"/>
      <c r="W9" s="194"/>
      <c r="X9" s="194"/>
      <c r="Y9" s="200" t="s">
        <v>1504</v>
      </c>
      <c r="Z9" s="201"/>
      <c r="AA9" s="639" t="s">
        <v>1505</v>
      </c>
      <c r="AB9" s="640"/>
      <c r="AC9" s="641"/>
      <c r="AD9" s="196">
        <v>15</v>
      </c>
      <c r="AE9" s="197"/>
      <c r="AF9" s="197">
        <v>2</v>
      </c>
      <c r="AG9" s="247" t="s">
        <v>84</v>
      </c>
      <c r="AH9" s="197"/>
      <c r="AI9" s="197"/>
      <c r="AJ9" s="197"/>
      <c r="AK9" s="197"/>
      <c r="AL9" s="197"/>
      <c r="AM9" s="197"/>
      <c r="AN9" s="197"/>
      <c r="AO9" s="197"/>
      <c r="AP9" s="197"/>
      <c r="AQ9" s="197"/>
      <c r="AR9" s="197"/>
      <c r="AS9" s="193"/>
      <c r="AT9" s="198"/>
      <c r="AU9" s="198"/>
      <c r="AV9" s="198"/>
      <c r="AW9" s="198"/>
      <c r="AX9" s="198"/>
      <c r="AY9" s="198"/>
      <c r="AZ9" s="198"/>
      <c r="BA9" s="198"/>
      <c r="BB9" s="198"/>
      <c r="BC9" s="198"/>
      <c r="BD9" s="199"/>
      <c r="BE9" s="291" t="s">
        <v>1833</v>
      </c>
    </row>
    <row r="10" spans="1:57" ht="14.4" customHeight="1">
      <c r="A10" s="37">
        <f>IF(B10="","",COUNTA($B$8:B10))</f>
        <v>3</v>
      </c>
      <c r="B10" s="344" t="s">
        <v>1830</v>
      </c>
      <c r="C10" s="345"/>
      <c r="D10" s="345"/>
      <c r="E10" s="345"/>
      <c r="F10" s="345"/>
      <c r="G10" s="345"/>
      <c r="H10" s="345"/>
      <c r="I10" s="370" t="s">
        <v>1832</v>
      </c>
      <c r="J10" s="348"/>
      <c r="K10" s="348"/>
      <c r="L10" s="348"/>
      <c r="M10" s="348"/>
      <c r="N10" s="348"/>
      <c r="O10" s="348"/>
      <c r="P10" s="348"/>
      <c r="Q10" s="348"/>
      <c r="R10" s="344" t="s">
        <v>1830</v>
      </c>
      <c r="S10" s="345"/>
      <c r="T10" s="345"/>
      <c r="U10" s="345"/>
      <c r="V10" s="345"/>
      <c r="W10" s="345"/>
      <c r="X10" s="345"/>
      <c r="Y10" s="344" t="s">
        <v>141</v>
      </c>
      <c r="Z10" s="349"/>
      <c r="AA10" s="657" t="s">
        <v>1285</v>
      </c>
      <c r="AB10" s="658"/>
      <c r="AC10" s="659"/>
      <c r="AD10" s="371">
        <v>15</v>
      </c>
      <c r="AE10" s="352" t="s">
        <v>1585</v>
      </c>
      <c r="AF10" s="352">
        <v>2</v>
      </c>
      <c r="AG10" s="352" t="s">
        <v>1838</v>
      </c>
      <c r="AH10" s="352"/>
      <c r="AI10" s="352"/>
      <c r="AJ10" s="352"/>
      <c r="AK10" s="352"/>
      <c r="AL10" s="352"/>
      <c r="AM10" s="352"/>
      <c r="AN10" s="352"/>
      <c r="AO10" s="351"/>
      <c r="AP10" s="351"/>
      <c r="AQ10" s="351"/>
      <c r="AR10" s="351"/>
      <c r="AS10" s="370"/>
      <c r="AT10" s="372"/>
      <c r="AU10" s="372"/>
      <c r="AV10" s="372"/>
      <c r="AW10" s="372"/>
      <c r="AX10" s="372"/>
      <c r="AY10" s="372"/>
      <c r="AZ10" s="372"/>
      <c r="BA10" s="372"/>
      <c r="BB10" s="372"/>
      <c r="BC10" s="372"/>
      <c r="BD10" s="373"/>
      <c r="BE10" s="291" t="s">
        <v>1834</v>
      </c>
    </row>
    <row r="11" spans="1:57" ht="14.4" customHeight="1">
      <c r="A11" s="37">
        <f>IF(B11="","",COUNTA($B$8:B11))</f>
        <v>4</v>
      </c>
      <c r="B11" s="35" t="s">
        <v>1711</v>
      </c>
      <c r="C11" s="34"/>
      <c r="D11" s="34"/>
      <c r="E11" s="34"/>
      <c r="F11" s="34"/>
      <c r="G11" s="34"/>
      <c r="H11" s="34"/>
      <c r="I11" s="35" t="s">
        <v>1461</v>
      </c>
      <c r="J11" s="27"/>
      <c r="K11" s="27"/>
      <c r="L11" s="27"/>
      <c r="M11" s="27"/>
      <c r="N11" s="27"/>
      <c r="O11" s="27"/>
      <c r="P11" s="27"/>
      <c r="Q11" s="27"/>
      <c r="R11" s="17" t="s">
        <v>1711</v>
      </c>
      <c r="S11" s="34"/>
      <c r="T11" s="34"/>
      <c r="U11" s="34"/>
      <c r="V11" s="34"/>
      <c r="W11" s="34"/>
      <c r="X11" s="34"/>
      <c r="Y11" s="589" t="s">
        <v>1504</v>
      </c>
      <c r="Z11" s="636"/>
      <c r="AA11" s="591" t="s">
        <v>1505</v>
      </c>
      <c r="AB11" s="592"/>
      <c r="AC11" s="593"/>
      <c r="AD11" s="53">
        <v>2</v>
      </c>
      <c r="AE11" s="25"/>
      <c r="AF11" s="25"/>
      <c r="AG11" s="24"/>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7" ht="14.4" customHeight="1">
      <c r="A12" s="37">
        <f>IF(B12="","",COUNTA($B$8:B12))</f>
        <v>5</v>
      </c>
      <c r="B12" s="35" t="s">
        <v>1344</v>
      </c>
      <c r="C12" s="34"/>
      <c r="D12" s="34"/>
      <c r="E12" s="34"/>
      <c r="F12" s="34"/>
      <c r="G12" s="34"/>
      <c r="H12" s="34"/>
      <c r="I12" s="35" t="s">
        <v>1444</v>
      </c>
      <c r="J12" s="27"/>
      <c r="K12" s="27"/>
      <c r="L12" s="27"/>
      <c r="M12" s="27"/>
      <c r="N12" s="27"/>
      <c r="O12" s="27"/>
      <c r="P12" s="27"/>
      <c r="Q12" s="27"/>
      <c r="R12" s="35" t="s">
        <v>1344</v>
      </c>
      <c r="S12" s="34"/>
      <c r="T12" s="34"/>
      <c r="U12" s="34"/>
      <c r="V12" s="34"/>
      <c r="W12" s="34"/>
      <c r="X12" s="34"/>
      <c r="Y12" s="589" t="s">
        <v>1504</v>
      </c>
      <c r="Z12" s="636"/>
      <c r="AA12" s="591" t="s">
        <v>1505</v>
      </c>
      <c r="AB12" s="592"/>
      <c r="AC12" s="593"/>
      <c r="AD12" s="53">
        <v>2</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7" ht="14.4" customHeight="1">
      <c r="A13" s="37">
        <f>IF(B13="","",COUNTA($B$8:B13))</f>
        <v>6</v>
      </c>
      <c r="B13" s="35" t="s">
        <v>1514</v>
      </c>
      <c r="C13" s="34"/>
      <c r="D13" s="34"/>
      <c r="E13" s="34"/>
      <c r="F13" s="34"/>
      <c r="G13" s="34"/>
      <c r="H13" s="34"/>
      <c r="I13" s="35" t="s">
        <v>568</v>
      </c>
      <c r="J13" s="27"/>
      <c r="K13" s="27"/>
      <c r="L13" s="27"/>
      <c r="M13" s="27"/>
      <c r="N13" s="27"/>
      <c r="O13" s="27"/>
      <c r="P13" s="27"/>
      <c r="Q13" s="27"/>
      <c r="R13" s="35" t="s">
        <v>1514</v>
      </c>
      <c r="S13" s="34"/>
      <c r="T13" s="34"/>
      <c r="U13" s="34"/>
      <c r="V13" s="34"/>
      <c r="W13" s="34"/>
      <c r="X13" s="34"/>
      <c r="Y13" s="589" t="s">
        <v>1504</v>
      </c>
      <c r="Z13" s="636"/>
      <c r="AA13" s="591" t="s">
        <v>1505</v>
      </c>
      <c r="AB13" s="592"/>
      <c r="AC13" s="593"/>
      <c r="AD13" s="53">
        <v>20</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7" ht="14.4" customHeight="1">
      <c r="A14" s="37">
        <f>IF(B14="","",COUNTA($B$8:B14))</f>
        <v>7</v>
      </c>
      <c r="B14" s="35" t="s">
        <v>1515</v>
      </c>
      <c r="C14" s="34"/>
      <c r="D14" s="34"/>
      <c r="E14" s="34"/>
      <c r="F14" s="34"/>
      <c r="G14" s="34"/>
      <c r="H14" s="34"/>
      <c r="I14" s="35" t="s">
        <v>657</v>
      </c>
      <c r="J14" s="27"/>
      <c r="K14" s="27"/>
      <c r="L14" s="27"/>
      <c r="M14" s="27"/>
      <c r="N14" s="27"/>
      <c r="O14" s="27"/>
      <c r="P14" s="27"/>
      <c r="Q14" s="27"/>
      <c r="R14" s="35" t="s">
        <v>1515</v>
      </c>
      <c r="S14" s="34"/>
      <c r="T14" s="34"/>
      <c r="U14" s="34"/>
      <c r="V14" s="34"/>
      <c r="W14" s="34"/>
      <c r="X14" s="34"/>
      <c r="Y14" s="589" t="s">
        <v>1504</v>
      </c>
      <c r="Z14" s="636"/>
      <c r="AA14" s="591" t="s">
        <v>1505</v>
      </c>
      <c r="AB14" s="592"/>
      <c r="AC14" s="593"/>
      <c r="AD14" s="53">
        <v>30</v>
      </c>
      <c r="AE14" s="25"/>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7" ht="14.4" customHeight="1">
      <c r="A15" s="37">
        <f>IF(B15="","",COUNTA($B$8:B15))</f>
        <v>8</v>
      </c>
      <c r="B15" s="35" t="s">
        <v>1518</v>
      </c>
      <c r="C15" s="34"/>
      <c r="D15" s="34"/>
      <c r="E15" s="34"/>
      <c r="F15" s="34"/>
      <c r="G15" s="34"/>
      <c r="H15" s="34"/>
      <c r="I15" s="35" t="s">
        <v>534</v>
      </c>
      <c r="J15" s="27"/>
      <c r="K15" s="27"/>
      <c r="L15" s="27"/>
      <c r="M15" s="27"/>
      <c r="N15" s="27"/>
      <c r="O15" s="27"/>
      <c r="P15" s="27"/>
      <c r="Q15" s="27"/>
      <c r="R15" s="35" t="s">
        <v>1518</v>
      </c>
      <c r="S15" s="34"/>
      <c r="T15" s="34"/>
      <c r="U15" s="34"/>
      <c r="V15" s="34"/>
      <c r="W15" s="34"/>
      <c r="X15" s="34"/>
      <c r="Y15" s="589" t="s">
        <v>1516</v>
      </c>
      <c r="Z15" s="590"/>
      <c r="AA15" s="591" t="s">
        <v>1517</v>
      </c>
      <c r="AB15" s="592"/>
      <c r="AC15" s="593"/>
      <c r="AD15" s="53">
        <v>5</v>
      </c>
      <c r="AE15" s="25">
        <v>2</v>
      </c>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7" ht="14.4" customHeight="1">
      <c r="A16" s="37">
        <f>IF(B16="","",COUNTA($B$8:B16))</f>
        <v>9</v>
      </c>
      <c r="B16" s="35" t="s">
        <v>1519</v>
      </c>
      <c r="C16" s="34"/>
      <c r="D16" s="34"/>
      <c r="E16" s="34"/>
      <c r="F16" s="34"/>
      <c r="G16" s="34"/>
      <c r="H16" s="34"/>
      <c r="I16" s="35" t="s">
        <v>584</v>
      </c>
      <c r="J16" s="27"/>
      <c r="K16" s="27"/>
      <c r="L16" s="27"/>
      <c r="M16" s="27"/>
      <c r="N16" s="27"/>
      <c r="O16" s="27"/>
      <c r="P16" s="27"/>
      <c r="Q16" s="27"/>
      <c r="R16" s="35" t="s">
        <v>1519</v>
      </c>
      <c r="S16" s="34"/>
      <c r="T16" s="34"/>
      <c r="U16" s="34"/>
      <c r="V16" s="34"/>
      <c r="W16" s="34"/>
      <c r="X16" s="34"/>
      <c r="Y16" s="589" t="s">
        <v>1516</v>
      </c>
      <c r="Z16" s="590"/>
      <c r="AA16" s="591" t="s">
        <v>1517</v>
      </c>
      <c r="AB16" s="592"/>
      <c r="AC16" s="593"/>
      <c r="AD16" s="53">
        <v>5</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7" ht="14.4" customHeight="1">
      <c r="A17" s="37">
        <f>IF(B17="","",COUNTA($B$8:B17))</f>
        <v>10</v>
      </c>
      <c r="B17" s="35" t="s">
        <v>1520</v>
      </c>
      <c r="C17" s="34"/>
      <c r="D17" s="34"/>
      <c r="E17" s="34"/>
      <c r="F17" s="34"/>
      <c r="G17" s="34"/>
      <c r="H17" s="34"/>
      <c r="I17" s="35" t="s">
        <v>526</v>
      </c>
      <c r="J17" s="27"/>
      <c r="K17" s="27"/>
      <c r="L17" s="27"/>
      <c r="M17" s="27"/>
      <c r="N17" s="27"/>
      <c r="O17" s="27"/>
      <c r="P17" s="27"/>
      <c r="Q17" s="27"/>
      <c r="R17" s="35" t="s">
        <v>1520</v>
      </c>
      <c r="S17" s="34"/>
      <c r="T17" s="34"/>
      <c r="U17" s="34"/>
      <c r="V17" s="34"/>
      <c r="W17" s="34"/>
      <c r="X17" s="34"/>
      <c r="Y17" s="589" t="s">
        <v>1516</v>
      </c>
      <c r="Z17" s="590"/>
      <c r="AA17" s="591" t="s">
        <v>1517</v>
      </c>
      <c r="AB17" s="592"/>
      <c r="AC17" s="593"/>
      <c r="AD17" s="53">
        <v>5</v>
      </c>
      <c r="AE17" s="25"/>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7" ht="14.4" customHeight="1">
      <c r="A18" s="37">
        <f>IF(B18="","",COUNTA($B$8:B18))</f>
        <v>11</v>
      </c>
      <c r="B18" s="35" t="s">
        <v>1521</v>
      </c>
      <c r="C18" s="34"/>
      <c r="D18" s="34"/>
      <c r="E18" s="34"/>
      <c r="F18" s="34"/>
      <c r="G18" s="34"/>
      <c r="H18" s="34"/>
      <c r="I18" s="35" t="s">
        <v>1102</v>
      </c>
      <c r="J18" s="27"/>
      <c r="K18" s="27"/>
      <c r="L18" s="27"/>
      <c r="M18" s="27"/>
      <c r="N18" s="27"/>
      <c r="O18" s="27"/>
      <c r="P18" s="27"/>
      <c r="Q18" s="27"/>
      <c r="R18" s="35" t="s">
        <v>1521</v>
      </c>
      <c r="S18" s="34"/>
      <c r="T18" s="34"/>
      <c r="U18" s="34"/>
      <c r="V18" s="34"/>
      <c r="W18" s="34"/>
      <c r="X18" s="34"/>
      <c r="Y18" s="589" t="s">
        <v>1516</v>
      </c>
      <c r="Z18" s="590"/>
      <c r="AA18" s="591" t="s">
        <v>1517</v>
      </c>
      <c r="AB18" s="592"/>
      <c r="AC18" s="593"/>
      <c r="AD18" s="53">
        <v>7</v>
      </c>
      <c r="AE18" s="25">
        <v>2</v>
      </c>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7" ht="14.4" customHeight="1">
      <c r="A19" s="37">
        <f>IF(B19="","",COUNTA($B$8:B19))</f>
        <v>12</v>
      </c>
      <c r="B19" s="35" t="s">
        <v>1524</v>
      </c>
      <c r="C19" s="34"/>
      <c r="D19" s="34"/>
      <c r="E19" s="34"/>
      <c r="F19" s="34"/>
      <c r="G19" s="34"/>
      <c r="H19" s="34"/>
      <c r="I19" s="35" t="s">
        <v>1334</v>
      </c>
      <c r="J19" s="27"/>
      <c r="K19" s="27"/>
      <c r="L19" s="27"/>
      <c r="M19" s="27"/>
      <c r="N19" s="27"/>
      <c r="O19" s="27"/>
      <c r="P19" s="27"/>
      <c r="Q19" s="27"/>
      <c r="R19" s="17" t="s">
        <v>1524</v>
      </c>
      <c r="S19" s="34"/>
      <c r="T19" s="34"/>
      <c r="U19" s="34"/>
      <c r="V19" s="34"/>
      <c r="W19" s="34"/>
      <c r="X19" s="34"/>
      <c r="Y19" s="589" t="s">
        <v>1516</v>
      </c>
      <c r="Z19" s="590"/>
      <c r="AA19" s="591" t="s">
        <v>1517</v>
      </c>
      <c r="AB19" s="592"/>
      <c r="AC19" s="593"/>
      <c r="AD19" s="53">
        <v>5</v>
      </c>
      <c r="AE19" s="30" t="s">
        <v>1585</v>
      </c>
      <c r="AF19" s="25"/>
      <c r="AG19" s="25"/>
      <c r="AH19" s="25"/>
      <c r="AI19" s="25"/>
      <c r="AJ19" s="25"/>
      <c r="AK19" s="25"/>
      <c r="AL19" s="25"/>
      <c r="AM19" s="25"/>
      <c r="AN19" s="25"/>
      <c r="AO19" s="25"/>
      <c r="AP19" s="25"/>
      <c r="AQ19" s="25"/>
      <c r="AR19" s="25"/>
      <c r="AS19" s="35"/>
      <c r="AT19" s="36"/>
      <c r="AU19" s="36"/>
      <c r="AV19" s="36"/>
      <c r="AW19" s="36"/>
      <c r="AX19" s="36"/>
      <c r="AY19" s="36"/>
      <c r="AZ19" s="36"/>
      <c r="BA19" s="36"/>
      <c r="BB19" s="36"/>
      <c r="BC19" s="36"/>
      <c r="BD19" s="50"/>
    </row>
    <row r="20" spans="1:57" ht="14.4" customHeight="1">
      <c r="A20" s="251">
        <f>IF(B20="","",COUNTA($B$8:B20))</f>
        <v>13</v>
      </c>
      <c r="B20" s="54" t="s">
        <v>505</v>
      </c>
      <c r="C20" s="55"/>
      <c r="D20" s="55"/>
      <c r="E20" s="55"/>
      <c r="F20" s="55"/>
      <c r="G20" s="55"/>
      <c r="H20" s="55"/>
      <c r="I20" s="54" t="s">
        <v>506</v>
      </c>
      <c r="J20" s="56"/>
      <c r="K20" s="56"/>
      <c r="L20" s="56"/>
      <c r="M20" s="56"/>
      <c r="N20" s="56"/>
      <c r="O20" s="56"/>
      <c r="P20" s="56"/>
      <c r="Q20" s="56"/>
      <c r="R20" s="54" t="s">
        <v>505</v>
      </c>
      <c r="S20" s="55"/>
      <c r="T20" s="55"/>
      <c r="U20" s="55"/>
      <c r="V20" s="55"/>
      <c r="W20" s="55"/>
      <c r="X20" s="55"/>
      <c r="Y20" s="677" t="s">
        <v>1504</v>
      </c>
      <c r="Z20" s="689"/>
      <c r="AA20" s="652" t="s">
        <v>1505</v>
      </c>
      <c r="AB20" s="653"/>
      <c r="AC20" s="654"/>
      <c r="AD20" s="57">
        <v>4</v>
      </c>
      <c r="AE20" s="58"/>
      <c r="AF20" s="58"/>
      <c r="AG20" s="58"/>
      <c r="AH20" s="58"/>
      <c r="AI20" s="58"/>
      <c r="AJ20" s="58"/>
      <c r="AK20" s="58"/>
      <c r="AL20" s="58"/>
      <c r="AM20" s="58"/>
      <c r="AN20" s="58"/>
      <c r="AO20" s="58"/>
      <c r="AP20" s="58"/>
      <c r="AQ20" s="58"/>
      <c r="AR20" s="58"/>
      <c r="AS20" s="54"/>
      <c r="AT20" s="59"/>
      <c r="AU20" s="59"/>
      <c r="AV20" s="59"/>
      <c r="AW20" s="59"/>
      <c r="AX20" s="59"/>
      <c r="AY20" s="59"/>
      <c r="AZ20" s="59"/>
      <c r="BA20" s="59"/>
      <c r="BB20" s="59"/>
      <c r="BC20" s="59"/>
      <c r="BD20" s="60"/>
      <c r="BE20" s="16" t="s">
        <v>1379</v>
      </c>
    </row>
    <row r="21" spans="1:57" ht="14.4" customHeight="1">
      <c r="A21" s="252">
        <f>IF(B21="","",COUNTA($B$8:B21))</f>
        <v>14</v>
      </c>
      <c r="B21" s="253" t="s">
        <v>127</v>
      </c>
      <c r="C21" s="254"/>
      <c r="D21" s="254"/>
      <c r="E21" s="254"/>
      <c r="F21" s="254"/>
      <c r="G21" s="254"/>
      <c r="H21" s="254"/>
      <c r="I21" s="253" t="s">
        <v>709</v>
      </c>
      <c r="J21" s="255"/>
      <c r="K21" s="255"/>
      <c r="L21" s="255"/>
      <c r="M21" s="255"/>
      <c r="N21" s="255"/>
      <c r="O21" s="255"/>
      <c r="P21" s="255"/>
      <c r="Q21" s="255"/>
      <c r="R21" s="253" t="s">
        <v>127</v>
      </c>
      <c r="S21" s="254"/>
      <c r="T21" s="254"/>
      <c r="U21" s="254"/>
      <c r="V21" s="254"/>
      <c r="W21" s="254"/>
      <c r="X21" s="254"/>
      <c r="Y21" s="684" t="s">
        <v>1516</v>
      </c>
      <c r="Z21" s="685"/>
      <c r="AA21" s="686" t="s">
        <v>1517</v>
      </c>
      <c r="AB21" s="687"/>
      <c r="AC21" s="688"/>
      <c r="AD21" s="256">
        <v>7</v>
      </c>
      <c r="AE21" s="257">
        <v>2</v>
      </c>
      <c r="AF21" s="257"/>
      <c r="AG21" s="257"/>
      <c r="AH21" s="257"/>
      <c r="AI21" s="257"/>
      <c r="AJ21" s="257"/>
      <c r="AK21" s="257"/>
      <c r="AL21" s="257"/>
      <c r="AM21" s="257"/>
      <c r="AN21" s="257"/>
      <c r="AO21" s="257"/>
      <c r="AP21" s="257"/>
      <c r="AQ21" s="257"/>
      <c r="AR21" s="257"/>
      <c r="AS21" s="253"/>
      <c r="AT21" s="258"/>
      <c r="AU21" s="258"/>
      <c r="AV21" s="258"/>
      <c r="AW21" s="258"/>
      <c r="AX21" s="258"/>
      <c r="AY21" s="258"/>
      <c r="AZ21" s="258"/>
      <c r="BA21" s="258"/>
      <c r="BB21" s="258"/>
      <c r="BC21" s="258"/>
      <c r="BD21" s="259"/>
      <c r="BE21" s="16" t="s">
        <v>1379</v>
      </c>
    </row>
    <row r="22" spans="1:57" ht="14.4" customHeight="1">
      <c r="A22" s="37">
        <f>IF(B22="","",COUNTA($B$8:B22))</f>
        <v>15</v>
      </c>
      <c r="B22" s="35" t="s">
        <v>1527</v>
      </c>
      <c r="C22" s="34"/>
      <c r="D22" s="34"/>
      <c r="E22" s="34"/>
      <c r="F22" s="34"/>
      <c r="G22" s="34"/>
      <c r="H22" s="34"/>
      <c r="I22" s="35" t="s">
        <v>1448</v>
      </c>
      <c r="J22" s="27"/>
      <c r="K22" s="27"/>
      <c r="L22" s="27"/>
      <c r="M22" s="27"/>
      <c r="N22" s="27"/>
      <c r="O22" s="27"/>
      <c r="P22" s="27"/>
      <c r="Q22" s="27"/>
      <c r="R22" s="35" t="s">
        <v>1337</v>
      </c>
      <c r="S22" s="34"/>
      <c r="T22" s="34"/>
      <c r="U22" s="34"/>
      <c r="V22" s="34"/>
      <c r="W22" s="34"/>
      <c r="X22" s="34"/>
      <c r="Y22" s="589" t="s">
        <v>1504</v>
      </c>
      <c r="Z22" s="590"/>
      <c r="AA22" s="591" t="s">
        <v>1505</v>
      </c>
      <c r="AB22" s="592"/>
      <c r="AC22" s="593"/>
      <c r="AD22" s="53">
        <v>50</v>
      </c>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7" ht="14.4" customHeight="1">
      <c r="A23" s="37">
        <f>IF(B23="","",COUNTA($B$8:B23))</f>
        <v>16</v>
      </c>
      <c r="B23" s="35" t="s">
        <v>1532</v>
      </c>
      <c r="C23" s="34"/>
      <c r="D23" s="34"/>
      <c r="E23" s="34"/>
      <c r="F23" s="34"/>
      <c r="G23" s="34"/>
      <c r="H23" s="34"/>
      <c r="I23" s="35" t="s">
        <v>1455</v>
      </c>
      <c r="J23" s="27"/>
      <c r="K23" s="27"/>
      <c r="L23" s="27"/>
      <c r="M23" s="27"/>
      <c r="N23" s="27"/>
      <c r="O23" s="27"/>
      <c r="P23" s="27"/>
      <c r="Q23" s="27"/>
      <c r="R23" s="35" t="s">
        <v>1338</v>
      </c>
      <c r="S23" s="34"/>
      <c r="T23" s="34"/>
      <c r="U23" s="34"/>
      <c r="V23" s="34"/>
      <c r="W23" s="34"/>
      <c r="X23" s="34"/>
      <c r="Y23" s="589" t="s">
        <v>1504</v>
      </c>
      <c r="Z23" s="590"/>
      <c r="AA23" s="591" t="s">
        <v>1505</v>
      </c>
      <c r="AB23" s="592"/>
      <c r="AC23" s="593"/>
      <c r="AD23" s="53">
        <v>50</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7" ht="14.4" customHeight="1">
      <c r="A24" s="37">
        <f>IF(B24="","",COUNTA($B$8:B24))</f>
        <v>17</v>
      </c>
      <c r="B24" s="17" t="s">
        <v>1528</v>
      </c>
      <c r="C24" s="34"/>
      <c r="D24" s="34"/>
      <c r="E24" s="34"/>
      <c r="F24" s="34"/>
      <c r="G24" s="34"/>
      <c r="H24" s="34"/>
      <c r="I24" s="35" t="s">
        <v>1449</v>
      </c>
      <c r="J24" s="27"/>
      <c r="K24" s="27"/>
      <c r="L24" s="27"/>
      <c r="M24" s="27"/>
      <c r="N24" s="27"/>
      <c r="O24" s="27"/>
      <c r="P24" s="27"/>
      <c r="Q24" s="27"/>
      <c r="R24" s="35" t="s">
        <v>1528</v>
      </c>
      <c r="S24" s="34"/>
      <c r="T24" s="34"/>
      <c r="U24" s="34"/>
      <c r="V24" s="34"/>
      <c r="W24" s="34"/>
      <c r="X24" s="34"/>
      <c r="Y24" s="17" t="s">
        <v>1504</v>
      </c>
      <c r="Z24" s="28"/>
      <c r="AA24" s="591" t="s">
        <v>1505</v>
      </c>
      <c r="AB24" s="592"/>
      <c r="AC24" s="593"/>
      <c r="AD24" s="53">
        <v>10</v>
      </c>
      <c r="AE24" s="25"/>
      <c r="AF24" s="25"/>
      <c r="AG24" s="25"/>
      <c r="AH24" s="25"/>
      <c r="AI24" s="25"/>
      <c r="AJ24" s="25"/>
      <c r="AK24" s="25"/>
      <c r="AL24" s="25"/>
      <c r="AM24" s="25"/>
      <c r="AN24" s="25"/>
      <c r="AO24" s="25"/>
      <c r="AP24" s="25"/>
      <c r="AQ24" s="25"/>
      <c r="AR24" s="25"/>
      <c r="AS24" s="26"/>
      <c r="AT24" s="51"/>
      <c r="AU24" s="51"/>
      <c r="AV24" s="51"/>
      <c r="AW24" s="51"/>
      <c r="AX24" s="51"/>
      <c r="AY24" s="51"/>
      <c r="AZ24" s="51"/>
      <c r="BA24" s="51"/>
      <c r="BB24" s="51"/>
      <c r="BC24" s="51"/>
      <c r="BD24" s="52"/>
    </row>
    <row r="25" spans="1:57" ht="14.4" customHeight="1">
      <c r="A25" s="37">
        <f>IF(B25="","",COUNTA($B$8:B25))</f>
        <v>18</v>
      </c>
      <c r="B25" s="17" t="s">
        <v>1506</v>
      </c>
      <c r="C25" s="34"/>
      <c r="D25" s="34"/>
      <c r="E25" s="34"/>
      <c r="F25" s="34"/>
      <c r="G25" s="34"/>
      <c r="H25" s="34"/>
      <c r="I25" s="35" t="s">
        <v>1395</v>
      </c>
      <c r="J25" s="27"/>
      <c r="K25" s="27"/>
      <c r="L25" s="27"/>
      <c r="M25" s="27"/>
      <c r="N25" s="27"/>
      <c r="O25" s="27"/>
      <c r="P25" s="27"/>
      <c r="Q25" s="27"/>
      <c r="R25" s="35" t="s">
        <v>589</v>
      </c>
      <c r="S25" s="34"/>
      <c r="T25" s="34"/>
      <c r="U25" s="34"/>
      <c r="V25" s="34"/>
      <c r="W25" s="34"/>
      <c r="X25" s="34"/>
      <c r="Y25" s="589" t="s">
        <v>1504</v>
      </c>
      <c r="Z25" s="590"/>
      <c r="AA25" s="591" t="s">
        <v>1505</v>
      </c>
      <c r="AB25" s="592"/>
      <c r="AC25" s="593"/>
      <c r="AD25" s="53">
        <v>3</v>
      </c>
      <c r="AE25" s="25"/>
      <c r="AF25" s="25"/>
      <c r="AG25" s="25"/>
      <c r="AH25" s="25"/>
      <c r="AI25" s="25"/>
      <c r="AJ25" s="25"/>
      <c r="AK25" s="25"/>
      <c r="AL25" s="25"/>
      <c r="AM25" s="25"/>
      <c r="AN25" s="25"/>
      <c r="AO25" s="25"/>
      <c r="AP25" s="25"/>
      <c r="AQ25" s="25"/>
      <c r="AR25" s="25"/>
      <c r="AS25" s="26"/>
      <c r="AT25" s="51"/>
      <c r="AU25" s="51"/>
      <c r="AV25" s="51"/>
      <c r="AW25" s="51"/>
      <c r="AX25" s="51"/>
      <c r="AY25" s="51"/>
      <c r="AZ25" s="51"/>
      <c r="BA25" s="51"/>
      <c r="BB25" s="51"/>
      <c r="BC25" s="51"/>
      <c r="BD25" s="52"/>
    </row>
    <row r="26" spans="1:57" ht="14.4" customHeight="1">
      <c r="A26" s="37">
        <f>IF(B26="","",COUNTA($B$8:B26))</f>
        <v>19</v>
      </c>
      <c r="B26" s="17" t="s">
        <v>1690</v>
      </c>
      <c r="C26" s="34"/>
      <c r="D26" s="34"/>
      <c r="E26" s="34"/>
      <c r="F26" s="34"/>
      <c r="G26" s="34"/>
      <c r="H26" s="34"/>
      <c r="I26" s="35" t="s">
        <v>1450</v>
      </c>
      <c r="J26" s="27"/>
      <c r="K26" s="27"/>
      <c r="L26" s="27"/>
      <c r="M26" s="27"/>
      <c r="N26" s="27"/>
      <c r="O26" s="27"/>
      <c r="P26" s="27"/>
      <c r="Q26" s="27"/>
      <c r="R26" s="35" t="s">
        <v>1690</v>
      </c>
      <c r="S26" s="34"/>
      <c r="T26" s="34"/>
      <c r="U26" s="34"/>
      <c r="V26" s="34"/>
      <c r="W26" s="34"/>
      <c r="X26" s="34"/>
      <c r="Y26" s="589" t="s">
        <v>1504</v>
      </c>
      <c r="Z26" s="590"/>
      <c r="AA26" s="591" t="s">
        <v>1505</v>
      </c>
      <c r="AB26" s="592"/>
      <c r="AC26" s="593"/>
      <c r="AD26" s="53">
        <v>10</v>
      </c>
      <c r="AE26" s="25"/>
      <c r="AF26" s="25"/>
      <c r="AG26" s="25"/>
      <c r="AH26" s="25"/>
      <c r="AI26" s="25"/>
      <c r="AJ26" s="25"/>
      <c r="AK26" s="25"/>
      <c r="AL26" s="25"/>
      <c r="AM26" s="25"/>
      <c r="AN26" s="25"/>
      <c r="AO26" s="25"/>
      <c r="AP26" s="25"/>
      <c r="AQ26" s="25"/>
      <c r="AR26" s="25"/>
      <c r="AS26" s="26"/>
      <c r="AT26" s="51"/>
      <c r="AU26" s="51"/>
      <c r="AV26" s="51"/>
      <c r="AW26" s="51"/>
      <c r="AX26" s="51"/>
      <c r="AY26" s="51"/>
      <c r="AZ26" s="51"/>
      <c r="BA26" s="51"/>
      <c r="BB26" s="51"/>
      <c r="BC26" s="51"/>
      <c r="BD26" s="52"/>
    </row>
    <row r="27" spans="1:57" ht="14.4" customHeight="1">
      <c r="A27" s="37">
        <f>IF(B27="","",COUNTA($B$8:B27))</f>
        <v>20</v>
      </c>
      <c r="B27" s="17" t="s">
        <v>1302</v>
      </c>
      <c r="C27" s="34"/>
      <c r="D27" s="34"/>
      <c r="E27" s="34"/>
      <c r="F27" s="34"/>
      <c r="G27" s="34"/>
      <c r="H27" s="34"/>
      <c r="I27" s="35" t="s">
        <v>624</v>
      </c>
      <c r="J27" s="27"/>
      <c r="K27" s="27"/>
      <c r="L27" s="27"/>
      <c r="M27" s="27"/>
      <c r="N27" s="27"/>
      <c r="O27" s="27"/>
      <c r="P27" s="27"/>
      <c r="Q27" s="27"/>
      <c r="R27" s="17" t="s">
        <v>1302</v>
      </c>
      <c r="S27" s="34"/>
      <c r="T27" s="34"/>
      <c r="U27" s="34"/>
      <c r="V27" s="34"/>
      <c r="W27" s="34"/>
      <c r="X27" s="34"/>
      <c r="Y27" s="589" t="s">
        <v>1504</v>
      </c>
      <c r="Z27" s="590"/>
      <c r="AA27" s="591" t="s">
        <v>1505</v>
      </c>
      <c r="AB27" s="592"/>
      <c r="AC27" s="593"/>
      <c r="AD27" s="23">
        <v>10</v>
      </c>
      <c r="AE27" s="25"/>
      <c r="AF27" s="25"/>
      <c r="AG27" s="25"/>
      <c r="AH27" s="25"/>
      <c r="AI27" s="25"/>
      <c r="AJ27" s="25"/>
      <c r="AK27" s="25"/>
      <c r="AL27" s="25"/>
      <c r="AM27" s="25"/>
      <c r="AN27" s="25"/>
      <c r="AO27" s="25"/>
      <c r="AP27" s="25"/>
      <c r="AQ27" s="25"/>
      <c r="AR27" s="25"/>
      <c r="AS27" s="26"/>
      <c r="AT27" s="51"/>
      <c r="AU27" s="51"/>
      <c r="AV27" s="51"/>
      <c r="AW27" s="51"/>
      <c r="AX27" s="51"/>
      <c r="AY27" s="51"/>
      <c r="AZ27" s="51"/>
      <c r="BA27" s="51"/>
      <c r="BB27" s="51"/>
      <c r="BC27" s="51"/>
      <c r="BD27" s="52"/>
    </row>
    <row r="28" spans="1:57" ht="14.4" customHeight="1">
      <c r="A28" s="37">
        <f>IF(B28="","",COUNTA($B$8:B28))</f>
        <v>21</v>
      </c>
      <c r="B28" s="17" t="s">
        <v>1508</v>
      </c>
      <c r="C28" s="18"/>
      <c r="D28" s="18"/>
      <c r="E28" s="18"/>
      <c r="F28" s="18"/>
      <c r="G28" s="18"/>
      <c r="H28" s="18"/>
      <c r="I28" s="35" t="s">
        <v>624</v>
      </c>
      <c r="J28" s="20"/>
      <c r="K28" s="20"/>
      <c r="L28" s="20"/>
      <c r="M28" s="20"/>
      <c r="N28" s="20"/>
      <c r="O28" s="20"/>
      <c r="P28" s="20"/>
      <c r="Q28" s="20"/>
      <c r="R28" s="17" t="s">
        <v>1508</v>
      </c>
      <c r="S28" s="18"/>
      <c r="T28" s="18"/>
      <c r="U28" s="18"/>
      <c r="V28" s="18"/>
      <c r="W28" s="18"/>
      <c r="X28" s="18"/>
      <c r="Y28" s="589" t="s">
        <v>1504</v>
      </c>
      <c r="Z28" s="590"/>
      <c r="AA28" s="591" t="s">
        <v>1505</v>
      </c>
      <c r="AB28" s="592"/>
      <c r="AC28" s="593"/>
      <c r="AD28" s="23">
        <v>10</v>
      </c>
      <c r="AE28" s="25"/>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7" ht="14.4" customHeight="1">
      <c r="A29" s="37">
        <f>IF(B29="","",COUNTA($B$8:B29))</f>
        <v>22</v>
      </c>
      <c r="B29" s="17" t="s">
        <v>1509</v>
      </c>
      <c r="C29" s="18"/>
      <c r="D29" s="18"/>
      <c r="E29" s="18"/>
      <c r="F29" s="18"/>
      <c r="G29" s="18"/>
      <c r="H29" s="18"/>
      <c r="I29" s="35" t="s">
        <v>548</v>
      </c>
      <c r="J29" s="20"/>
      <c r="K29" s="20"/>
      <c r="L29" s="20"/>
      <c r="M29" s="20"/>
      <c r="N29" s="20"/>
      <c r="O29" s="20"/>
      <c r="P29" s="20"/>
      <c r="Q29" s="20"/>
      <c r="R29" s="17" t="s">
        <v>1509</v>
      </c>
      <c r="S29" s="18"/>
      <c r="T29" s="18"/>
      <c r="U29" s="18"/>
      <c r="V29" s="18"/>
      <c r="W29" s="18"/>
      <c r="X29" s="18"/>
      <c r="Y29" s="589" t="s">
        <v>1510</v>
      </c>
      <c r="Z29" s="590"/>
      <c r="AA29" s="591" t="s">
        <v>1511</v>
      </c>
      <c r="AB29" s="592"/>
      <c r="AC29" s="593"/>
      <c r="AD29" s="38"/>
      <c r="AE29" s="25"/>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7" ht="14.4" customHeight="1">
      <c r="A30" s="37">
        <f>IF(B30="","",COUNTA($B$8:B30))</f>
        <v>23</v>
      </c>
      <c r="B30" s="17" t="s">
        <v>1306</v>
      </c>
      <c r="C30" s="18"/>
      <c r="D30" s="18"/>
      <c r="E30" s="18"/>
      <c r="F30" s="18"/>
      <c r="G30" s="18"/>
      <c r="H30" s="18"/>
      <c r="I30" s="35" t="s">
        <v>626</v>
      </c>
      <c r="J30" s="20"/>
      <c r="K30" s="20"/>
      <c r="L30" s="20"/>
      <c r="M30" s="20"/>
      <c r="N30" s="20"/>
      <c r="O30" s="20"/>
      <c r="P30" s="20"/>
      <c r="Q30" s="20"/>
      <c r="R30" s="17" t="s">
        <v>1306</v>
      </c>
      <c r="S30" s="18"/>
      <c r="T30" s="18"/>
      <c r="U30" s="18"/>
      <c r="V30" s="18"/>
      <c r="W30" s="18"/>
      <c r="X30" s="18"/>
      <c r="Y30" s="589" t="s">
        <v>1504</v>
      </c>
      <c r="Z30" s="590"/>
      <c r="AA30" s="591" t="s">
        <v>1505</v>
      </c>
      <c r="AB30" s="592"/>
      <c r="AC30" s="593"/>
      <c r="AD30" s="23">
        <v>10</v>
      </c>
      <c r="AE30" s="25"/>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7" ht="14.4" customHeight="1">
      <c r="A31" s="37">
        <f>IF(B31="","",COUNTA($B$8:B31))</f>
        <v>24</v>
      </c>
      <c r="B31" s="17" t="s">
        <v>1512</v>
      </c>
      <c r="C31" s="18"/>
      <c r="D31" s="18"/>
      <c r="E31" s="18"/>
      <c r="F31" s="18"/>
      <c r="G31" s="18"/>
      <c r="H31" s="18"/>
      <c r="I31" s="35" t="s">
        <v>390</v>
      </c>
      <c r="J31" s="20"/>
      <c r="K31" s="20"/>
      <c r="L31" s="20"/>
      <c r="M31" s="20"/>
      <c r="N31" s="20"/>
      <c r="O31" s="20"/>
      <c r="P31" s="20"/>
      <c r="Q31" s="20"/>
      <c r="R31" s="17" t="s">
        <v>1512</v>
      </c>
      <c r="S31" s="18"/>
      <c r="T31" s="18"/>
      <c r="U31" s="18"/>
      <c r="V31" s="18"/>
      <c r="W31" s="18"/>
      <c r="X31" s="18"/>
      <c r="Y31" s="589" t="s">
        <v>1504</v>
      </c>
      <c r="Z31" s="590"/>
      <c r="AA31" s="591" t="s">
        <v>1505</v>
      </c>
      <c r="AB31" s="592"/>
      <c r="AC31" s="593"/>
      <c r="AD31" s="38">
        <v>10</v>
      </c>
      <c r="AE31" s="30" t="s">
        <v>1585</v>
      </c>
      <c r="AF31" s="30"/>
      <c r="AG31" s="30"/>
      <c r="AH31" s="30"/>
      <c r="AI31" s="30"/>
      <c r="AJ31" s="30"/>
      <c r="AK31" s="30"/>
      <c r="AL31" s="30"/>
      <c r="AM31" s="30"/>
      <c r="AN31" s="30"/>
      <c r="AO31" s="31"/>
      <c r="AP31" s="31"/>
      <c r="AQ31" s="31"/>
      <c r="AR31" s="31"/>
      <c r="AS31" s="32"/>
      <c r="AT31" s="33"/>
      <c r="AU31" s="51"/>
      <c r="AV31" s="51"/>
      <c r="AW31" s="51"/>
      <c r="AX31" s="51"/>
      <c r="AY31" s="51"/>
      <c r="AZ31" s="51"/>
      <c r="BA31" s="51"/>
      <c r="BB31" s="51"/>
      <c r="BC31" s="51"/>
      <c r="BD31" s="52"/>
    </row>
    <row r="32" spans="1:57" ht="14.4" customHeight="1">
      <c r="A32" s="37">
        <f>IF(B32="","",COUNTA($B$8:B32))</f>
        <v>25</v>
      </c>
      <c r="B32" s="17" t="s">
        <v>1513</v>
      </c>
      <c r="C32" s="18"/>
      <c r="D32" s="18"/>
      <c r="E32" s="18"/>
      <c r="F32" s="18"/>
      <c r="G32" s="18"/>
      <c r="H32" s="18"/>
      <c r="I32" s="35" t="s">
        <v>394</v>
      </c>
      <c r="J32" s="20"/>
      <c r="K32" s="20"/>
      <c r="L32" s="20"/>
      <c r="M32" s="20"/>
      <c r="N32" s="20"/>
      <c r="O32" s="20"/>
      <c r="P32" s="20"/>
      <c r="Q32" s="20"/>
      <c r="R32" s="17" t="s">
        <v>1513</v>
      </c>
      <c r="S32" s="18"/>
      <c r="T32" s="18"/>
      <c r="U32" s="18"/>
      <c r="V32" s="18"/>
      <c r="W32" s="18"/>
      <c r="X32" s="18"/>
      <c r="Y32" s="589" t="s">
        <v>1510</v>
      </c>
      <c r="Z32" s="590"/>
      <c r="AA32" s="591" t="s">
        <v>1511</v>
      </c>
      <c r="AB32" s="592"/>
      <c r="AC32" s="593"/>
      <c r="AD32" s="38"/>
      <c r="AE32" s="30" t="s">
        <v>1585</v>
      </c>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4.4" customHeight="1">
      <c r="A33" s="37" t="str">
        <f>IF(B33="","",COUNTA($B$8:B33))</f>
        <v/>
      </c>
      <c r="B33" s="17"/>
      <c r="C33" s="18"/>
      <c r="D33" s="18"/>
      <c r="E33" s="18"/>
      <c r="F33" s="18"/>
      <c r="G33" s="18"/>
      <c r="H33" s="18"/>
      <c r="I33" s="19"/>
      <c r="J33" s="20"/>
      <c r="K33" s="20"/>
      <c r="L33" s="20"/>
      <c r="M33" s="20"/>
      <c r="N33" s="20"/>
      <c r="O33" s="20"/>
      <c r="P33" s="20"/>
      <c r="Q33" s="20"/>
      <c r="R33" s="17"/>
      <c r="S33" s="18"/>
      <c r="T33" s="18"/>
      <c r="U33" s="18"/>
      <c r="V33" s="18"/>
      <c r="W33" s="18"/>
      <c r="X33" s="18"/>
      <c r="Y33" s="17"/>
      <c r="Z33" s="28"/>
      <c r="AA33" s="21"/>
      <c r="AB33" s="22"/>
      <c r="AC33" s="29"/>
      <c r="AD33" s="38"/>
      <c r="AE33" s="30"/>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4.4" customHeight="1">
      <c r="A34" s="37" t="str">
        <f>IF(B34="","",COUNTA($B$8:B34))</f>
        <v/>
      </c>
      <c r="B34" s="17"/>
      <c r="C34" s="18"/>
      <c r="D34" s="18"/>
      <c r="E34" s="18"/>
      <c r="F34" s="18"/>
      <c r="G34" s="18"/>
      <c r="H34" s="18"/>
      <c r="I34" s="19"/>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 customHeight="1">
      <c r="A35" s="37" t="str">
        <f>IF(B35="","",COUNTA($B$8:B35))</f>
        <v/>
      </c>
      <c r="B35" s="17"/>
      <c r="C35" s="18"/>
      <c r="D35" s="18"/>
      <c r="E35" s="18"/>
      <c r="F35" s="18"/>
      <c r="G35" s="18"/>
      <c r="H35" s="18"/>
      <c r="I35" s="19"/>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 customHeight="1">
      <c r="A36" s="37" t="str">
        <f>IF(B36="","",COUNTA($B$8:B36))</f>
        <v/>
      </c>
      <c r="B36" s="17"/>
      <c r="C36" s="18"/>
      <c r="D36" s="18"/>
      <c r="E36" s="18"/>
      <c r="F36" s="18"/>
      <c r="G36" s="18"/>
      <c r="H36" s="18"/>
      <c r="I36" s="19"/>
      <c r="J36" s="20"/>
      <c r="K36" s="20"/>
      <c r="L36" s="20"/>
      <c r="M36" s="20"/>
      <c r="N36" s="20"/>
      <c r="O36" s="20"/>
      <c r="P36" s="20"/>
      <c r="Q36" s="20"/>
      <c r="R36" s="17"/>
      <c r="S36" s="18"/>
      <c r="T36" s="18"/>
      <c r="U36" s="18"/>
      <c r="V36" s="18"/>
      <c r="W36" s="18"/>
      <c r="X36" s="18"/>
      <c r="Y36" s="17"/>
      <c r="Z36" s="28"/>
      <c r="AA36" s="21"/>
      <c r="AB36" s="22"/>
      <c r="AC36" s="29"/>
      <c r="AD36" s="38"/>
      <c r="AE36" s="30"/>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4.4" customHeight="1">
      <c r="A37" s="37" t="str">
        <f>IF(B37="","",COUNTA($B$8:B37))</f>
        <v/>
      </c>
      <c r="B37" s="17"/>
      <c r="C37" s="18"/>
      <c r="D37" s="18"/>
      <c r="E37" s="18"/>
      <c r="F37" s="18"/>
      <c r="G37" s="18"/>
      <c r="H37" s="18"/>
      <c r="I37" s="19"/>
      <c r="J37" s="20"/>
      <c r="K37" s="20"/>
      <c r="L37" s="20"/>
      <c r="M37" s="20"/>
      <c r="N37" s="20"/>
      <c r="O37" s="20"/>
      <c r="P37" s="20"/>
      <c r="Q37" s="20"/>
      <c r="R37" s="17"/>
      <c r="S37" s="18"/>
      <c r="T37" s="18"/>
      <c r="U37" s="18"/>
      <c r="V37" s="18"/>
      <c r="W37" s="18"/>
      <c r="X37" s="18"/>
      <c r="Y37" s="17"/>
      <c r="Z37" s="28"/>
      <c r="AA37" s="21"/>
      <c r="AB37" s="22"/>
      <c r="AC37" s="29"/>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4.4" customHeight="1">
      <c r="A38" s="37" t="str">
        <f>IF(B38="","",COUNTA($B$8:B38))</f>
        <v/>
      </c>
      <c r="B38" s="17"/>
      <c r="C38" s="18"/>
      <c r="D38" s="18"/>
      <c r="E38" s="18"/>
      <c r="F38" s="18"/>
      <c r="G38" s="18"/>
      <c r="H38" s="18"/>
      <c r="I38" s="19"/>
      <c r="J38" s="20"/>
      <c r="K38" s="20"/>
      <c r="L38" s="20"/>
      <c r="M38" s="20"/>
      <c r="N38" s="20"/>
      <c r="O38" s="20"/>
      <c r="P38" s="20"/>
      <c r="Q38" s="20"/>
      <c r="R38" s="17"/>
      <c r="S38" s="18"/>
      <c r="T38" s="18"/>
      <c r="U38" s="18"/>
      <c r="V38" s="18"/>
      <c r="W38" s="18"/>
      <c r="X38" s="18"/>
      <c r="Y38" s="17"/>
      <c r="Z38" s="28"/>
      <c r="AA38" s="21"/>
      <c r="AB38" s="22"/>
      <c r="AC38" s="29"/>
      <c r="AD38" s="38"/>
      <c r="AE38" s="30"/>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4.4" customHeight="1">
      <c r="A39" s="37" t="str">
        <f>IF(B39="","",COUNTA($B$8:B39))</f>
        <v/>
      </c>
      <c r="B39" s="17"/>
      <c r="C39" s="18"/>
      <c r="D39" s="18"/>
      <c r="E39" s="18"/>
      <c r="F39" s="18"/>
      <c r="G39" s="18"/>
      <c r="H39" s="18"/>
      <c r="I39" s="19"/>
      <c r="J39" s="20"/>
      <c r="K39" s="20"/>
      <c r="L39" s="20"/>
      <c r="M39" s="20"/>
      <c r="N39" s="20"/>
      <c r="O39" s="20"/>
      <c r="P39" s="20"/>
      <c r="Q39" s="20"/>
      <c r="R39" s="17"/>
      <c r="S39" s="18"/>
      <c r="T39" s="18"/>
      <c r="U39" s="18"/>
      <c r="V39" s="18"/>
      <c r="W39" s="18"/>
      <c r="X39" s="18"/>
      <c r="Y39" s="17"/>
      <c r="Z39" s="28"/>
      <c r="AA39" s="21"/>
      <c r="AB39" s="22"/>
      <c r="AC39" s="29"/>
      <c r="AD39" s="38"/>
      <c r="AE39" s="30"/>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4.4" customHeight="1">
      <c r="A40" s="37" t="str">
        <f>IF(B40="","",COUNTA($B$8:B40))</f>
        <v/>
      </c>
      <c r="B40" s="17"/>
      <c r="C40" s="18"/>
      <c r="D40" s="18"/>
      <c r="E40" s="18"/>
      <c r="F40" s="18"/>
      <c r="G40" s="18"/>
      <c r="H40" s="18"/>
      <c r="I40" s="19"/>
      <c r="J40" s="20"/>
      <c r="K40" s="20"/>
      <c r="L40" s="20"/>
      <c r="M40" s="20"/>
      <c r="N40" s="20"/>
      <c r="O40" s="20"/>
      <c r="P40" s="20"/>
      <c r="Q40" s="20"/>
      <c r="R40" s="17"/>
      <c r="S40" s="18"/>
      <c r="T40" s="18"/>
      <c r="U40" s="18"/>
      <c r="V40" s="18"/>
      <c r="W40" s="18"/>
      <c r="X40" s="18"/>
      <c r="Y40" s="17"/>
      <c r="Z40" s="28"/>
      <c r="AA40" s="21"/>
      <c r="AB40" s="22"/>
      <c r="AC40" s="29"/>
      <c r="AD40" s="38"/>
      <c r="AE40" s="30"/>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4.4" customHeight="1">
      <c r="A41" s="37" t="str">
        <f>IF(B41="","",COUNTA($B$8:B41))</f>
        <v/>
      </c>
      <c r="B41" s="26"/>
      <c r="C41" s="34"/>
      <c r="D41" s="34"/>
      <c r="E41" s="34"/>
      <c r="F41" s="34"/>
      <c r="G41" s="34"/>
      <c r="H41" s="34"/>
      <c r="I41" s="19"/>
      <c r="J41" s="27"/>
      <c r="K41" s="27"/>
      <c r="L41" s="27"/>
      <c r="M41" s="27"/>
      <c r="N41" s="27"/>
      <c r="O41" s="27"/>
      <c r="P41" s="27"/>
      <c r="Q41" s="27"/>
      <c r="R41" s="26"/>
      <c r="S41" s="34"/>
      <c r="T41" s="34"/>
      <c r="U41" s="34"/>
      <c r="V41" s="34"/>
      <c r="W41" s="34"/>
      <c r="X41" s="34"/>
      <c r="Y41" s="589"/>
      <c r="Z41" s="590"/>
      <c r="AA41" s="591"/>
      <c r="AB41" s="592"/>
      <c r="AC41" s="593"/>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 customHeight="1">
      <c r="A42" s="37" t="str">
        <f>IF(B42="","",COUNTA($B$8:B42))</f>
        <v/>
      </c>
      <c r="B42" s="26"/>
      <c r="C42" s="34"/>
      <c r="D42" s="34"/>
      <c r="E42" s="34"/>
      <c r="F42" s="34"/>
      <c r="G42" s="34"/>
      <c r="H42" s="34"/>
      <c r="I42" s="19"/>
      <c r="J42" s="27"/>
      <c r="K42" s="27"/>
      <c r="L42" s="27"/>
      <c r="M42" s="27"/>
      <c r="N42" s="27"/>
      <c r="O42" s="27"/>
      <c r="P42" s="27"/>
      <c r="Q42" s="27"/>
      <c r="R42" s="26"/>
      <c r="S42" s="34"/>
      <c r="T42" s="34"/>
      <c r="U42" s="34"/>
      <c r="V42" s="34"/>
      <c r="W42" s="34"/>
      <c r="X42" s="34"/>
      <c r="Y42" s="589"/>
      <c r="Z42" s="590"/>
      <c r="AA42" s="591"/>
      <c r="AB42" s="592"/>
      <c r="AC42" s="593"/>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 customHeight="1">
      <c r="A43" s="37" t="str">
        <f>IF(B43="","",COUNTA($B$8:B43))</f>
        <v/>
      </c>
      <c r="B43" s="26"/>
      <c r="C43" s="34"/>
      <c r="D43" s="34"/>
      <c r="E43" s="34"/>
      <c r="F43" s="34"/>
      <c r="G43" s="34"/>
      <c r="H43" s="34"/>
      <c r="I43" s="19"/>
      <c r="J43" s="27"/>
      <c r="K43" s="27"/>
      <c r="L43" s="27"/>
      <c r="M43" s="27"/>
      <c r="N43" s="27"/>
      <c r="O43" s="27"/>
      <c r="P43" s="27"/>
      <c r="Q43" s="27"/>
      <c r="R43" s="26"/>
      <c r="S43" s="34"/>
      <c r="T43" s="34"/>
      <c r="U43" s="34"/>
      <c r="V43" s="34"/>
      <c r="W43" s="34"/>
      <c r="X43" s="34"/>
      <c r="Y43" s="589"/>
      <c r="Z43" s="590"/>
      <c r="AA43" s="591"/>
      <c r="AB43" s="592"/>
      <c r="AC43" s="593"/>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 customHeight="1">
      <c r="A44" s="37" t="str">
        <f>IF(B44="","",COUNTA($B$8:B44))</f>
        <v/>
      </c>
      <c r="B44" s="26"/>
      <c r="C44" s="34"/>
      <c r="D44" s="34"/>
      <c r="E44" s="34"/>
      <c r="F44" s="34"/>
      <c r="G44" s="34"/>
      <c r="H44" s="34"/>
      <c r="I44" s="19"/>
      <c r="J44" s="27"/>
      <c r="K44" s="27"/>
      <c r="L44" s="27"/>
      <c r="M44" s="27"/>
      <c r="N44" s="27"/>
      <c r="O44" s="27"/>
      <c r="P44" s="27"/>
      <c r="Q44" s="27"/>
      <c r="R44" s="26"/>
      <c r="S44" s="34"/>
      <c r="T44" s="34"/>
      <c r="U44" s="34"/>
      <c r="V44" s="34"/>
      <c r="W44" s="34"/>
      <c r="X44" s="34"/>
      <c r="Y44" s="589"/>
      <c r="Z44" s="590"/>
      <c r="AA44" s="591"/>
      <c r="AB44" s="592"/>
      <c r="AC44" s="593"/>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 customHeight="1">
      <c r="A45" s="37" t="str">
        <f>IF(B45="","",COUNTA($B$8:B45))</f>
        <v/>
      </c>
      <c r="B45" s="26"/>
      <c r="C45" s="34"/>
      <c r="D45" s="34"/>
      <c r="E45" s="34"/>
      <c r="F45" s="34"/>
      <c r="G45" s="34"/>
      <c r="H45" s="34"/>
      <c r="I45" s="19"/>
      <c r="J45" s="27"/>
      <c r="K45" s="27"/>
      <c r="L45" s="27"/>
      <c r="M45" s="27"/>
      <c r="N45" s="27"/>
      <c r="O45" s="27"/>
      <c r="P45" s="27"/>
      <c r="Q45" s="27"/>
      <c r="R45" s="26"/>
      <c r="S45" s="34"/>
      <c r="T45" s="34"/>
      <c r="U45" s="34"/>
      <c r="V45" s="34"/>
      <c r="W45" s="34"/>
      <c r="X45" s="34"/>
      <c r="Y45" s="589"/>
      <c r="Z45" s="590"/>
      <c r="AA45" s="591"/>
      <c r="AB45" s="592"/>
      <c r="AC45" s="593"/>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 customHeight="1">
      <c r="A46" s="37" t="str">
        <f>IF(B46="","",COUNTA($B$8:B46))</f>
        <v/>
      </c>
      <c r="B46" s="26"/>
      <c r="C46" s="34"/>
      <c r="D46" s="34"/>
      <c r="E46" s="34"/>
      <c r="F46" s="34"/>
      <c r="G46" s="34"/>
      <c r="H46" s="34"/>
      <c r="I46" s="19"/>
      <c r="J46" s="27"/>
      <c r="K46" s="27"/>
      <c r="L46" s="27"/>
      <c r="M46" s="27"/>
      <c r="N46" s="27"/>
      <c r="O46" s="27"/>
      <c r="P46" s="27"/>
      <c r="Q46" s="27"/>
      <c r="R46" s="26"/>
      <c r="S46" s="34"/>
      <c r="T46" s="34"/>
      <c r="U46" s="34"/>
      <c r="V46" s="34"/>
      <c r="W46" s="34"/>
      <c r="X46" s="34"/>
      <c r="Y46" s="589"/>
      <c r="Z46" s="590"/>
      <c r="AA46" s="591"/>
      <c r="AB46" s="592"/>
      <c r="AC46" s="593"/>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91">
    <mergeCell ref="Y41:Z41"/>
    <mergeCell ref="AA41:AC41"/>
    <mergeCell ref="AA9:AC9"/>
    <mergeCell ref="Y30:Z30"/>
    <mergeCell ref="AA30:AC30"/>
    <mergeCell ref="Y31:Z31"/>
    <mergeCell ref="AA31:AC31"/>
    <mergeCell ref="Y32:Z32"/>
    <mergeCell ref="AA32:AC32"/>
    <mergeCell ref="Y27:Z27"/>
    <mergeCell ref="AA27:AC27"/>
    <mergeCell ref="Y28:Z28"/>
    <mergeCell ref="AA28:AC28"/>
    <mergeCell ref="Y29:Z29"/>
    <mergeCell ref="AA29:AC29"/>
    <mergeCell ref="AA24:AC24"/>
    <mergeCell ref="Y25:Z25"/>
    <mergeCell ref="AA25:AC25"/>
    <mergeCell ref="Y26:Z26"/>
    <mergeCell ref="AA26:AC26"/>
    <mergeCell ref="Y19:Z19"/>
    <mergeCell ref="AA19:AC19"/>
    <mergeCell ref="Y22:Z22"/>
    <mergeCell ref="AA22:AC22"/>
    <mergeCell ref="Y23:Z23"/>
    <mergeCell ref="AA23:AC23"/>
    <mergeCell ref="Y21:Z21"/>
    <mergeCell ref="AA21:AC21"/>
    <mergeCell ref="Y20:Z20"/>
    <mergeCell ref="AA20:AC20"/>
    <mergeCell ref="Y16:Z16"/>
    <mergeCell ref="AA16:AC16"/>
    <mergeCell ref="Y17:Z17"/>
    <mergeCell ref="AA17:AC17"/>
    <mergeCell ref="Y18:Z18"/>
    <mergeCell ref="AA18:AC18"/>
    <mergeCell ref="Y13:Z13"/>
    <mergeCell ref="AA13:AC13"/>
    <mergeCell ref="Y14:Z14"/>
    <mergeCell ref="AA14:AC14"/>
    <mergeCell ref="Y15:Z15"/>
    <mergeCell ref="AA15:AC15"/>
    <mergeCell ref="Y8:Z8"/>
    <mergeCell ref="AA8:AC8"/>
    <mergeCell ref="Y11:Z11"/>
    <mergeCell ref="AA11:AC11"/>
    <mergeCell ref="Y12:Z12"/>
    <mergeCell ref="AA12:AC12"/>
    <mergeCell ref="AA10:AC10"/>
    <mergeCell ref="AZ4:BD4"/>
    <mergeCell ref="A6:A7"/>
    <mergeCell ref="B6:H7"/>
    <mergeCell ref="I6:Q7"/>
    <mergeCell ref="R6:X7"/>
    <mergeCell ref="Y6:Z7"/>
    <mergeCell ref="AA6:AC7"/>
    <mergeCell ref="AD6:AD7"/>
    <mergeCell ref="AE6:AE7"/>
    <mergeCell ref="AF6:AF7"/>
    <mergeCell ref="A1:H4"/>
    <mergeCell ref="AU4:AY4"/>
    <mergeCell ref="AH6:AH7"/>
    <mergeCell ref="AI6:AR6"/>
    <mergeCell ref="AS6:BD7"/>
    <mergeCell ref="AG6:AG7"/>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Y45:Z45"/>
    <mergeCell ref="AA45:AC45"/>
    <mergeCell ref="Y46:Z46"/>
    <mergeCell ref="AA46:AC46"/>
    <mergeCell ref="Y42:Z42"/>
    <mergeCell ref="AA42:AC42"/>
    <mergeCell ref="Y43:Z43"/>
    <mergeCell ref="AA43:AC43"/>
    <mergeCell ref="Y44:Z44"/>
    <mergeCell ref="AA44:AC44"/>
  </mergeCells>
  <phoneticPr fontId="12"/>
  <dataValidations count="3">
    <dataValidation imeMode="hiragana" allowBlank="1" showInputMessage="1" showErrorMessage="1" sqref="JG65516:JR65518 TC65516:TN65518 ACY65516:ADJ65518 AMU65516:ANF65518 AWQ65516:AXB65518 BGM65516:BGX65518 BQI65516:BQT65518 CAE65516:CAP65518 CKA65516:CKL65518 CTW65516:CUH65518 DDS65516:DED65518 DNO65516:DNZ65518 DXK65516:DXV65518 EHG65516:EHR65518 ERC65516:ERN65518 FAY65516:FBJ65518 FKU65516:FLF65518 FUQ65516:FVB65518 GEM65516:GEX65518 GOI65516:GOT65518 GYE65516:GYP65518 HIA65516:HIL65518 HRW65516:HSH65518 IBS65516:ICD65518 ILO65516:ILZ65518 IVK65516:IVV65518 JFG65516:JFR65518 JPC65516:JPN65518 JYY65516:JZJ65518 KIU65516:KJF65518 KSQ65516:KTB65518 LCM65516:LCX65518 LMI65516:LMT65518 LWE65516:LWP65518 MGA65516:MGL65518 MPW65516:MQH65518 MZS65516:NAD65518 NJO65516:NJZ65518 NTK65516:NTV65518 ODG65516:ODR65518 ONC65516:ONN65518 OWY65516:OXJ65518 PGU65516:PHF65518 PQQ65516:PRB65518 QAM65516:QAX65518 QKI65516:QKT65518 QUE65516:QUP65518 REA65516:REL65518 RNW65516:ROH65518 RXS65516:RYD65518 SHO65516:SHZ65518 SRK65516:SRV65518 TBG65516:TBR65518 TLC65516:TLN65518 TUY65516:TVJ65518 UEU65516:UFF65518 UOQ65516:UPB65518 UYM65516:UYX65518 VII65516:VIT65518 VSE65516:VSP65518 WCA65516:WCL65518 WLW65516:WMH65518 WVS65516:WWD65518 JG131052:JR131054 TC131052:TN131054 ACY131052:ADJ131054 AMU131052:ANF131054 AWQ131052:AXB131054 BGM131052:BGX131054 BQI131052:BQT131054 CAE131052:CAP131054 CKA131052:CKL131054 CTW131052:CUH131054 DDS131052:DED131054 DNO131052:DNZ131054 DXK131052:DXV131054 EHG131052:EHR131054 ERC131052:ERN131054 FAY131052:FBJ131054 FKU131052:FLF131054 FUQ131052:FVB131054 GEM131052:GEX131054 GOI131052:GOT131054 GYE131052:GYP131054 HIA131052:HIL131054 HRW131052:HSH131054 IBS131052:ICD131054 ILO131052:ILZ131054 IVK131052:IVV131054 JFG131052:JFR131054 JPC131052:JPN131054 JYY131052:JZJ131054 KIU131052:KJF131054 KSQ131052:KTB131054 LCM131052:LCX131054 LMI131052:LMT131054 LWE131052:LWP131054 MGA131052:MGL131054 MPW131052:MQH131054 MZS131052:NAD131054 NJO131052:NJZ131054 NTK131052:NTV131054 ODG131052:ODR131054 ONC131052:ONN131054 OWY131052:OXJ131054 PGU131052:PHF131054 PQQ131052:PRB131054 QAM131052:QAX131054 QKI131052:QKT131054 QUE131052:QUP131054 REA131052:REL131054 RNW131052:ROH131054 RXS131052:RYD131054 SHO131052:SHZ131054 SRK131052:SRV131054 TBG131052:TBR131054 TLC131052:TLN131054 TUY131052:TVJ131054 UEU131052:UFF131054 UOQ131052:UPB131054 UYM131052:UYX131054 VII131052:VIT131054 VSE131052:VSP131054 WCA131052:WCL131054 WLW131052:WMH131054 WVS131052:WWD131054 JG196588:JR196590 TC196588:TN196590 ACY196588:ADJ196590 AMU196588:ANF196590 AWQ196588:AXB196590 BGM196588:BGX196590 BQI196588:BQT196590 CAE196588:CAP196590 CKA196588:CKL196590 CTW196588:CUH196590 DDS196588:DED196590 DNO196588:DNZ196590 DXK196588:DXV196590 EHG196588:EHR196590 ERC196588:ERN196590 FAY196588:FBJ196590 FKU196588:FLF196590 FUQ196588:FVB196590 GEM196588:GEX196590 GOI196588:GOT196590 GYE196588:GYP196590 HIA196588:HIL196590 HRW196588:HSH196590 IBS196588:ICD196590 ILO196588:ILZ196590 IVK196588:IVV196590 JFG196588:JFR196590 JPC196588:JPN196590 JYY196588:JZJ196590 KIU196588:KJF196590 KSQ196588:KTB196590 LCM196588:LCX196590 LMI196588:LMT196590 LWE196588:LWP196590 MGA196588:MGL196590 MPW196588:MQH196590 MZS196588:NAD196590 NJO196588:NJZ196590 NTK196588:NTV196590 ODG196588:ODR196590 ONC196588:ONN196590 OWY196588:OXJ196590 PGU196588:PHF196590 PQQ196588:PRB196590 QAM196588:QAX196590 QKI196588:QKT196590 QUE196588:QUP196590 REA196588:REL196590 RNW196588:ROH196590 RXS196588:RYD196590 SHO196588:SHZ196590 SRK196588:SRV196590 TBG196588:TBR196590 TLC196588:TLN196590 TUY196588:TVJ196590 UEU196588:UFF196590 UOQ196588:UPB196590 UYM196588:UYX196590 VII196588:VIT196590 VSE196588:VSP196590 WCA196588:WCL196590 WLW196588:WMH196590 WVS196588:WWD196590 JG262124:JR262126 TC262124:TN262126 ACY262124:ADJ262126 AMU262124:ANF262126 AWQ262124:AXB262126 BGM262124:BGX262126 BQI262124:BQT262126 CAE262124:CAP262126 CKA262124:CKL262126 CTW262124:CUH262126 DDS262124:DED262126 DNO262124:DNZ262126 DXK262124:DXV262126 EHG262124:EHR262126 ERC262124:ERN262126 FAY262124:FBJ262126 FKU262124:FLF262126 FUQ262124:FVB262126 GEM262124:GEX262126 GOI262124:GOT262126 GYE262124:GYP262126 HIA262124:HIL262126 HRW262124:HSH262126 IBS262124:ICD262126 ILO262124:ILZ262126 IVK262124:IVV262126 JFG262124:JFR262126 JPC262124:JPN262126 JYY262124:JZJ262126 KIU262124:KJF262126 KSQ262124:KTB262126 LCM262124:LCX262126 LMI262124:LMT262126 LWE262124:LWP262126 MGA262124:MGL262126 MPW262124:MQH262126 MZS262124:NAD262126 NJO262124:NJZ262126 NTK262124:NTV262126 ODG262124:ODR262126 ONC262124:ONN262126 OWY262124:OXJ262126 PGU262124:PHF262126 PQQ262124:PRB262126 QAM262124:QAX262126 QKI262124:QKT262126 QUE262124:QUP262126 REA262124:REL262126 RNW262124:ROH262126 RXS262124:RYD262126 SHO262124:SHZ262126 SRK262124:SRV262126 TBG262124:TBR262126 TLC262124:TLN262126 TUY262124:TVJ262126 UEU262124:UFF262126 UOQ262124:UPB262126 UYM262124:UYX262126 VII262124:VIT262126 VSE262124:VSP262126 WCA262124:WCL262126 WLW262124:WMH262126 WVS262124:WWD262126 JG327660:JR327662 TC327660:TN327662 ACY327660:ADJ327662 AMU327660:ANF327662 AWQ327660:AXB327662 BGM327660:BGX327662 BQI327660:BQT327662 CAE327660:CAP327662 CKA327660:CKL327662 CTW327660:CUH327662 DDS327660:DED327662 DNO327660:DNZ327662 DXK327660:DXV327662 EHG327660:EHR327662 ERC327660:ERN327662 FAY327660:FBJ327662 FKU327660:FLF327662 FUQ327660:FVB327662 GEM327660:GEX327662 GOI327660:GOT327662 GYE327660:GYP327662 HIA327660:HIL327662 HRW327660:HSH327662 IBS327660:ICD327662 ILO327660:ILZ327662 IVK327660:IVV327662 JFG327660:JFR327662 JPC327660:JPN327662 JYY327660:JZJ327662 KIU327660:KJF327662 KSQ327660:KTB327662 LCM327660:LCX327662 LMI327660:LMT327662 LWE327660:LWP327662 MGA327660:MGL327662 MPW327660:MQH327662 MZS327660:NAD327662 NJO327660:NJZ327662 NTK327660:NTV327662 ODG327660:ODR327662 ONC327660:ONN327662 OWY327660:OXJ327662 PGU327660:PHF327662 PQQ327660:PRB327662 QAM327660:QAX327662 QKI327660:QKT327662 QUE327660:QUP327662 REA327660:REL327662 RNW327660:ROH327662 RXS327660:RYD327662 SHO327660:SHZ327662 SRK327660:SRV327662 TBG327660:TBR327662 TLC327660:TLN327662 TUY327660:TVJ327662 UEU327660:UFF327662 UOQ327660:UPB327662 UYM327660:UYX327662 VII327660:VIT327662 VSE327660:VSP327662 WCA327660:WCL327662 WLW327660:WMH327662 WVS327660:WWD327662 JG393196:JR393198 TC393196:TN393198 ACY393196:ADJ393198 AMU393196:ANF393198 AWQ393196:AXB393198 BGM393196:BGX393198 BQI393196:BQT393198 CAE393196:CAP393198 CKA393196:CKL393198 CTW393196:CUH393198 DDS393196:DED393198 DNO393196:DNZ393198 DXK393196:DXV393198 EHG393196:EHR393198 ERC393196:ERN393198 FAY393196:FBJ393198 FKU393196:FLF393198 FUQ393196:FVB393198 GEM393196:GEX393198 GOI393196:GOT393198 GYE393196:GYP393198 HIA393196:HIL393198 HRW393196:HSH393198 IBS393196:ICD393198 ILO393196:ILZ393198 IVK393196:IVV393198 JFG393196:JFR393198 JPC393196:JPN393198 JYY393196:JZJ393198 KIU393196:KJF393198 KSQ393196:KTB393198 LCM393196:LCX393198 LMI393196:LMT393198 LWE393196:LWP393198 MGA393196:MGL393198 MPW393196:MQH393198 MZS393196:NAD393198 NJO393196:NJZ393198 NTK393196:NTV393198 ODG393196:ODR393198 ONC393196:ONN393198 OWY393196:OXJ393198 PGU393196:PHF393198 PQQ393196:PRB393198 QAM393196:QAX393198 QKI393196:QKT393198 QUE393196:QUP393198 REA393196:REL393198 RNW393196:ROH393198 RXS393196:RYD393198 SHO393196:SHZ393198 SRK393196:SRV393198 TBG393196:TBR393198 TLC393196:TLN393198 TUY393196:TVJ393198 UEU393196:UFF393198 UOQ393196:UPB393198 UYM393196:UYX393198 VII393196:VIT393198 VSE393196:VSP393198 WCA393196:WCL393198 WLW393196:WMH393198 WVS393196:WWD393198 JG458732:JR458734 TC458732:TN458734 ACY458732:ADJ458734 AMU458732:ANF458734 AWQ458732:AXB458734 BGM458732:BGX458734 BQI458732:BQT458734 CAE458732:CAP458734 CKA458732:CKL458734 CTW458732:CUH458734 DDS458732:DED458734 DNO458732:DNZ458734 DXK458732:DXV458734 EHG458732:EHR458734 ERC458732:ERN458734 FAY458732:FBJ458734 FKU458732:FLF458734 FUQ458732:FVB458734 GEM458732:GEX458734 GOI458732:GOT458734 GYE458732:GYP458734 HIA458732:HIL458734 HRW458732:HSH458734 IBS458732:ICD458734 ILO458732:ILZ458734 IVK458732:IVV458734 JFG458732:JFR458734 JPC458732:JPN458734 JYY458732:JZJ458734 KIU458732:KJF458734 KSQ458732:KTB458734 LCM458732:LCX458734 LMI458732:LMT458734 LWE458732:LWP458734 MGA458732:MGL458734 MPW458732:MQH458734 MZS458732:NAD458734 NJO458732:NJZ458734 NTK458732:NTV458734 ODG458732:ODR458734 ONC458732:ONN458734 OWY458732:OXJ458734 PGU458732:PHF458734 PQQ458732:PRB458734 QAM458732:QAX458734 QKI458732:QKT458734 QUE458732:QUP458734 REA458732:REL458734 RNW458732:ROH458734 RXS458732:RYD458734 SHO458732:SHZ458734 SRK458732:SRV458734 TBG458732:TBR458734 TLC458732:TLN458734 TUY458732:TVJ458734 UEU458732:UFF458734 UOQ458732:UPB458734 UYM458732:UYX458734 VII458732:VIT458734 VSE458732:VSP458734 WCA458732:WCL458734 WLW458732:WMH458734 WVS458732:WWD458734 JG524268:JR524270 TC524268:TN524270 ACY524268:ADJ524270 AMU524268:ANF524270 AWQ524268:AXB524270 BGM524268:BGX524270 BQI524268:BQT524270 CAE524268:CAP524270 CKA524268:CKL524270 CTW524268:CUH524270 DDS524268:DED524270 DNO524268:DNZ524270 DXK524268:DXV524270 EHG524268:EHR524270 ERC524268:ERN524270 FAY524268:FBJ524270 FKU524268:FLF524270 FUQ524268:FVB524270 GEM524268:GEX524270 GOI524268:GOT524270 GYE524268:GYP524270 HIA524268:HIL524270 HRW524268:HSH524270 IBS524268:ICD524270 ILO524268:ILZ524270 IVK524268:IVV524270 JFG524268:JFR524270 JPC524268:JPN524270 JYY524268:JZJ524270 KIU524268:KJF524270 KSQ524268:KTB524270 LCM524268:LCX524270 LMI524268:LMT524270 LWE524268:LWP524270 MGA524268:MGL524270 MPW524268:MQH524270 MZS524268:NAD524270 NJO524268:NJZ524270 NTK524268:NTV524270 ODG524268:ODR524270 ONC524268:ONN524270 OWY524268:OXJ524270 PGU524268:PHF524270 PQQ524268:PRB524270 QAM524268:QAX524270 QKI524268:QKT524270 QUE524268:QUP524270 REA524268:REL524270 RNW524268:ROH524270 RXS524268:RYD524270 SHO524268:SHZ524270 SRK524268:SRV524270 TBG524268:TBR524270 TLC524268:TLN524270 TUY524268:TVJ524270 UEU524268:UFF524270 UOQ524268:UPB524270 UYM524268:UYX524270 VII524268:VIT524270 VSE524268:VSP524270 WCA524268:WCL524270 WLW524268:WMH524270 WVS524268:WWD524270 JG589804:JR589806 TC589804:TN589806 ACY589804:ADJ589806 AMU589804:ANF589806 AWQ589804:AXB589806 BGM589804:BGX589806 BQI589804:BQT589806 CAE589804:CAP589806 CKA589804:CKL589806 CTW589804:CUH589806 DDS589804:DED589806 DNO589804:DNZ589806 DXK589804:DXV589806 EHG589804:EHR589806 ERC589804:ERN589806 FAY589804:FBJ589806 FKU589804:FLF589806 FUQ589804:FVB589806 GEM589804:GEX589806 GOI589804:GOT589806 GYE589804:GYP589806 HIA589804:HIL589806 HRW589804:HSH589806 IBS589804:ICD589806 ILO589804:ILZ589806 IVK589804:IVV589806 JFG589804:JFR589806 JPC589804:JPN589806 JYY589804:JZJ589806 KIU589804:KJF589806 KSQ589804:KTB589806 LCM589804:LCX589806 LMI589804:LMT589806 LWE589804:LWP589806 MGA589804:MGL589806 MPW589804:MQH589806 MZS589804:NAD589806 NJO589804:NJZ589806 NTK589804:NTV589806 ODG589804:ODR589806 ONC589804:ONN589806 OWY589804:OXJ589806 PGU589804:PHF589806 PQQ589804:PRB589806 QAM589804:QAX589806 QKI589804:QKT589806 QUE589804:QUP589806 REA589804:REL589806 RNW589804:ROH589806 RXS589804:RYD589806 SHO589804:SHZ589806 SRK589804:SRV589806 TBG589804:TBR589806 TLC589804:TLN589806 TUY589804:TVJ589806 UEU589804:UFF589806 UOQ589804:UPB589806 UYM589804:UYX589806 VII589804:VIT589806 VSE589804:VSP589806 WCA589804:WCL589806 WLW589804:WMH589806 WVS589804:WWD589806 JG655340:JR655342 TC655340:TN655342 ACY655340:ADJ655342 AMU655340:ANF655342 AWQ655340:AXB655342 BGM655340:BGX655342 BQI655340:BQT655342 CAE655340:CAP655342 CKA655340:CKL655342 CTW655340:CUH655342 DDS655340:DED655342 DNO655340:DNZ655342 DXK655340:DXV655342 EHG655340:EHR655342 ERC655340:ERN655342 FAY655340:FBJ655342 FKU655340:FLF655342 FUQ655340:FVB655342 GEM655340:GEX655342 GOI655340:GOT655342 GYE655340:GYP655342 HIA655340:HIL655342 HRW655340:HSH655342 IBS655340:ICD655342 ILO655340:ILZ655342 IVK655340:IVV655342 JFG655340:JFR655342 JPC655340:JPN655342 JYY655340:JZJ655342 KIU655340:KJF655342 KSQ655340:KTB655342 LCM655340:LCX655342 LMI655340:LMT655342 LWE655340:LWP655342 MGA655340:MGL655342 MPW655340:MQH655342 MZS655340:NAD655342 NJO655340:NJZ655342 NTK655340:NTV655342 ODG655340:ODR655342 ONC655340:ONN655342 OWY655340:OXJ655342 PGU655340:PHF655342 PQQ655340:PRB655342 QAM655340:QAX655342 QKI655340:QKT655342 QUE655340:QUP655342 REA655340:REL655342 RNW655340:ROH655342 RXS655340:RYD655342 SHO655340:SHZ655342 SRK655340:SRV655342 TBG655340:TBR655342 TLC655340:TLN655342 TUY655340:TVJ655342 UEU655340:UFF655342 UOQ655340:UPB655342 UYM655340:UYX655342 VII655340:VIT655342 VSE655340:VSP655342 WCA655340:WCL655342 WLW655340:WMH655342 WVS655340:WWD655342 JG720876:JR720878 TC720876:TN720878 ACY720876:ADJ720878 AMU720876:ANF720878 AWQ720876:AXB720878 BGM720876:BGX720878 BQI720876:BQT720878 CAE720876:CAP720878 CKA720876:CKL720878 CTW720876:CUH720878 DDS720876:DED720878 DNO720876:DNZ720878 DXK720876:DXV720878 EHG720876:EHR720878 ERC720876:ERN720878 FAY720876:FBJ720878 FKU720876:FLF720878 FUQ720876:FVB720878 GEM720876:GEX720878 GOI720876:GOT720878 GYE720876:GYP720878 HIA720876:HIL720878 HRW720876:HSH720878 IBS720876:ICD720878 ILO720876:ILZ720878 IVK720876:IVV720878 JFG720876:JFR720878 JPC720876:JPN720878 JYY720876:JZJ720878 KIU720876:KJF720878 KSQ720876:KTB720878 LCM720876:LCX720878 LMI720876:LMT720878 LWE720876:LWP720878 MGA720876:MGL720878 MPW720876:MQH720878 MZS720876:NAD720878 NJO720876:NJZ720878 NTK720876:NTV720878 ODG720876:ODR720878 ONC720876:ONN720878 OWY720876:OXJ720878 PGU720876:PHF720878 PQQ720876:PRB720878 QAM720876:QAX720878 QKI720876:QKT720878 QUE720876:QUP720878 REA720876:REL720878 RNW720876:ROH720878 RXS720876:RYD720878 SHO720876:SHZ720878 SRK720876:SRV720878 TBG720876:TBR720878 TLC720876:TLN720878 TUY720876:TVJ720878 UEU720876:UFF720878 UOQ720876:UPB720878 UYM720876:UYX720878 VII720876:VIT720878 VSE720876:VSP720878 WCA720876:WCL720878 WLW720876:WMH720878 WVS720876:WWD720878 JG786412:JR786414 TC786412:TN786414 ACY786412:ADJ786414 AMU786412:ANF786414 AWQ786412:AXB786414 BGM786412:BGX786414 BQI786412:BQT786414 CAE786412:CAP786414 CKA786412:CKL786414 CTW786412:CUH786414 DDS786412:DED786414 DNO786412:DNZ786414 DXK786412:DXV786414 EHG786412:EHR786414 ERC786412:ERN786414 FAY786412:FBJ786414 FKU786412:FLF786414 FUQ786412:FVB786414 GEM786412:GEX786414 GOI786412:GOT786414 GYE786412:GYP786414 HIA786412:HIL786414 HRW786412:HSH786414 IBS786412:ICD786414 ILO786412:ILZ786414 IVK786412:IVV786414 JFG786412:JFR786414 JPC786412:JPN786414 JYY786412:JZJ786414 KIU786412:KJF786414 KSQ786412:KTB786414 LCM786412:LCX786414 LMI786412:LMT786414 LWE786412:LWP786414 MGA786412:MGL786414 MPW786412:MQH786414 MZS786412:NAD786414 NJO786412:NJZ786414 NTK786412:NTV786414 ODG786412:ODR786414 ONC786412:ONN786414 OWY786412:OXJ786414 PGU786412:PHF786414 PQQ786412:PRB786414 QAM786412:QAX786414 QKI786412:QKT786414 QUE786412:QUP786414 REA786412:REL786414 RNW786412:ROH786414 RXS786412:RYD786414 SHO786412:SHZ786414 SRK786412:SRV786414 TBG786412:TBR786414 TLC786412:TLN786414 TUY786412:TVJ786414 UEU786412:UFF786414 UOQ786412:UPB786414 UYM786412:UYX786414 VII786412:VIT786414 VSE786412:VSP786414 WCA786412:WCL786414 WLW786412:WMH786414 WVS786412:WWD786414 JG851948:JR851950 TC851948:TN851950 ACY851948:ADJ851950 AMU851948:ANF851950 AWQ851948:AXB851950 BGM851948:BGX851950 BQI851948:BQT851950 CAE851948:CAP851950 CKA851948:CKL851950 CTW851948:CUH851950 DDS851948:DED851950 DNO851948:DNZ851950 DXK851948:DXV851950 EHG851948:EHR851950 ERC851948:ERN851950 FAY851948:FBJ851950 FKU851948:FLF851950 FUQ851948:FVB851950 GEM851948:GEX851950 GOI851948:GOT851950 GYE851948:GYP851950 HIA851948:HIL851950 HRW851948:HSH851950 IBS851948:ICD851950 ILO851948:ILZ851950 IVK851948:IVV851950 JFG851948:JFR851950 JPC851948:JPN851950 JYY851948:JZJ851950 KIU851948:KJF851950 KSQ851948:KTB851950 LCM851948:LCX851950 LMI851948:LMT851950 LWE851948:LWP851950 MGA851948:MGL851950 MPW851948:MQH851950 MZS851948:NAD851950 NJO851948:NJZ851950 NTK851948:NTV851950 ODG851948:ODR851950 ONC851948:ONN851950 OWY851948:OXJ851950 PGU851948:PHF851950 PQQ851948:PRB851950 QAM851948:QAX851950 QKI851948:QKT851950 QUE851948:QUP851950 REA851948:REL851950 RNW851948:ROH851950 RXS851948:RYD851950 SHO851948:SHZ851950 SRK851948:SRV851950 TBG851948:TBR851950 TLC851948:TLN851950 TUY851948:TVJ851950 UEU851948:UFF851950 UOQ851948:UPB851950 UYM851948:UYX851950 VII851948:VIT851950 VSE851948:VSP851950 WCA851948:WCL851950 WLW851948:WMH851950 WVS851948:WWD851950 JG917484:JR917486 TC917484:TN917486 ACY917484:ADJ917486 AMU917484:ANF917486 AWQ917484:AXB917486 BGM917484:BGX917486 BQI917484:BQT917486 CAE917484:CAP917486 CKA917484:CKL917486 CTW917484:CUH917486 DDS917484:DED917486 DNO917484:DNZ917486 DXK917484:DXV917486 EHG917484:EHR917486 ERC917484:ERN917486 FAY917484:FBJ917486 FKU917484:FLF917486 FUQ917484:FVB917486 GEM917484:GEX917486 GOI917484:GOT917486 GYE917484:GYP917486 HIA917484:HIL917486 HRW917484:HSH917486 IBS917484:ICD917486 ILO917484:ILZ917486 IVK917484:IVV917486 JFG917484:JFR917486 JPC917484:JPN917486 JYY917484:JZJ917486 KIU917484:KJF917486 KSQ917484:KTB917486 LCM917484:LCX917486 LMI917484:LMT917486 LWE917484:LWP917486 MGA917484:MGL917486 MPW917484:MQH917486 MZS917484:NAD917486 NJO917484:NJZ917486 NTK917484:NTV917486 ODG917484:ODR917486 ONC917484:ONN917486 OWY917484:OXJ917486 PGU917484:PHF917486 PQQ917484:PRB917486 QAM917484:QAX917486 QKI917484:QKT917486 QUE917484:QUP917486 REA917484:REL917486 RNW917484:ROH917486 RXS917484:RYD917486 SHO917484:SHZ917486 SRK917484:SRV917486 TBG917484:TBR917486 TLC917484:TLN917486 TUY917484:TVJ917486 UEU917484:UFF917486 UOQ917484:UPB917486 UYM917484:UYX917486 VII917484:VIT917486 VSE917484:VSP917486 WCA917484:WCL917486 WLW917484:WMH917486 WVS917484:WWD917486 JG983020:JR983022 TC983020:TN983022 ACY983020:ADJ983022 AMU983020:ANF983022 AWQ983020:AXB983022 BGM983020:BGX983022 BQI983020:BQT983022 CAE983020:CAP983022 CKA983020:CKL983022 CTW983020:CUH983022 DDS983020:DED983022 DNO983020:DNZ983022 DXK983020:DXV983022 EHG983020:EHR983022 ERC983020:ERN983022 FAY983020:FBJ983022 FKU983020:FLF983022 FUQ983020:FVB983022 GEM983020:GEX983022 GOI983020:GOT983022 GYE983020:GYP983022 HIA983020:HIL983022 HRW983020:HSH983022 IBS983020:ICD983022 ILO983020:ILZ983022 IVK983020:IVV983022 JFG983020:JFR983022 JPC983020:JPN983022 JYY983020:JZJ983022 KIU983020:KJF983022 KSQ983020:KTB983022 LCM983020:LCX983022 LMI983020:LMT983022 LWE983020:LWP983022 MGA983020:MGL983022 MPW983020:MQH983022 MZS983020:NAD983022 NJO983020:NJZ983022 NTK983020:NTV983022 ODG983020:ODR983022 ONC983020:ONN983022 OWY983020:OXJ983022 PGU983020:PHF983022 PQQ983020:PRB983022 QAM983020:QAX983022 QKI983020:QKT983022 QUE983020:QUP983022 REA983020:REL983022 RNW983020:ROH983022 RXS983020:RYD983022 SHO983020:SHZ983022 SRK983020:SRV983022 TBG983020:TBR983022 TLC983020:TLN983022 TUY983020:TVJ983022 UEU983020:UFF983022 UOQ983020:UPB983022 UYM983020:UYX983022 VII983020:VIT983022 VSE983020:VSP983022 WCA983020:WCL983022 WLW983020:WMH983022 WVS983020:WWD983022 WVS983025:WWD983027 JG65521:JR65523 TC65521:TN65523 ACY65521:ADJ65523 AMU65521:ANF65523 AWQ65521:AXB65523 BGM65521:BGX65523 BQI65521:BQT65523 CAE65521:CAP65523 CKA65521:CKL65523 CTW65521:CUH65523 DDS65521:DED65523 DNO65521:DNZ65523 DXK65521:DXV65523 EHG65521:EHR65523 ERC65521:ERN65523 FAY65521:FBJ65523 FKU65521:FLF65523 FUQ65521:FVB65523 GEM65521:GEX65523 GOI65521:GOT65523 GYE65521:GYP65523 HIA65521:HIL65523 HRW65521:HSH65523 IBS65521:ICD65523 ILO65521:ILZ65523 IVK65521:IVV65523 JFG65521:JFR65523 JPC65521:JPN65523 JYY65521:JZJ65523 KIU65521:KJF65523 KSQ65521:KTB65523 LCM65521:LCX65523 LMI65521:LMT65523 LWE65521:LWP65523 MGA65521:MGL65523 MPW65521:MQH65523 MZS65521:NAD65523 NJO65521:NJZ65523 NTK65521:NTV65523 ODG65521:ODR65523 ONC65521:ONN65523 OWY65521:OXJ65523 PGU65521:PHF65523 PQQ65521:PRB65523 QAM65521:QAX65523 QKI65521:QKT65523 QUE65521:QUP65523 REA65521:REL65523 RNW65521:ROH65523 RXS65521:RYD65523 SHO65521:SHZ65523 SRK65521:SRV65523 TBG65521:TBR65523 TLC65521:TLN65523 TUY65521:TVJ65523 UEU65521:UFF65523 UOQ65521:UPB65523 UYM65521:UYX65523 VII65521:VIT65523 VSE65521:VSP65523 WCA65521:WCL65523 WLW65521:WMH65523 WVS65521:WWD65523 JG131057:JR131059 TC131057:TN131059 ACY131057:ADJ131059 AMU131057:ANF131059 AWQ131057:AXB131059 BGM131057:BGX131059 BQI131057:BQT131059 CAE131057:CAP131059 CKA131057:CKL131059 CTW131057:CUH131059 DDS131057:DED131059 DNO131057:DNZ131059 DXK131057:DXV131059 EHG131057:EHR131059 ERC131057:ERN131059 FAY131057:FBJ131059 FKU131057:FLF131059 FUQ131057:FVB131059 GEM131057:GEX131059 GOI131057:GOT131059 GYE131057:GYP131059 HIA131057:HIL131059 HRW131057:HSH131059 IBS131057:ICD131059 ILO131057:ILZ131059 IVK131057:IVV131059 JFG131057:JFR131059 JPC131057:JPN131059 JYY131057:JZJ131059 KIU131057:KJF131059 KSQ131057:KTB131059 LCM131057:LCX131059 LMI131057:LMT131059 LWE131057:LWP131059 MGA131057:MGL131059 MPW131057:MQH131059 MZS131057:NAD131059 NJO131057:NJZ131059 NTK131057:NTV131059 ODG131057:ODR131059 ONC131057:ONN131059 OWY131057:OXJ131059 PGU131057:PHF131059 PQQ131057:PRB131059 QAM131057:QAX131059 QKI131057:QKT131059 QUE131057:QUP131059 REA131057:REL131059 RNW131057:ROH131059 RXS131057:RYD131059 SHO131057:SHZ131059 SRK131057:SRV131059 TBG131057:TBR131059 TLC131057:TLN131059 TUY131057:TVJ131059 UEU131057:UFF131059 UOQ131057:UPB131059 UYM131057:UYX131059 VII131057:VIT131059 VSE131057:VSP131059 WCA131057:WCL131059 WLW131057:WMH131059 WVS131057:WWD131059 JG196593:JR196595 TC196593:TN196595 ACY196593:ADJ196595 AMU196593:ANF196595 AWQ196593:AXB196595 BGM196593:BGX196595 BQI196593:BQT196595 CAE196593:CAP196595 CKA196593:CKL196595 CTW196593:CUH196595 DDS196593:DED196595 DNO196593:DNZ196595 DXK196593:DXV196595 EHG196593:EHR196595 ERC196593:ERN196595 FAY196593:FBJ196595 FKU196593:FLF196595 FUQ196593:FVB196595 GEM196593:GEX196595 GOI196593:GOT196595 GYE196593:GYP196595 HIA196593:HIL196595 HRW196593:HSH196595 IBS196593:ICD196595 ILO196593:ILZ196595 IVK196593:IVV196595 JFG196593:JFR196595 JPC196593:JPN196595 JYY196593:JZJ196595 KIU196593:KJF196595 KSQ196593:KTB196595 LCM196593:LCX196595 LMI196593:LMT196595 LWE196593:LWP196595 MGA196593:MGL196595 MPW196593:MQH196595 MZS196593:NAD196595 NJO196593:NJZ196595 NTK196593:NTV196595 ODG196593:ODR196595 ONC196593:ONN196595 OWY196593:OXJ196595 PGU196593:PHF196595 PQQ196593:PRB196595 QAM196593:QAX196595 QKI196593:QKT196595 QUE196593:QUP196595 REA196593:REL196595 RNW196593:ROH196595 RXS196593:RYD196595 SHO196593:SHZ196595 SRK196593:SRV196595 TBG196593:TBR196595 TLC196593:TLN196595 TUY196593:TVJ196595 UEU196593:UFF196595 UOQ196593:UPB196595 UYM196593:UYX196595 VII196593:VIT196595 VSE196593:VSP196595 WCA196593:WCL196595 WLW196593:WMH196595 WVS196593:WWD196595 JG262129:JR262131 TC262129:TN262131 ACY262129:ADJ262131 AMU262129:ANF262131 AWQ262129:AXB262131 BGM262129:BGX262131 BQI262129:BQT262131 CAE262129:CAP262131 CKA262129:CKL262131 CTW262129:CUH262131 DDS262129:DED262131 DNO262129:DNZ262131 DXK262129:DXV262131 EHG262129:EHR262131 ERC262129:ERN262131 FAY262129:FBJ262131 FKU262129:FLF262131 FUQ262129:FVB262131 GEM262129:GEX262131 GOI262129:GOT262131 GYE262129:GYP262131 HIA262129:HIL262131 HRW262129:HSH262131 IBS262129:ICD262131 ILO262129:ILZ262131 IVK262129:IVV262131 JFG262129:JFR262131 JPC262129:JPN262131 JYY262129:JZJ262131 KIU262129:KJF262131 KSQ262129:KTB262131 LCM262129:LCX262131 LMI262129:LMT262131 LWE262129:LWP262131 MGA262129:MGL262131 MPW262129:MQH262131 MZS262129:NAD262131 NJO262129:NJZ262131 NTK262129:NTV262131 ODG262129:ODR262131 ONC262129:ONN262131 OWY262129:OXJ262131 PGU262129:PHF262131 PQQ262129:PRB262131 QAM262129:QAX262131 QKI262129:QKT262131 QUE262129:QUP262131 REA262129:REL262131 RNW262129:ROH262131 RXS262129:RYD262131 SHO262129:SHZ262131 SRK262129:SRV262131 TBG262129:TBR262131 TLC262129:TLN262131 TUY262129:TVJ262131 UEU262129:UFF262131 UOQ262129:UPB262131 UYM262129:UYX262131 VII262129:VIT262131 VSE262129:VSP262131 WCA262129:WCL262131 WLW262129:WMH262131 WVS262129:WWD262131 JG327665:JR327667 TC327665:TN327667 ACY327665:ADJ327667 AMU327665:ANF327667 AWQ327665:AXB327667 BGM327665:BGX327667 BQI327665:BQT327667 CAE327665:CAP327667 CKA327665:CKL327667 CTW327665:CUH327667 DDS327665:DED327667 DNO327665:DNZ327667 DXK327665:DXV327667 EHG327665:EHR327667 ERC327665:ERN327667 FAY327665:FBJ327667 FKU327665:FLF327667 FUQ327665:FVB327667 GEM327665:GEX327667 GOI327665:GOT327667 GYE327665:GYP327667 HIA327665:HIL327667 HRW327665:HSH327667 IBS327665:ICD327667 ILO327665:ILZ327667 IVK327665:IVV327667 JFG327665:JFR327667 JPC327665:JPN327667 JYY327665:JZJ327667 KIU327665:KJF327667 KSQ327665:KTB327667 LCM327665:LCX327667 LMI327665:LMT327667 LWE327665:LWP327667 MGA327665:MGL327667 MPW327665:MQH327667 MZS327665:NAD327667 NJO327665:NJZ327667 NTK327665:NTV327667 ODG327665:ODR327667 ONC327665:ONN327667 OWY327665:OXJ327667 PGU327665:PHF327667 PQQ327665:PRB327667 QAM327665:QAX327667 QKI327665:QKT327667 QUE327665:QUP327667 REA327665:REL327667 RNW327665:ROH327667 RXS327665:RYD327667 SHO327665:SHZ327667 SRK327665:SRV327667 TBG327665:TBR327667 TLC327665:TLN327667 TUY327665:TVJ327667 UEU327665:UFF327667 UOQ327665:UPB327667 UYM327665:UYX327667 VII327665:VIT327667 VSE327665:VSP327667 WCA327665:WCL327667 WLW327665:WMH327667 WVS327665:WWD327667 JG393201:JR393203 TC393201:TN393203 ACY393201:ADJ393203 AMU393201:ANF393203 AWQ393201:AXB393203 BGM393201:BGX393203 BQI393201:BQT393203 CAE393201:CAP393203 CKA393201:CKL393203 CTW393201:CUH393203 DDS393201:DED393203 DNO393201:DNZ393203 DXK393201:DXV393203 EHG393201:EHR393203 ERC393201:ERN393203 FAY393201:FBJ393203 FKU393201:FLF393203 FUQ393201:FVB393203 GEM393201:GEX393203 GOI393201:GOT393203 GYE393201:GYP393203 HIA393201:HIL393203 HRW393201:HSH393203 IBS393201:ICD393203 ILO393201:ILZ393203 IVK393201:IVV393203 JFG393201:JFR393203 JPC393201:JPN393203 JYY393201:JZJ393203 KIU393201:KJF393203 KSQ393201:KTB393203 LCM393201:LCX393203 LMI393201:LMT393203 LWE393201:LWP393203 MGA393201:MGL393203 MPW393201:MQH393203 MZS393201:NAD393203 NJO393201:NJZ393203 NTK393201:NTV393203 ODG393201:ODR393203 ONC393201:ONN393203 OWY393201:OXJ393203 PGU393201:PHF393203 PQQ393201:PRB393203 QAM393201:QAX393203 QKI393201:QKT393203 QUE393201:QUP393203 REA393201:REL393203 RNW393201:ROH393203 RXS393201:RYD393203 SHO393201:SHZ393203 SRK393201:SRV393203 TBG393201:TBR393203 TLC393201:TLN393203 TUY393201:TVJ393203 UEU393201:UFF393203 UOQ393201:UPB393203 UYM393201:UYX393203 VII393201:VIT393203 VSE393201:VSP393203 WCA393201:WCL393203 WLW393201:WMH393203 WVS393201:WWD393203 JG458737:JR458739 TC458737:TN458739 ACY458737:ADJ458739 AMU458737:ANF458739 AWQ458737:AXB458739 BGM458737:BGX458739 BQI458737:BQT458739 CAE458737:CAP458739 CKA458737:CKL458739 CTW458737:CUH458739 DDS458737:DED458739 DNO458737:DNZ458739 DXK458737:DXV458739 EHG458737:EHR458739 ERC458737:ERN458739 FAY458737:FBJ458739 FKU458737:FLF458739 FUQ458737:FVB458739 GEM458737:GEX458739 GOI458737:GOT458739 GYE458737:GYP458739 HIA458737:HIL458739 HRW458737:HSH458739 IBS458737:ICD458739 ILO458737:ILZ458739 IVK458737:IVV458739 JFG458737:JFR458739 JPC458737:JPN458739 JYY458737:JZJ458739 KIU458737:KJF458739 KSQ458737:KTB458739 LCM458737:LCX458739 LMI458737:LMT458739 LWE458737:LWP458739 MGA458737:MGL458739 MPW458737:MQH458739 MZS458737:NAD458739 NJO458737:NJZ458739 NTK458737:NTV458739 ODG458737:ODR458739 ONC458737:ONN458739 OWY458737:OXJ458739 PGU458737:PHF458739 PQQ458737:PRB458739 QAM458737:QAX458739 QKI458737:QKT458739 QUE458737:QUP458739 REA458737:REL458739 RNW458737:ROH458739 RXS458737:RYD458739 SHO458737:SHZ458739 SRK458737:SRV458739 TBG458737:TBR458739 TLC458737:TLN458739 TUY458737:TVJ458739 UEU458737:UFF458739 UOQ458737:UPB458739 UYM458737:UYX458739 VII458737:VIT458739 VSE458737:VSP458739 WCA458737:WCL458739 WLW458737:WMH458739 WVS458737:WWD458739 JG524273:JR524275 TC524273:TN524275 ACY524273:ADJ524275 AMU524273:ANF524275 AWQ524273:AXB524275 BGM524273:BGX524275 BQI524273:BQT524275 CAE524273:CAP524275 CKA524273:CKL524275 CTW524273:CUH524275 DDS524273:DED524275 DNO524273:DNZ524275 DXK524273:DXV524275 EHG524273:EHR524275 ERC524273:ERN524275 FAY524273:FBJ524275 FKU524273:FLF524275 FUQ524273:FVB524275 GEM524273:GEX524275 GOI524273:GOT524275 GYE524273:GYP524275 HIA524273:HIL524275 HRW524273:HSH524275 IBS524273:ICD524275 ILO524273:ILZ524275 IVK524273:IVV524275 JFG524273:JFR524275 JPC524273:JPN524275 JYY524273:JZJ524275 KIU524273:KJF524275 KSQ524273:KTB524275 LCM524273:LCX524275 LMI524273:LMT524275 LWE524273:LWP524275 MGA524273:MGL524275 MPW524273:MQH524275 MZS524273:NAD524275 NJO524273:NJZ524275 NTK524273:NTV524275 ODG524273:ODR524275 ONC524273:ONN524275 OWY524273:OXJ524275 PGU524273:PHF524275 PQQ524273:PRB524275 QAM524273:QAX524275 QKI524273:QKT524275 QUE524273:QUP524275 REA524273:REL524275 RNW524273:ROH524275 RXS524273:RYD524275 SHO524273:SHZ524275 SRK524273:SRV524275 TBG524273:TBR524275 TLC524273:TLN524275 TUY524273:TVJ524275 UEU524273:UFF524275 UOQ524273:UPB524275 UYM524273:UYX524275 VII524273:VIT524275 VSE524273:VSP524275 WCA524273:WCL524275 WLW524273:WMH524275 WVS524273:WWD524275 JG589809:JR589811 TC589809:TN589811 ACY589809:ADJ589811 AMU589809:ANF589811 AWQ589809:AXB589811 BGM589809:BGX589811 BQI589809:BQT589811 CAE589809:CAP589811 CKA589809:CKL589811 CTW589809:CUH589811 DDS589809:DED589811 DNO589809:DNZ589811 DXK589809:DXV589811 EHG589809:EHR589811 ERC589809:ERN589811 FAY589809:FBJ589811 FKU589809:FLF589811 FUQ589809:FVB589811 GEM589809:GEX589811 GOI589809:GOT589811 GYE589809:GYP589811 HIA589809:HIL589811 HRW589809:HSH589811 IBS589809:ICD589811 ILO589809:ILZ589811 IVK589809:IVV589811 JFG589809:JFR589811 JPC589809:JPN589811 JYY589809:JZJ589811 KIU589809:KJF589811 KSQ589809:KTB589811 LCM589809:LCX589811 LMI589809:LMT589811 LWE589809:LWP589811 MGA589809:MGL589811 MPW589809:MQH589811 MZS589809:NAD589811 NJO589809:NJZ589811 NTK589809:NTV589811 ODG589809:ODR589811 ONC589809:ONN589811 OWY589809:OXJ589811 PGU589809:PHF589811 PQQ589809:PRB589811 QAM589809:QAX589811 QKI589809:QKT589811 QUE589809:QUP589811 REA589809:REL589811 RNW589809:ROH589811 RXS589809:RYD589811 SHO589809:SHZ589811 SRK589809:SRV589811 TBG589809:TBR589811 TLC589809:TLN589811 TUY589809:TVJ589811 UEU589809:UFF589811 UOQ589809:UPB589811 UYM589809:UYX589811 VII589809:VIT589811 VSE589809:VSP589811 WCA589809:WCL589811 WLW589809:WMH589811 WVS589809:WWD589811 JG655345:JR655347 TC655345:TN655347 ACY655345:ADJ655347 AMU655345:ANF655347 AWQ655345:AXB655347 BGM655345:BGX655347 BQI655345:BQT655347 CAE655345:CAP655347 CKA655345:CKL655347 CTW655345:CUH655347 DDS655345:DED655347 DNO655345:DNZ655347 DXK655345:DXV655347 EHG655345:EHR655347 ERC655345:ERN655347 FAY655345:FBJ655347 FKU655345:FLF655347 FUQ655345:FVB655347 GEM655345:GEX655347 GOI655345:GOT655347 GYE655345:GYP655347 HIA655345:HIL655347 HRW655345:HSH655347 IBS655345:ICD655347 ILO655345:ILZ655347 IVK655345:IVV655347 JFG655345:JFR655347 JPC655345:JPN655347 JYY655345:JZJ655347 KIU655345:KJF655347 KSQ655345:KTB655347 LCM655345:LCX655347 LMI655345:LMT655347 LWE655345:LWP655347 MGA655345:MGL655347 MPW655345:MQH655347 MZS655345:NAD655347 NJO655345:NJZ655347 NTK655345:NTV655347 ODG655345:ODR655347 ONC655345:ONN655347 OWY655345:OXJ655347 PGU655345:PHF655347 PQQ655345:PRB655347 QAM655345:QAX655347 QKI655345:QKT655347 QUE655345:QUP655347 REA655345:REL655347 RNW655345:ROH655347 RXS655345:RYD655347 SHO655345:SHZ655347 SRK655345:SRV655347 TBG655345:TBR655347 TLC655345:TLN655347 TUY655345:TVJ655347 UEU655345:UFF655347 UOQ655345:UPB655347 UYM655345:UYX655347 VII655345:VIT655347 VSE655345:VSP655347 WCA655345:WCL655347 WLW655345:WMH655347 WVS655345:WWD655347 JG720881:JR720883 TC720881:TN720883 ACY720881:ADJ720883 AMU720881:ANF720883 AWQ720881:AXB720883 BGM720881:BGX720883 BQI720881:BQT720883 CAE720881:CAP720883 CKA720881:CKL720883 CTW720881:CUH720883 DDS720881:DED720883 DNO720881:DNZ720883 DXK720881:DXV720883 EHG720881:EHR720883 ERC720881:ERN720883 FAY720881:FBJ720883 FKU720881:FLF720883 FUQ720881:FVB720883 GEM720881:GEX720883 GOI720881:GOT720883 GYE720881:GYP720883 HIA720881:HIL720883 HRW720881:HSH720883 IBS720881:ICD720883 ILO720881:ILZ720883 IVK720881:IVV720883 JFG720881:JFR720883 JPC720881:JPN720883 JYY720881:JZJ720883 KIU720881:KJF720883 KSQ720881:KTB720883 LCM720881:LCX720883 LMI720881:LMT720883 LWE720881:LWP720883 MGA720881:MGL720883 MPW720881:MQH720883 MZS720881:NAD720883 NJO720881:NJZ720883 NTK720881:NTV720883 ODG720881:ODR720883 ONC720881:ONN720883 OWY720881:OXJ720883 PGU720881:PHF720883 PQQ720881:PRB720883 QAM720881:QAX720883 QKI720881:QKT720883 QUE720881:QUP720883 REA720881:REL720883 RNW720881:ROH720883 RXS720881:RYD720883 SHO720881:SHZ720883 SRK720881:SRV720883 TBG720881:TBR720883 TLC720881:TLN720883 TUY720881:TVJ720883 UEU720881:UFF720883 UOQ720881:UPB720883 UYM720881:UYX720883 VII720881:VIT720883 VSE720881:VSP720883 WCA720881:WCL720883 WLW720881:WMH720883 WVS720881:WWD720883 JG786417:JR786419 TC786417:TN786419 ACY786417:ADJ786419 AMU786417:ANF786419 AWQ786417:AXB786419 BGM786417:BGX786419 BQI786417:BQT786419 CAE786417:CAP786419 CKA786417:CKL786419 CTW786417:CUH786419 DDS786417:DED786419 DNO786417:DNZ786419 DXK786417:DXV786419 EHG786417:EHR786419 ERC786417:ERN786419 FAY786417:FBJ786419 FKU786417:FLF786419 FUQ786417:FVB786419 GEM786417:GEX786419 GOI786417:GOT786419 GYE786417:GYP786419 HIA786417:HIL786419 HRW786417:HSH786419 IBS786417:ICD786419 ILO786417:ILZ786419 IVK786417:IVV786419 JFG786417:JFR786419 JPC786417:JPN786419 JYY786417:JZJ786419 KIU786417:KJF786419 KSQ786417:KTB786419 LCM786417:LCX786419 LMI786417:LMT786419 LWE786417:LWP786419 MGA786417:MGL786419 MPW786417:MQH786419 MZS786417:NAD786419 NJO786417:NJZ786419 NTK786417:NTV786419 ODG786417:ODR786419 ONC786417:ONN786419 OWY786417:OXJ786419 PGU786417:PHF786419 PQQ786417:PRB786419 QAM786417:QAX786419 QKI786417:QKT786419 QUE786417:QUP786419 REA786417:REL786419 RNW786417:ROH786419 RXS786417:RYD786419 SHO786417:SHZ786419 SRK786417:SRV786419 TBG786417:TBR786419 TLC786417:TLN786419 TUY786417:TVJ786419 UEU786417:UFF786419 UOQ786417:UPB786419 UYM786417:UYX786419 VII786417:VIT786419 VSE786417:VSP786419 WCA786417:WCL786419 WLW786417:WMH786419 WVS786417:WWD786419 JG851953:JR851955 TC851953:TN851955 ACY851953:ADJ851955 AMU851953:ANF851955 AWQ851953:AXB851955 BGM851953:BGX851955 BQI851953:BQT851955 CAE851953:CAP851955 CKA851953:CKL851955 CTW851953:CUH851955 DDS851953:DED851955 DNO851953:DNZ851955 DXK851953:DXV851955 EHG851953:EHR851955 ERC851953:ERN851955 FAY851953:FBJ851955 FKU851953:FLF851955 FUQ851953:FVB851955 GEM851953:GEX851955 GOI851953:GOT851955 GYE851953:GYP851955 HIA851953:HIL851955 HRW851953:HSH851955 IBS851953:ICD851955 ILO851953:ILZ851955 IVK851953:IVV851955 JFG851953:JFR851955 JPC851953:JPN851955 JYY851953:JZJ851955 KIU851953:KJF851955 KSQ851953:KTB851955 LCM851953:LCX851955 LMI851953:LMT851955 LWE851953:LWP851955 MGA851953:MGL851955 MPW851953:MQH851955 MZS851953:NAD851955 NJO851953:NJZ851955 NTK851953:NTV851955 ODG851953:ODR851955 ONC851953:ONN851955 OWY851953:OXJ851955 PGU851953:PHF851955 PQQ851953:PRB851955 QAM851953:QAX851955 QKI851953:QKT851955 QUE851953:QUP851955 REA851953:REL851955 RNW851953:ROH851955 RXS851953:RYD851955 SHO851953:SHZ851955 SRK851953:SRV851955 TBG851953:TBR851955 TLC851953:TLN851955 TUY851953:TVJ851955 UEU851953:UFF851955 UOQ851953:UPB851955 UYM851953:UYX851955 VII851953:VIT851955 VSE851953:VSP851955 WCA851953:WCL851955 WLW851953:WMH851955 WVS851953:WWD851955 JG917489:JR917491 TC917489:TN917491 ACY917489:ADJ917491 AMU917489:ANF917491 AWQ917489:AXB917491 BGM917489:BGX917491 BQI917489:BQT917491 CAE917489:CAP917491 CKA917489:CKL917491 CTW917489:CUH917491 DDS917489:DED917491 DNO917489:DNZ917491 DXK917489:DXV917491 EHG917489:EHR917491 ERC917489:ERN917491 FAY917489:FBJ917491 FKU917489:FLF917491 FUQ917489:FVB917491 GEM917489:GEX917491 GOI917489:GOT917491 GYE917489:GYP917491 HIA917489:HIL917491 HRW917489:HSH917491 IBS917489:ICD917491 ILO917489:ILZ917491 IVK917489:IVV917491 JFG917489:JFR917491 JPC917489:JPN917491 JYY917489:JZJ917491 KIU917489:KJF917491 KSQ917489:KTB917491 LCM917489:LCX917491 LMI917489:LMT917491 LWE917489:LWP917491 MGA917489:MGL917491 MPW917489:MQH917491 MZS917489:NAD917491 NJO917489:NJZ917491 NTK917489:NTV917491 ODG917489:ODR917491 ONC917489:ONN917491 OWY917489:OXJ917491 PGU917489:PHF917491 PQQ917489:PRB917491 QAM917489:QAX917491 QKI917489:QKT917491 QUE917489:QUP917491 REA917489:REL917491 RNW917489:ROH917491 RXS917489:RYD917491 SHO917489:SHZ917491 SRK917489:SRV917491 TBG917489:TBR917491 TLC917489:TLN917491 TUY917489:TVJ917491 UEU917489:UFF917491 UOQ917489:UPB917491 UYM917489:UYX917491 VII917489:VIT917491 VSE917489:VSP917491 WCA917489:WCL917491 WLW917489:WMH917491 WVS917489:WWD917491 JG983025:JR983027 TC983025:TN983027 ACY983025:ADJ983027 AMU983025:ANF983027 AWQ983025:AXB983027 BGM983025:BGX983027 BQI983025:BQT983027 CAE983025:CAP983027 CKA983025:CKL983027 CTW983025:CUH983027 DDS983025:DED983027 DNO983025:DNZ983027 DXK983025:DXV983027 EHG983025:EHR983027 ERC983025:ERN983027 FAY983025:FBJ983027 FKU983025:FLF983027 FUQ983025:FVB983027 GEM983025:GEX983027 GOI983025:GOT983027 GYE983025:GYP983027 HIA983025:HIL983027 HRW983025:HSH983027 IBS983025:ICD983027 ILO983025:ILZ983027 IVK983025:IVV983027 JFG983025:JFR983027 JPC983025:JPN983027 JYY983025:JZJ983027 KIU983025:KJF983027 KSQ983025:KTB983027 LCM983025:LCX983027 LMI983025:LMT983027 LWE983025:LWP983027 MGA983025:MGL983027 MPW983025:MQH983027 MZS983025:NAD983027 NJO983025:NJZ983027 NTK983025:NTV983027 ODG983025:ODR983027 ONC983025:ONN983027 OWY983025:OXJ983027 PGU983025:PHF983027 PQQ983025:PRB983027 QAM983025:QAX983027 QKI983025:QKT983027 QUE983025:QUP983027 REA983025:REL983027 RNW983025:ROH983027 RXS983025:RYD983027 SHO983025:SHZ983027 SRK983025:SRV983027 TBG983025:TBR983027 TLC983025:TLN983027 TUY983025:TVJ983027 UEU983025:UFF983027 UOQ983025:UPB983027 UYM983025:UYX983027 VII983025:VIT983027 VSE983025:VSP983027 WCA983025:WCL983027 WLW983025:WMH983027 Z262124:AJ262126 Z196588:AJ196590 Z131052:AJ131054 Z65516:AJ65518 Z983025:AJ983027 Z917489:AJ917491 Z851953:AJ851955 Z786417:AJ786419 Z720881:AJ720883 Z655345:AJ655347 Z589809:AJ589811 Z524273:AJ524275 Z458737:AJ458739 Z393201:AJ393203 Z327665:AJ327667 Z262129:AJ262131 Z196593:AJ196595 Z131057:AJ131059 Z65521:AJ65523 Z983020:AJ983022 Z917484:AJ917486 Z851948:AJ851950 Z786412:AJ786414 Z720876:AJ720878 Z655340:AJ655342 Z589804:AJ589806 Z524268:AJ524270 Z458732:AJ458734 Z393196:AJ393198 Z327660:AJ327662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Y8:Z46">
      <formula1>"文字,数値,日付,時間"</formula1>
    </dataValidation>
    <dataValidation type="list" allowBlank="1" showInputMessage="1" showErrorMessage="1" sqref="AA8:AA46">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tabColor theme="0" tint="-0.499984740745262"/>
  </sheetPr>
  <dimension ref="A1:BD46"/>
  <sheetViews>
    <sheetView showGridLines="0" zoomScaleNormal="100" zoomScaleSheetLayoutView="100" workbookViewId="0">
      <selection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6"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6"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パレット在庫情報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6"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6"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t_pallet_zaiko</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6"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6"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6" ht="14.4" customHeight="1">
      <c r="A8" s="37">
        <f>IF(B8="","",COUNTA($B$8:B8))</f>
        <v>1</v>
      </c>
      <c r="B8" s="35" t="s">
        <v>157</v>
      </c>
      <c r="C8" s="34"/>
      <c r="D8" s="34"/>
      <c r="E8" s="34"/>
      <c r="F8" s="34"/>
      <c r="G8" s="34"/>
      <c r="H8" s="34"/>
      <c r="I8" s="202" t="s">
        <v>1284</v>
      </c>
      <c r="J8" s="27"/>
      <c r="K8" s="27"/>
      <c r="L8" s="27"/>
      <c r="M8" s="27"/>
      <c r="N8" s="27"/>
      <c r="O8" s="27"/>
      <c r="P8" s="27"/>
      <c r="Q8" s="27"/>
      <c r="R8" s="35" t="s">
        <v>157</v>
      </c>
      <c r="S8" s="34"/>
      <c r="T8" s="34"/>
      <c r="U8" s="34"/>
      <c r="V8" s="34"/>
      <c r="W8" s="34"/>
      <c r="X8" s="34"/>
      <c r="Y8" s="589" t="s">
        <v>141</v>
      </c>
      <c r="Z8" s="636"/>
      <c r="AA8" s="591" t="s">
        <v>1285</v>
      </c>
      <c r="AB8" s="592"/>
      <c r="AC8" s="593"/>
      <c r="AD8" s="53">
        <v>15</v>
      </c>
      <c r="AE8" s="25"/>
      <c r="AF8" s="25">
        <v>1</v>
      </c>
      <c r="AG8" s="25" t="s">
        <v>84</v>
      </c>
      <c r="AH8" s="25"/>
      <c r="AI8" s="25"/>
      <c r="AJ8" s="25"/>
      <c r="AK8" s="25"/>
      <c r="AL8" s="25"/>
      <c r="AM8" s="25"/>
      <c r="AN8" s="25"/>
      <c r="AO8" s="25"/>
      <c r="AP8" s="25"/>
      <c r="AQ8" s="25"/>
      <c r="AR8" s="25"/>
      <c r="AS8" s="215" t="s">
        <v>1312</v>
      </c>
      <c r="AT8" s="36"/>
      <c r="AU8" s="36"/>
      <c r="AV8" s="36"/>
      <c r="AW8" s="36"/>
      <c r="AX8" s="36"/>
      <c r="AY8" s="36"/>
      <c r="AZ8" s="36"/>
      <c r="BA8" s="36"/>
      <c r="BB8" s="36"/>
      <c r="BC8" s="36"/>
      <c r="BD8" s="50"/>
    </row>
    <row r="9" spans="1:56" ht="14.4" customHeight="1">
      <c r="A9" s="37">
        <f>IF(B9="","",COUNTA($B$8:B9))</f>
        <v>2</v>
      </c>
      <c r="B9" s="17" t="s">
        <v>1288</v>
      </c>
      <c r="C9" s="18"/>
      <c r="D9" s="18"/>
      <c r="E9" s="18"/>
      <c r="F9" s="18"/>
      <c r="G9" s="18"/>
      <c r="H9" s="203"/>
      <c r="I9" s="202" t="s">
        <v>1289</v>
      </c>
      <c r="J9" s="20"/>
      <c r="K9" s="20"/>
      <c r="L9" s="20"/>
      <c r="M9" s="20"/>
      <c r="N9" s="20"/>
      <c r="O9" s="20"/>
      <c r="P9" s="20"/>
      <c r="Q9" s="204"/>
      <c r="R9" s="17" t="s">
        <v>1290</v>
      </c>
      <c r="S9" s="20"/>
      <c r="T9" s="20"/>
      <c r="U9" s="20"/>
      <c r="V9" s="20"/>
      <c r="W9" s="20"/>
      <c r="X9" s="203"/>
      <c r="Y9" s="589" t="s">
        <v>1286</v>
      </c>
      <c r="Z9" s="636"/>
      <c r="AA9" s="591" t="s">
        <v>1287</v>
      </c>
      <c r="AB9" s="592"/>
      <c r="AC9" s="593"/>
      <c r="AD9" s="23"/>
      <c r="AE9" s="25"/>
      <c r="AF9" s="25"/>
      <c r="AG9" s="25"/>
      <c r="AH9" s="24"/>
      <c r="AI9" s="24" t="s">
        <v>116</v>
      </c>
      <c r="AJ9" s="24"/>
      <c r="AK9" s="24"/>
      <c r="AL9" s="24"/>
      <c r="AM9" s="24"/>
      <c r="AN9" s="24"/>
      <c r="AO9" s="25"/>
      <c r="AP9" s="25"/>
      <c r="AQ9" s="25"/>
      <c r="AR9" s="25"/>
      <c r="AS9" s="215" t="s">
        <v>1312</v>
      </c>
      <c r="AT9" s="51"/>
      <c r="AU9" s="51"/>
      <c r="AV9" s="51"/>
      <c r="AW9" s="51"/>
      <c r="AX9" s="51"/>
      <c r="AY9" s="51"/>
      <c r="AZ9" s="51"/>
      <c r="BA9" s="51"/>
      <c r="BB9" s="51"/>
      <c r="BC9" s="51"/>
      <c r="BD9" s="52"/>
    </row>
    <row r="10" spans="1:56" ht="14.4" customHeight="1">
      <c r="A10" s="37">
        <f>IF(B10="","",COUNTA($B$8:B10))</f>
        <v>3</v>
      </c>
      <c r="B10" s="35" t="s">
        <v>1529</v>
      </c>
      <c r="C10" s="34"/>
      <c r="D10" s="34"/>
      <c r="E10" s="34"/>
      <c r="F10" s="34"/>
      <c r="G10" s="34"/>
      <c r="H10" s="34"/>
      <c r="I10" s="35" t="s">
        <v>457</v>
      </c>
      <c r="J10" s="27"/>
      <c r="K10" s="27"/>
      <c r="L10" s="27"/>
      <c r="M10" s="27"/>
      <c r="N10" s="27"/>
      <c r="O10" s="27"/>
      <c r="P10" s="27"/>
      <c r="Q10" s="27"/>
      <c r="R10" s="35" t="s">
        <v>1529</v>
      </c>
      <c r="S10" s="34"/>
      <c r="T10" s="34"/>
      <c r="U10" s="34"/>
      <c r="V10" s="34"/>
      <c r="W10" s="34"/>
      <c r="X10" s="34"/>
      <c r="Y10" s="589" t="s">
        <v>1504</v>
      </c>
      <c r="Z10" s="636"/>
      <c r="AA10" s="591" t="s">
        <v>1505</v>
      </c>
      <c r="AB10" s="592"/>
      <c r="AC10" s="593"/>
      <c r="AD10" s="53">
        <v>5</v>
      </c>
      <c r="AE10" s="25"/>
      <c r="AF10" s="25"/>
      <c r="AG10" s="25"/>
      <c r="AH10" s="25"/>
      <c r="AI10" s="25"/>
      <c r="AJ10" s="25"/>
      <c r="AK10" s="25"/>
      <c r="AL10" s="25"/>
      <c r="AM10" s="25"/>
      <c r="AN10" s="25"/>
      <c r="AO10" s="25"/>
      <c r="AP10" s="25"/>
      <c r="AQ10" s="25"/>
      <c r="AR10" s="25"/>
      <c r="AS10" s="215" t="s">
        <v>1312</v>
      </c>
      <c r="AT10" s="36"/>
      <c r="AU10" s="36"/>
      <c r="AV10" s="36"/>
      <c r="AW10" s="36"/>
      <c r="AX10" s="36"/>
      <c r="AY10" s="36"/>
      <c r="AZ10" s="36"/>
      <c r="BA10" s="36"/>
      <c r="BB10" s="36"/>
      <c r="BC10" s="36"/>
      <c r="BD10" s="50"/>
    </row>
    <row r="11" spans="1:56" ht="14.4" customHeight="1">
      <c r="A11" s="37">
        <f>IF(B11="","",COUNTA($B$8:B11))</f>
        <v>4</v>
      </c>
      <c r="B11" s="35" t="s">
        <v>1514</v>
      </c>
      <c r="C11" s="34"/>
      <c r="D11" s="34"/>
      <c r="E11" s="34"/>
      <c r="F11" s="34"/>
      <c r="G11" s="34"/>
      <c r="H11" s="34"/>
      <c r="I11" s="35" t="s">
        <v>568</v>
      </c>
      <c r="J11" s="27"/>
      <c r="K11" s="27"/>
      <c r="L11" s="27"/>
      <c r="M11" s="27"/>
      <c r="N11" s="27"/>
      <c r="O11" s="27"/>
      <c r="P11" s="27"/>
      <c r="Q11" s="27"/>
      <c r="R11" s="35" t="s">
        <v>1514</v>
      </c>
      <c r="S11" s="34"/>
      <c r="T11" s="34"/>
      <c r="U11" s="34"/>
      <c r="V11" s="34"/>
      <c r="W11" s="34"/>
      <c r="X11" s="34"/>
      <c r="Y11" s="589" t="s">
        <v>1504</v>
      </c>
      <c r="Z11" s="636"/>
      <c r="AA11" s="591" t="s">
        <v>1505</v>
      </c>
      <c r="AB11" s="592"/>
      <c r="AC11" s="593"/>
      <c r="AD11" s="53">
        <v>20</v>
      </c>
      <c r="AE11" s="25"/>
      <c r="AF11" s="25"/>
      <c r="AG11" s="25"/>
      <c r="AH11" s="25"/>
      <c r="AI11" s="25"/>
      <c r="AJ11" s="25"/>
      <c r="AK11" s="25"/>
      <c r="AL11" s="25"/>
      <c r="AM11" s="25"/>
      <c r="AN11" s="25"/>
      <c r="AO11" s="25"/>
      <c r="AP11" s="25"/>
      <c r="AQ11" s="25"/>
      <c r="AR11" s="25"/>
      <c r="AS11" s="215" t="s">
        <v>1312</v>
      </c>
      <c r="AT11" s="36"/>
      <c r="AU11" s="36"/>
      <c r="AV11" s="36"/>
      <c r="AW11" s="36"/>
      <c r="AX11" s="36"/>
      <c r="AY11" s="36"/>
      <c r="AZ11" s="36"/>
      <c r="BA11" s="36"/>
      <c r="BB11" s="36"/>
      <c r="BC11" s="36"/>
      <c r="BD11" s="50"/>
    </row>
    <row r="12" spans="1:56" ht="14.4" customHeight="1">
      <c r="A12" s="37">
        <f>IF(B12="","",COUNTA($B$8:B12))</f>
        <v>5</v>
      </c>
      <c r="B12" s="35" t="s">
        <v>1515</v>
      </c>
      <c r="C12" s="34"/>
      <c r="D12" s="34"/>
      <c r="E12" s="34"/>
      <c r="F12" s="34"/>
      <c r="G12" s="34"/>
      <c r="H12" s="34"/>
      <c r="I12" s="35" t="s">
        <v>657</v>
      </c>
      <c r="J12" s="27"/>
      <c r="K12" s="27"/>
      <c r="L12" s="27"/>
      <c r="M12" s="27"/>
      <c r="N12" s="27"/>
      <c r="O12" s="27"/>
      <c r="P12" s="27"/>
      <c r="Q12" s="27"/>
      <c r="R12" s="35" t="s">
        <v>1515</v>
      </c>
      <c r="S12" s="34"/>
      <c r="T12" s="34"/>
      <c r="U12" s="34"/>
      <c r="V12" s="34"/>
      <c r="W12" s="34"/>
      <c r="X12" s="34"/>
      <c r="Y12" s="589" t="s">
        <v>1504</v>
      </c>
      <c r="Z12" s="636"/>
      <c r="AA12" s="591" t="s">
        <v>1505</v>
      </c>
      <c r="AB12" s="592"/>
      <c r="AC12" s="593"/>
      <c r="AD12" s="53">
        <v>30</v>
      </c>
      <c r="AE12" s="25"/>
      <c r="AF12" s="25"/>
      <c r="AG12" s="25"/>
      <c r="AH12" s="25"/>
      <c r="AI12" s="25"/>
      <c r="AJ12" s="25"/>
      <c r="AK12" s="25"/>
      <c r="AL12" s="25"/>
      <c r="AM12" s="25"/>
      <c r="AN12" s="25"/>
      <c r="AO12" s="25"/>
      <c r="AP12" s="25"/>
      <c r="AQ12" s="25"/>
      <c r="AR12" s="25"/>
      <c r="AS12" s="215" t="s">
        <v>1312</v>
      </c>
      <c r="AT12" s="36"/>
      <c r="AU12" s="36"/>
      <c r="AV12" s="36"/>
      <c r="AW12" s="36"/>
      <c r="AX12" s="36"/>
      <c r="AY12" s="36"/>
      <c r="AZ12" s="36"/>
      <c r="BA12" s="36"/>
      <c r="BB12" s="36"/>
      <c r="BC12" s="36"/>
      <c r="BD12" s="50"/>
    </row>
    <row r="13" spans="1:56" ht="14.4" customHeight="1">
      <c r="A13" s="37">
        <f>IF(B13="","",COUNTA($B$8:B13))</f>
        <v>6</v>
      </c>
      <c r="B13" s="35" t="s">
        <v>1291</v>
      </c>
      <c r="C13" s="34"/>
      <c r="D13" s="34"/>
      <c r="E13" s="34"/>
      <c r="F13" s="34"/>
      <c r="G13" s="34"/>
      <c r="H13" s="34"/>
      <c r="I13" s="202" t="s">
        <v>1292</v>
      </c>
      <c r="J13" s="27"/>
      <c r="K13" s="27"/>
      <c r="L13" s="27"/>
      <c r="M13" s="27"/>
      <c r="N13" s="27"/>
      <c r="O13" s="27"/>
      <c r="P13" s="27"/>
      <c r="Q13" s="27"/>
      <c r="R13" s="35" t="s">
        <v>1291</v>
      </c>
      <c r="S13" s="34"/>
      <c r="T13" s="34"/>
      <c r="U13" s="34"/>
      <c r="V13" s="34"/>
      <c r="W13" s="34"/>
      <c r="X13" s="34"/>
      <c r="Y13" s="589" t="s">
        <v>141</v>
      </c>
      <c r="Z13" s="636"/>
      <c r="AA13" s="591" t="s">
        <v>1285</v>
      </c>
      <c r="AB13" s="592"/>
      <c r="AC13" s="593"/>
      <c r="AD13" s="205">
        <v>30</v>
      </c>
      <c r="AE13" s="25"/>
      <c r="AF13" s="25"/>
      <c r="AG13" s="25"/>
      <c r="AH13" s="25"/>
      <c r="AI13" s="25"/>
      <c r="AJ13" s="25"/>
      <c r="AK13" s="25"/>
      <c r="AL13" s="25"/>
      <c r="AM13" s="25"/>
      <c r="AN13" s="25"/>
      <c r="AO13" s="25"/>
      <c r="AP13" s="25"/>
      <c r="AQ13" s="25"/>
      <c r="AR13" s="25"/>
      <c r="AS13" s="26" t="s">
        <v>1311</v>
      </c>
      <c r="AT13" s="36"/>
      <c r="AU13" s="36"/>
      <c r="AV13" s="36"/>
      <c r="AW13" s="36"/>
      <c r="AX13" s="36"/>
      <c r="AY13" s="51"/>
      <c r="AZ13" s="51"/>
      <c r="BA13" s="51"/>
      <c r="BB13" s="51"/>
      <c r="BC13" s="51"/>
      <c r="BD13" s="52"/>
    </row>
    <row r="14" spans="1:56" ht="14.4" customHeight="1">
      <c r="A14" s="37">
        <f>IF(B14="","",COUNTA($B$8:B14))</f>
        <v>7</v>
      </c>
      <c r="B14" s="6" t="s">
        <v>1544</v>
      </c>
      <c r="C14" s="207"/>
      <c r="D14" s="207"/>
      <c r="E14" s="207"/>
      <c r="F14" s="207"/>
      <c r="G14" s="207"/>
      <c r="H14" s="207"/>
      <c r="I14" s="208" t="s">
        <v>1293</v>
      </c>
      <c r="J14" s="3"/>
      <c r="K14" s="209"/>
      <c r="L14" s="209"/>
      <c r="M14" s="209"/>
      <c r="N14" s="209"/>
      <c r="O14" s="209"/>
      <c r="P14" s="209"/>
      <c r="Q14" s="209"/>
      <c r="R14" s="208" t="s">
        <v>1710</v>
      </c>
      <c r="S14" s="209"/>
      <c r="T14" s="209"/>
      <c r="U14" s="3"/>
      <c r="V14" s="3"/>
      <c r="W14" s="3"/>
      <c r="X14" s="4"/>
      <c r="Y14" s="6" t="s">
        <v>1516</v>
      </c>
      <c r="Z14" s="210"/>
      <c r="AA14" s="49" t="s">
        <v>1517</v>
      </c>
      <c r="AB14" s="211"/>
      <c r="AC14" s="211"/>
      <c r="AD14" s="212">
        <v>5</v>
      </c>
      <c r="AE14" s="213" t="s">
        <v>1585</v>
      </c>
      <c r="AF14" s="213"/>
      <c r="AG14" s="213"/>
      <c r="AH14" s="213"/>
      <c r="AI14" s="213"/>
      <c r="AJ14" s="213"/>
      <c r="AK14" s="213"/>
      <c r="AL14" s="213"/>
      <c r="AM14" s="213"/>
      <c r="AN14" s="213"/>
      <c r="AO14" s="214"/>
      <c r="AP14" s="214"/>
      <c r="AQ14" s="214"/>
      <c r="AR14" s="214"/>
      <c r="AS14" s="215" t="s">
        <v>1312</v>
      </c>
      <c r="AT14" s="216"/>
      <c r="AU14" s="217"/>
      <c r="AV14" s="217"/>
      <c r="AW14" s="217"/>
      <c r="AX14" s="217"/>
      <c r="AY14" s="36"/>
      <c r="AZ14" s="36"/>
      <c r="BA14" s="36"/>
      <c r="BB14" s="36"/>
      <c r="BC14" s="36"/>
      <c r="BD14" s="50"/>
    </row>
    <row r="15" spans="1:56" ht="14.4" customHeight="1">
      <c r="A15" s="37">
        <f>IF(B15="","",COUNTA($B$8:B15))</f>
        <v>8</v>
      </c>
      <c r="B15" s="35" t="s">
        <v>1296</v>
      </c>
      <c r="C15" s="34"/>
      <c r="D15" s="34"/>
      <c r="E15" s="34"/>
      <c r="F15" s="34"/>
      <c r="G15" s="34"/>
      <c r="H15" s="34"/>
      <c r="I15" s="202" t="s">
        <v>1297</v>
      </c>
      <c r="J15" s="27"/>
      <c r="K15" s="27"/>
      <c r="L15" s="27"/>
      <c r="M15" s="27"/>
      <c r="N15" s="27"/>
      <c r="O15" s="27"/>
      <c r="P15" s="27"/>
      <c r="Q15" s="27"/>
      <c r="R15" s="35" t="s">
        <v>1296</v>
      </c>
      <c r="S15" s="34"/>
      <c r="T15" s="34"/>
      <c r="U15" s="34"/>
      <c r="V15" s="34"/>
      <c r="W15" s="34"/>
      <c r="X15" s="34"/>
      <c r="Y15" s="589" t="s">
        <v>1294</v>
      </c>
      <c r="Z15" s="636"/>
      <c r="AA15" s="591" t="s">
        <v>1295</v>
      </c>
      <c r="AB15" s="592"/>
      <c r="AC15" s="593"/>
      <c r="AD15" s="53">
        <v>5</v>
      </c>
      <c r="AE15" s="25"/>
      <c r="AF15" s="25"/>
      <c r="AG15" s="25"/>
      <c r="AH15" s="25"/>
      <c r="AI15" s="25"/>
      <c r="AJ15" s="25"/>
      <c r="AK15" s="25"/>
      <c r="AL15" s="25"/>
      <c r="AM15" s="25"/>
      <c r="AN15" s="25"/>
      <c r="AO15" s="25"/>
      <c r="AP15" s="25"/>
      <c r="AQ15" s="25"/>
      <c r="AR15" s="25"/>
      <c r="AS15" s="215" t="s">
        <v>1314</v>
      </c>
      <c r="AT15" s="36"/>
      <c r="AU15" s="36"/>
      <c r="AV15" s="36"/>
      <c r="AW15" s="36"/>
      <c r="AX15" s="36"/>
      <c r="AY15" s="36"/>
      <c r="AZ15" s="36"/>
      <c r="BA15" s="36"/>
      <c r="BB15" s="36"/>
      <c r="BC15" s="36"/>
      <c r="BD15" s="50"/>
    </row>
    <row r="16" spans="1:56" ht="14.4" customHeight="1">
      <c r="A16" s="37">
        <f>IF(B16="","",COUNTA($B$8:B16))</f>
        <v>9</v>
      </c>
      <c r="B16" s="35" t="s">
        <v>1298</v>
      </c>
      <c r="C16" s="34"/>
      <c r="D16" s="34"/>
      <c r="E16" s="34"/>
      <c r="F16" s="34"/>
      <c r="G16" s="34"/>
      <c r="H16" s="34"/>
      <c r="I16" s="202" t="s">
        <v>1299</v>
      </c>
      <c r="J16" s="27"/>
      <c r="K16" s="27"/>
      <c r="L16" s="27"/>
      <c r="M16" s="27"/>
      <c r="N16" s="27"/>
      <c r="O16" s="27"/>
      <c r="P16" s="27"/>
      <c r="Q16" s="27"/>
      <c r="R16" s="35" t="s">
        <v>1298</v>
      </c>
      <c r="S16" s="34"/>
      <c r="T16" s="34"/>
      <c r="U16" s="34"/>
      <c r="V16" s="34"/>
      <c r="W16" s="34"/>
      <c r="X16" s="34"/>
      <c r="Y16" s="589" t="s">
        <v>1294</v>
      </c>
      <c r="Z16" s="636"/>
      <c r="AA16" s="591" t="s">
        <v>1295</v>
      </c>
      <c r="AB16" s="592"/>
      <c r="AC16" s="593"/>
      <c r="AD16" s="53">
        <v>5</v>
      </c>
      <c r="AE16" s="25"/>
      <c r="AF16" s="25"/>
      <c r="AG16" s="25"/>
      <c r="AH16" s="25"/>
      <c r="AI16" s="25"/>
      <c r="AJ16" s="25"/>
      <c r="AK16" s="25"/>
      <c r="AL16" s="25"/>
      <c r="AM16" s="25"/>
      <c r="AN16" s="25"/>
      <c r="AO16" s="25"/>
      <c r="AP16" s="25"/>
      <c r="AQ16" s="25"/>
      <c r="AR16" s="25"/>
      <c r="AS16" s="35" t="s">
        <v>1313</v>
      </c>
      <c r="AT16" s="36"/>
      <c r="AU16" s="36"/>
      <c r="AV16" s="36"/>
      <c r="AW16" s="36"/>
      <c r="AX16" s="36"/>
      <c r="AY16" s="36"/>
      <c r="AZ16" s="36"/>
      <c r="BA16" s="36"/>
      <c r="BB16" s="36"/>
      <c r="BC16" s="36"/>
      <c r="BD16" s="50"/>
    </row>
    <row r="17" spans="1:56" ht="14.4" customHeight="1">
      <c r="A17" s="37">
        <f>IF(B17="","",COUNTA($B$8:B17))</f>
        <v>10</v>
      </c>
      <c r="B17" s="35" t="s">
        <v>589</v>
      </c>
      <c r="C17" s="34"/>
      <c r="D17" s="34"/>
      <c r="E17" s="34"/>
      <c r="F17" s="34"/>
      <c r="G17" s="34"/>
      <c r="H17" s="34"/>
      <c r="I17" s="35" t="s">
        <v>1507</v>
      </c>
      <c r="J17" s="27"/>
      <c r="K17" s="27"/>
      <c r="L17" s="27"/>
      <c r="M17" s="27"/>
      <c r="N17" s="27"/>
      <c r="O17" s="27"/>
      <c r="P17" s="27"/>
      <c r="Q17" s="27"/>
      <c r="R17" s="35" t="s">
        <v>589</v>
      </c>
      <c r="S17" s="34"/>
      <c r="T17" s="34"/>
      <c r="U17" s="34"/>
      <c r="V17" s="34"/>
      <c r="W17" s="34"/>
      <c r="X17" s="34"/>
      <c r="Y17" s="589" t="s">
        <v>1504</v>
      </c>
      <c r="Z17" s="590"/>
      <c r="AA17" s="591" t="s">
        <v>1505</v>
      </c>
      <c r="AB17" s="592"/>
      <c r="AC17" s="593"/>
      <c r="AD17" s="53">
        <v>3</v>
      </c>
      <c r="AE17" s="25"/>
      <c r="AF17" s="25"/>
      <c r="AG17" s="25"/>
      <c r="AH17" s="25"/>
      <c r="AI17" s="25"/>
      <c r="AJ17" s="25"/>
      <c r="AK17" s="25"/>
      <c r="AL17" s="25"/>
      <c r="AM17" s="25"/>
      <c r="AN17" s="25"/>
      <c r="AO17" s="25"/>
      <c r="AP17" s="25"/>
      <c r="AQ17" s="25"/>
      <c r="AR17" s="25"/>
      <c r="AS17" s="35" t="s">
        <v>1315</v>
      </c>
      <c r="AT17" s="36"/>
      <c r="AU17" s="36"/>
      <c r="AV17" s="36"/>
      <c r="AW17" s="36"/>
      <c r="AX17" s="36"/>
      <c r="AY17" s="36"/>
      <c r="AZ17" s="36"/>
      <c r="BA17" s="36"/>
      <c r="BB17" s="36"/>
      <c r="BC17" s="36"/>
      <c r="BD17" s="50"/>
    </row>
    <row r="18" spans="1:56" ht="14.4" customHeight="1">
      <c r="A18" s="37">
        <f>IF(B18="","",COUNTA($B$8:B18))</f>
        <v>11</v>
      </c>
      <c r="B18" s="17" t="s">
        <v>425</v>
      </c>
      <c r="C18" s="18"/>
      <c r="D18" s="18"/>
      <c r="E18" s="18"/>
      <c r="F18" s="18"/>
      <c r="G18" s="18"/>
      <c r="H18" s="203"/>
      <c r="I18" s="202" t="s">
        <v>1300</v>
      </c>
      <c r="J18" s="20"/>
      <c r="K18" s="20"/>
      <c r="L18" s="20"/>
      <c r="M18" s="20"/>
      <c r="N18" s="20"/>
      <c r="O18" s="20"/>
      <c r="P18" s="20"/>
      <c r="Q18" s="204"/>
      <c r="R18" s="17" t="s">
        <v>425</v>
      </c>
      <c r="S18" s="20"/>
      <c r="T18" s="20"/>
      <c r="U18" s="20"/>
      <c r="V18" s="20"/>
      <c r="W18" s="20"/>
      <c r="X18" s="203"/>
      <c r="Y18" s="589" t="s">
        <v>141</v>
      </c>
      <c r="Z18" s="636"/>
      <c r="AA18" s="591" t="s">
        <v>1285</v>
      </c>
      <c r="AB18" s="592"/>
      <c r="AC18" s="593"/>
      <c r="AD18" s="23">
        <v>4</v>
      </c>
      <c r="AE18" s="25"/>
      <c r="AF18" s="25"/>
      <c r="AG18" s="25"/>
      <c r="AH18" s="24"/>
      <c r="AI18" s="24"/>
      <c r="AJ18" s="24"/>
      <c r="AK18" s="24"/>
      <c r="AL18" s="24"/>
      <c r="AM18" s="24"/>
      <c r="AN18" s="24"/>
      <c r="AO18" s="25"/>
      <c r="AP18" s="25"/>
      <c r="AQ18" s="25"/>
      <c r="AR18" s="25"/>
      <c r="AS18" s="26"/>
      <c r="AT18" s="51"/>
      <c r="AU18" s="51"/>
      <c r="AV18" s="51"/>
      <c r="AW18" s="51"/>
      <c r="AX18" s="51"/>
      <c r="AY18" s="36"/>
      <c r="AZ18" s="36"/>
      <c r="BA18" s="36"/>
      <c r="BB18" s="36"/>
      <c r="BC18" s="36"/>
      <c r="BD18" s="50"/>
    </row>
    <row r="19" spans="1:56" ht="14.4" customHeight="1">
      <c r="A19" s="37">
        <f>IF(B19="","",COUNTA($B$8:B19))</f>
        <v>12</v>
      </c>
      <c r="B19" s="17" t="s">
        <v>423</v>
      </c>
      <c r="C19" s="18"/>
      <c r="D19" s="18"/>
      <c r="E19" s="18"/>
      <c r="F19" s="18"/>
      <c r="G19" s="18"/>
      <c r="H19" s="203"/>
      <c r="I19" s="202" t="s">
        <v>1301</v>
      </c>
      <c r="J19" s="20"/>
      <c r="K19" s="20"/>
      <c r="L19" s="20"/>
      <c r="M19" s="20"/>
      <c r="N19" s="20"/>
      <c r="O19" s="20"/>
      <c r="P19" s="20"/>
      <c r="Q19" s="204"/>
      <c r="R19" s="17" t="s">
        <v>423</v>
      </c>
      <c r="S19" s="20"/>
      <c r="T19" s="20"/>
      <c r="U19" s="20"/>
      <c r="V19" s="20"/>
      <c r="W19" s="20"/>
      <c r="X19" s="203"/>
      <c r="Y19" s="589" t="s">
        <v>141</v>
      </c>
      <c r="Z19" s="636"/>
      <c r="AA19" s="591" t="s">
        <v>1285</v>
      </c>
      <c r="AB19" s="592"/>
      <c r="AC19" s="593"/>
      <c r="AD19" s="23">
        <v>4</v>
      </c>
      <c r="AE19" s="25"/>
      <c r="AF19" s="25"/>
      <c r="AG19" s="25"/>
      <c r="AH19" s="24"/>
      <c r="AI19" s="24"/>
      <c r="AJ19" s="24"/>
      <c r="AK19" s="24"/>
      <c r="AL19" s="24"/>
      <c r="AM19" s="24"/>
      <c r="AN19" s="24"/>
      <c r="AO19" s="25"/>
      <c r="AP19" s="25"/>
      <c r="AQ19" s="25"/>
      <c r="AR19" s="25"/>
      <c r="AS19" s="26"/>
      <c r="AT19" s="51"/>
      <c r="AU19" s="51"/>
      <c r="AV19" s="51"/>
      <c r="AW19" s="51"/>
      <c r="AX19" s="51"/>
      <c r="AY19" s="51"/>
      <c r="AZ19" s="51"/>
      <c r="BA19" s="51"/>
      <c r="BB19" s="51"/>
      <c r="BC19" s="51"/>
      <c r="BD19" s="52"/>
    </row>
    <row r="20" spans="1:56" ht="14.4" customHeight="1">
      <c r="A20" s="37">
        <f>IF(B20="","",COUNTA($B$8:B20))</f>
        <v>13</v>
      </c>
      <c r="B20" s="17" t="s">
        <v>1302</v>
      </c>
      <c r="C20" s="18"/>
      <c r="D20" s="18"/>
      <c r="E20" s="18"/>
      <c r="F20" s="18"/>
      <c r="G20" s="18"/>
      <c r="H20" s="203"/>
      <c r="I20" s="26" t="s">
        <v>1303</v>
      </c>
      <c r="J20" s="20"/>
      <c r="K20" s="20"/>
      <c r="L20" s="20"/>
      <c r="M20" s="20"/>
      <c r="N20" s="20"/>
      <c r="O20" s="20"/>
      <c r="P20" s="20"/>
      <c r="Q20" s="204"/>
      <c r="R20" s="17" t="s">
        <v>1302</v>
      </c>
      <c r="S20" s="20"/>
      <c r="T20" s="20"/>
      <c r="U20" s="20"/>
      <c r="V20" s="20"/>
      <c r="W20" s="20"/>
      <c r="X20" s="203"/>
      <c r="Y20" s="589" t="s">
        <v>141</v>
      </c>
      <c r="Z20" s="636"/>
      <c r="AA20" s="591" t="s">
        <v>1285</v>
      </c>
      <c r="AB20" s="592"/>
      <c r="AC20" s="593"/>
      <c r="AD20" s="23">
        <v>10</v>
      </c>
      <c r="AE20" s="25"/>
      <c r="AF20" s="25"/>
      <c r="AG20" s="25"/>
      <c r="AH20" s="25"/>
      <c r="AI20" s="25"/>
      <c r="AJ20" s="25"/>
      <c r="AK20" s="25"/>
      <c r="AL20" s="25"/>
      <c r="AM20" s="25"/>
      <c r="AN20" s="25"/>
      <c r="AO20" s="25"/>
      <c r="AP20" s="25"/>
      <c r="AQ20" s="25"/>
      <c r="AR20" s="25"/>
      <c r="AS20" s="35"/>
      <c r="AT20" s="36"/>
      <c r="AU20" s="36"/>
      <c r="AV20" s="36"/>
      <c r="AW20" s="36"/>
      <c r="AX20" s="36"/>
      <c r="AY20" s="51"/>
      <c r="AZ20" s="51"/>
      <c r="BA20" s="51"/>
      <c r="BB20" s="51"/>
      <c r="BC20" s="51"/>
      <c r="BD20" s="52"/>
    </row>
    <row r="21" spans="1:56" ht="14.4" customHeight="1">
      <c r="A21" s="206">
        <f>IF(B21="","",COUNTA($B$8:B21))</f>
        <v>14</v>
      </c>
      <c r="B21" s="17" t="s">
        <v>543</v>
      </c>
      <c r="C21" s="18"/>
      <c r="D21" s="18"/>
      <c r="E21" s="18"/>
      <c r="F21" s="18"/>
      <c r="G21" s="18"/>
      <c r="H21" s="203"/>
      <c r="I21" s="26" t="s">
        <v>1303</v>
      </c>
      <c r="J21" s="20"/>
      <c r="K21" s="20"/>
      <c r="L21" s="20"/>
      <c r="M21" s="20"/>
      <c r="N21" s="20"/>
      <c r="O21" s="20"/>
      <c r="P21" s="20"/>
      <c r="Q21" s="204"/>
      <c r="R21" s="17" t="s">
        <v>543</v>
      </c>
      <c r="S21" s="20"/>
      <c r="T21" s="20"/>
      <c r="U21" s="20"/>
      <c r="V21" s="20"/>
      <c r="W21" s="20"/>
      <c r="X21" s="203"/>
      <c r="Y21" s="589" t="s">
        <v>141</v>
      </c>
      <c r="Z21" s="636"/>
      <c r="AA21" s="591" t="s">
        <v>1285</v>
      </c>
      <c r="AB21" s="592"/>
      <c r="AC21" s="593"/>
      <c r="AD21" s="23">
        <v>10</v>
      </c>
      <c r="AE21" s="25"/>
      <c r="AF21" s="25"/>
      <c r="AG21" s="25"/>
      <c r="AH21" s="25"/>
      <c r="AI21" s="25"/>
      <c r="AJ21" s="25"/>
      <c r="AK21" s="25"/>
      <c r="AL21" s="25"/>
      <c r="AM21" s="25"/>
      <c r="AN21" s="25"/>
      <c r="AO21" s="25"/>
      <c r="AP21" s="25"/>
      <c r="AQ21" s="25"/>
      <c r="AR21" s="25"/>
      <c r="AS21" s="35"/>
      <c r="AT21" s="36"/>
      <c r="AU21" s="36"/>
      <c r="AV21" s="36"/>
      <c r="AW21" s="36"/>
      <c r="AX21" s="36"/>
      <c r="AY21" s="36"/>
      <c r="AZ21" s="36"/>
      <c r="BA21" s="36"/>
      <c r="BB21" s="36"/>
      <c r="BC21" s="36"/>
      <c r="BD21" s="50"/>
    </row>
    <row r="22" spans="1:56" ht="14.4" customHeight="1">
      <c r="A22" s="206">
        <f>IF(B22="","",COUNTA($B$8:B22))</f>
        <v>15</v>
      </c>
      <c r="B22" s="17" t="s">
        <v>547</v>
      </c>
      <c r="C22" s="18"/>
      <c r="D22" s="18"/>
      <c r="E22" s="18"/>
      <c r="F22" s="18"/>
      <c r="G22" s="18"/>
      <c r="H22" s="203"/>
      <c r="I22" s="26" t="s">
        <v>1304</v>
      </c>
      <c r="J22" s="20"/>
      <c r="K22" s="20"/>
      <c r="L22" s="20"/>
      <c r="M22" s="20"/>
      <c r="N22" s="20"/>
      <c r="O22" s="20"/>
      <c r="P22" s="20"/>
      <c r="Q22" s="204"/>
      <c r="R22" s="17" t="s">
        <v>547</v>
      </c>
      <c r="S22" s="20"/>
      <c r="T22" s="20"/>
      <c r="U22" s="20"/>
      <c r="V22" s="20"/>
      <c r="W22" s="20"/>
      <c r="X22" s="203"/>
      <c r="Y22" s="589" t="s">
        <v>1286</v>
      </c>
      <c r="Z22" s="636"/>
      <c r="AA22" s="591" t="s">
        <v>1305</v>
      </c>
      <c r="AB22" s="592"/>
      <c r="AC22" s="593"/>
      <c r="AD22" s="205"/>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6" ht="14.4" customHeight="1">
      <c r="A23" s="206">
        <f>IF(B23="","",COUNTA($B$8:B23))</f>
        <v>16</v>
      </c>
      <c r="B23" s="17" t="s">
        <v>1306</v>
      </c>
      <c r="C23" s="18"/>
      <c r="D23" s="18"/>
      <c r="E23" s="18"/>
      <c r="F23" s="18"/>
      <c r="G23" s="18"/>
      <c r="H23" s="203"/>
      <c r="I23" s="26" t="s">
        <v>1307</v>
      </c>
      <c r="J23" s="20"/>
      <c r="K23" s="20"/>
      <c r="L23" s="20"/>
      <c r="M23" s="20"/>
      <c r="N23" s="20"/>
      <c r="O23" s="20"/>
      <c r="P23" s="20"/>
      <c r="Q23" s="204"/>
      <c r="R23" s="17" t="s">
        <v>1306</v>
      </c>
      <c r="S23" s="20"/>
      <c r="T23" s="20"/>
      <c r="U23" s="20"/>
      <c r="V23" s="20"/>
      <c r="W23" s="20"/>
      <c r="X23" s="203"/>
      <c r="Y23" s="589" t="s">
        <v>141</v>
      </c>
      <c r="Z23" s="636"/>
      <c r="AA23" s="591" t="s">
        <v>1285</v>
      </c>
      <c r="AB23" s="592"/>
      <c r="AC23" s="593"/>
      <c r="AD23" s="23">
        <v>10</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6" ht="14.4" customHeight="1">
      <c r="A24" s="206">
        <f>IF(B24="","",COUNTA($B$8:B24))</f>
        <v>17</v>
      </c>
      <c r="B24" s="17" t="s">
        <v>389</v>
      </c>
      <c r="C24" s="18"/>
      <c r="D24" s="18"/>
      <c r="E24" s="18"/>
      <c r="F24" s="18"/>
      <c r="G24" s="18"/>
      <c r="H24" s="203"/>
      <c r="I24" s="26" t="s">
        <v>1308</v>
      </c>
      <c r="J24" s="20"/>
      <c r="K24" s="20"/>
      <c r="L24" s="20"/>
      <c r="M24" s="20"/>
      <c r="N24" s="20"/>
      <c r="O24" s="20"/>
      <c r="P24" s="20"/>
      <c r="Q24" s="204"/>
      <c r="R24" s="17" t="s">
        <v>389</v>
      </c>
      <c r="S24" s="20"/>
      <c r="T24" s="20"/>
      <c r="U24" s="20"/>
      <c r="V24" s="20"/>
      <c r="W24" s="20"/>
      <c r="X24" s="203"/>
      <c r="Y24" s="589" t="s">
        <v>141</v>
      </c>
      <c r="Z24" s="636"/>
      <c r="AA24" s="591" t="s">
        <v>1285</v>
      </c>
      <c r="AB24" s="592"/>
      <c r="AC24" s="593"/>
      <c r="AD24" s="205">
        <v>10</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6" ht="14.4" customHeight="1">
      <c r="A25" s="206">
        <f>IF(B25="","",COUNTA($B$8:B25))</f>
        <v>18</v>
      </c>
      <c r="B25" s="17" t="s">
        <v>393</v>
      </c>
      <c r="C25" s="18"/>
      <c r="D25" s="18"/>
      <c r="E25" s="18"/>
      <c r="F25" s="18"/>
      <c r="G25" s="18"/>
      <c r="H25" s="203"/>
      <c r="I25" s="26" t="s">
        <v>1309</v>
      </c>
      <c r="J25" s="20"/>
      <c r="K25" s="20"/>
      <c r="L25" s="20"/>
      <c r="M25" s="20"/>
      <c r="N25" s="20"/>
      <c r="O25" s="20"/>
      <c r="P25" s="20"/>
      <c r="Q25" s="204"/>
      <c r="R25" s="19" t="s">
        <v>393</v>
      </c>
      <c r="S25" s="20"/>
      <c r="T25" s="20"/>
      <c r="U25" s="20"/>
      <c r="V25" s="20"/>
      <c r="W25" s="20"/>
      <c r="X25" s="203"/>
      <c r="Y25" s="589" t="s">
        <v>1286</v>
      </c>
      <c r="Z25" s="636"/>
      <c r="AA25" s="591" t="s">
        <v>1305</v>
      </c>
      <c r="AB25" s="592"/>
      <c r="AC25" s="593"/>
      <c r="AD25" s="205"/>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6" ht="14.4" customHeight="1">
      <c r="A26" s="206" t="str">
        <f>IF(B26="","",COUNTA($B$8:B26))</f>
        <v/>
      </c>
      <c r="B26" s="17"/>
      <c r="C26" s="18"/>
      <c r="D26" s="18"/>
      <c r="E26" s="18"/>
      <c r="F26" s="18"/>
      <c r="G26" s="18"/>
      <c r="H26" s="203"/>
      <c r="I26" s="26"/>
      <c r="J26" s="20"/>
      <c r="K26" s="20"/>
      <c r="L26" s="20"/>
      <c r="M26" s="20"/>
      <c r="N26" s="20"/>
      <c r="O26" s="20"/>
      <c r="P26" s="20"/>
      <c r="Q26" s="204"/>
      <c r="R26" s="19"/>
      <c r="S26" s="20"/>
      <c r="T26" s="20"/>
      <c r="U26" s="20"/>
      <c r="V26" s="20"/>
      <c r="W26" s="20"/>
      <c r="X26" s="203"/>
      <c r="Y26" s="589"/>
      <c r="Z26" s="636"/>
      <c r="AA26" s="591"/>
      <c r="AB26" s="592"/>
      <c r="AC26" s="593"/>
      <c r="AD26" s="205"/>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6" ht="14.4" customHeight="1">
      <c r="A27" s="37" t="str">
        <f>IF(B27="","",COUNTA($B$8:B27))</f>
        <v/>
      </c>
      <c r="B27" s="17"/>
      <c r="C27" s="18"/>
      <c r="D27" s="18"/>
      <c r="E27" s="18"/>
      <c r="F27" s="18"/>
      <c r="G27" s="18"/>
      <c r="H27" s="203"/>
      <c r="I27" s="19"/>
      <c r="J27" s="20"/>
      <c r="K27" s="20"/>
      <c r="L27" s="20"/>
      <c r="M27" s="20"/>
      <c r="N27" s="20"/>
      <c r="O27" s="20"/>
      <c r="P27" s="20"/>
      <c r="Q27" s="204"/>
      <c r="R27" s="17"/>
      <c r="S27" s="20"/>
      <c r="T27" s="20"/>
      <c r="U27" s="20"/>
      <c r="V27" s="20"/>
      <c r="W27" s="20"/>
      <c r="X27" s="203"/>
      <c r="Y27" s="589"/>
      <c r="Z27" s="636"/>
      <c r="AA27" s="591"/>
      <c r="AB27" s="592"/>
      <c r="AC27" s="593"/>
      <c r="AD27" s="23"/>
      <c r="AE27" s="25"/>
      <c r="AF27" s="25"/>
      <c r="AG27" s="25"/>
      <c r="AH27" s="24"/>
      <c r="AI27" s="24"/>
      <c r="AJ27" s="24"/>
      <c r="AK27" s="24"/>
      <c r="AL27" s="24"/>
      <c r="AM27" s="24"/>
      <c r="AN27" s="24"/>
      <c r="AO27" s="25"/>
      <c r="AP27" s="25"/>
      <c r="AQ27" s="25"/>
      <c r="AR27" s="25"/>
      <c r="AS27" s="26"/>
      <c r="AT27" s="51"/>
      <c r="AU27" s="51"/>
      <c r="AV27" s="51"/>
      <c r="AW27" s="51"/>
      <c r="AX27" s="51"/>
      <c r="AY27" s="51"/>
      <c r="AZ27" s="51"/>
      <c r="BA27" s="51"/>
      <c r="BB27" s="51"/>
      <c r="BC27" s="51"/>
      <c r="BD27" s="52"/>
    </row>
    <row r="28" spans="1:56" ht="14.4" customHeight="1">
      <c r="A28" s="37" t="str">
        <f>IF(B28="","",COUNTA($B$8:B28))</f>
        <v/>
      </c>
      <c r="B28" s="17"/>
      <c r="C28" s="34"/>
      <c r="D28" s="34"/>
      <c r="E28" s="34"/>
      <c r="F28" s="34"/>
      <c r="G28" s="34"/>
      <c r="H28" s="34"/>
      <c r="I28" s="19"/>
      <c r="J28" s="27"/>
      <c r="K28" s="27"/>
      <c r="L28" s="27"/>
      <c r="M28" s="27"/>
      <c r="N28" s="27"/>
      <c r="O28" s="27"/>
      <c r="P28" s="27"/>
      <c r="Q28" s="27"/>
      <c r="R28" s="17"/>
      <c r="S28" s="34"/>
      <c r="T28" s="34"/>
      <c r="U28" s="34"/>
      <c r="V28" s="34"/>
      <c r="W28" s="34"/>
      <c r="X28" s="34"/>
      <c r="Y28" s="589"/>
      <c r="Z28" s="590"/>
      <c r="AA28" s="591"/>
      <c r="AB28" s="592"/>
      <c r="AC28" s="593"/>
      <c r="AD28" s="23"/>
      <c r="AE28" s="25"/>
      <c r="AF28" s="25"/>
      <c r="AG28" s="25"/>
      <c r="AH28" s="25"/>
      <c r="AI28" s="25"/>
      <c r="AJ28" s="25"/>
      <c r="AK28" s="25"/>
      <c r="AL28" s="25"/>
      <c r="AM28" s="25"/>
      <c r="AN28" s="25"/>
      <c r="AO28" s="25"/>
      <c r="AP28" s="25"/>
      <c r="AQ28" s="25"/>
      <c r="AR28" s="25"/>
      <c r="AS28" s="26"/>
      <c r="AT28" s="51"/>
      <c r="AU28" s="51"/>
      <c r="AV28" s="51"/>
      <c r="AW28" s="51"/>
      <c r="AX28" s="51"/>
      <c r="AY28" s="51"/>
      <c r="AZ28" s="51"/>
      <c r="BA28" s="51"/>
      <c r="BB28" s="51"/>
      <c r="BC28" s="51"/>
      <c r="BD28" s="52"/>
    </row>
    <row r="29" spans="1:56" ht="14.4" customHeight="1">
      <c r="A29" s="37" t="str">
        <f>IF(B29="","",COUNTA($B$8:B29))</f>
        <v/>
      </c>
      <c r="B29" s="17"/>
      <c r="C29" s="34"/>
      <c r="D29" s="34"/>
      <c r="E29" s="34"/>
      <c r="F29" s="34"/>
      <c r="G29" s="34"/>
      <c r="H29" s="34"/>
      <c r="I29" s="19"/>
      <c r="J29" s="27"/>
      <c r="K29" s="27"/>
      <c r="L29" s="27"/>
      <c r="M29" s="27"/>
      <c r="N29" s="27"/>
      <c r="O29" s="27"/>
      <c r="P29" s="27"/>
      <c r="Q29" s="27"/>
      <c r="R29" s="17"/>
      <c r="S29" s="34"/>
      <c r="T29" s="34"/>
      <c r="U29" s="34"/>
      <c r="V29" s="34"/>
      <c r="W29" s="34"/>
      <c r="X29" s="34"/>
      <c r="Y29" s="589"/>
      <c r="Z29" s="590"/>
      <c r="AA29" s="591"/>
      <c r="AB29" s="592"/>
      <c r="AC29" s="593"/>
      <c r="AD29" s="38"/>
      <c r="AE29" s="25"/>
      <c r="AF29" s="25"/>
      <c r="AG29" s="25"/>
      <c r="AH29" s="25"/>
      <c r="AI29" s="25"/>
      <c r="AJ29" s="25"/>
      <c r="AK29" s="25"/>
      <c r="AL29" s="25"/>
      <c r="AM29" s="25"/>
      <c r="AN29" s="25"/>
      <c r="AO29" s="25"/>
      <c r="AP29" s="25"/>
      <c r="AQ29" s="25"/>
      <c r="AR29" s="25"/>
      <c r="AS29" s="26"/>
      <c r="AT29" s="51"/>
      <c r="AU29" s="51"/>
      <c r="AV29" s="51"/>
      <c r="AW29" s="51"/>
      <c r="AX29" s="51"/>
      <c r="AY29" s="51"/>
      <c r="AZ29" s="51"/>
      <c r="BA29" s="51"/>
      <c r="BB29" s="51"/>
      <c r="BC29" s="51"/>
      <c r="BD29" s="52"/>
    </row>
    <row r="30" spans="1:56" ht="14.4" customHeight="1">
      <c r="A30" s="37" t="str">
        <f>IF(B30="","",COUNTA($B$8:B30))</f>
        <v/>
      </c>
      <c r="B30" s="17"/>
      <c r="C30" s="34"/>
      <c r="D30" s="34"/>
      <c r="E30" s="34"/>
      <c r="F30" s="34"/>
      <c r="G30" s="34"/>
      <c r="H30" s="34"/>
      <c r="I30" s="19"/>
      <c r="J30" s="27"/>
      <c r="K30" s="27"/>
      <c r="L30" s="27"/>
      <c r="M30" s="27"/>
      <c r="N30" s="27"/>
      <c r="O30" s="27"/>
      <c r="P30" s="27"/>
      <c r="Q30" s="27"/>
      <c r="R30" s="17"/>
      <c r="S30" s="34"/>
      <c r="T30" s="34"/>
      <c r="U30" s="34"/>
      <c r="V30" s="34"/>
      <c r="W30" s="34"/>
      <c r="X30" s="34"/>
      <c r="Y30" s="589"/>
      <c r="Z30" s="590"/>
      <c r="AA30" s="591"/>
      <c r="AB30" s="592"/>
      <c r="AC30" s="593"/>
      <c r="AD30" s="38"/>
      <c r="AE30" s="25"/>
      <c r="AF30" s="25"/>
      <c r="AG30" s="25"/>
      <c r="AH30" s="25"/>
      <c r="AI30" s="25"/>
      <c r="AJ30" s="25"/>
      <c r="AK30" s="25"/>
      <c r="AL30" s="25"/>
      <c r="AM30" s="25"/>
      <c r="AN30" s="25"/>
      <c r="AO30" s="25"/>
      <c r="AP30" s="25"/>
      <c r="AQ30" s="25"/>
      <c r="AR30" s="25"/>
      <c r="AS30" s="26"/>
      <c r="AT30" s="51"/>
      <c r="AU30" s="51"/>
      <c r="AV30" s="51"/>
      <c r="AW30" s="51"/>
      <c r="AX30" s="51"/>
      <c r="AY30" s="51"/>
      <c r="AZ30" s="51"/>
      <c r="BA30" s="51"/>
      <c r="BB30" s="51"/>
      <c r="BC30" s="51"/>
      <c r="BD30" s="52"/>
    </row>
    <row r="31" spans="1:56" ht="14.4" customHeight="1">
      <c r="A31" s="37" t="str">
        <f>IF(B31="","",COUNTA($B$8:B31))</f>
        <v/>
      </c>
      <c r="B31" s="17"/>
      <c r="C31" s="34"/>
      <c r="D31" s="34"/>
      <c r="E31" s="34"/>
      <c r="F31" s="34"/>
      <c r="G31" s="34"/>
      <c r="H31" s="34"/>
      <c r="I31" s="19"/>
      <c r="J31" s="27"/>
      <c r="K31" s="27"/>
      <c r="L31" s="27"/>
      <c r="M31" s="27"/>
      <c r="N31" s="27"/>
      <c r="O31" s="27"/>
      <c r="P31" s="27"/>
      <c r="Q31" s="27"/>
      <c r="R31" s="17"/>
      <c r="S31" s="34"/>
      <c r="T31" s="34"/>
      <c r="U31" s="34"/>
      <c r="V31" s="34"/>
      <c r="W31" s="34"/>
      <c r="X31" s="34"/>
      <c r="Y31" s="589"/>
      <c r="Z31" s="590"/>
      <c r="AA31" s="591"/>
      <c r="AB31" s="592"/>
      <c r="AC31" s="593"/>
      <c r="AD31" s="38"/>
      <c r="AE31" s="25"/>
      <c r="AF31" s="25"/>
      <c r="AG31" s="25"/>
      <c r="AH31" s="25"/>
      <c r="AI31" s="25"/>
      <c r="AJ31" s="25"/>
      <c r="AK31" s="25"/>
      <c r="AL31" s="25"/>
      <c r="AM31" s="25"/>
      <c r="AN31" s="25"/>
      <c r="AO31" s="25"/>
      <c r="AP31" s="25"/>
      <c r="AQ31" s="25"/>
      <c r="AR31" s="25"/>
      <c r="AS31" s="26"/>
      <c r="AT31" s="51"/>
      <c r="AU31" s="51"/>
      <c r="AV31" s="51"/>
      <c r="AW31" s="51"/>
      <c r="AX31" s="51"/>
      <c r="AY31" s="51"/>
      <c r="AZ31" s="51"/>
      <c r="BA31" s="51"/>
      <c r="BB31" s="51"/>
      <c r="BC31" s="51"/>
      <c r="BD31" s="52"/>
    </row>
    <row r="32" spans="1:56" ht="14.4" customHeight="1">
      <c r="A32" s="37" t="str">
        <f>IF(B32="","",COUNTA($B$8:B32))</f>
        <v/>
      </c>
      <c r="B32" s="17"/>
      <c r="C32" s="34"/>
      <c r="D32" s="34"/>
      <c r="E32" s="34"/>
      <c r="F32" s="34"/>
      <c r="G32" s="34"/>
      <c r="H32" s="34"/>
      <c r="I32" s="19"/>
      <c r="J32" s="27"/>
      <c r="K32" s="27"/>
      <c r="L32" s="27"/>
      <c r="M32" s="27"/>
      <c r="N32" s="27"/>
      <c r="O32" s="27"/>
      <c r="P32" s="27"/>
      <c r="Q32" s="27"/>
      <c r="R32" s="17"/>
      <c r="S32" s="34"/>
      <c r="T32" s="34"/>
      <c r="U32" s="34"/>
      <c r="V32" s="34"/>
      <c r="W32" s="34"/>
      <c r="X32" s="34"/>
      <c r="Y32" s="589"/>
      <c r="Z32" s="590"/>
      <c r="AA32" s="591"/>
      <c r="AB32" s="592"/>
      <c r="AC32" s="593"/>
      <c r="AD32" s="38"/>
      <c r="AE32" s="25"/>
      <c r="AF32" s="25"/>
      <c r="AG32" s="25"/>
      <c r="AH32" s="25"/>
      <c r="AI32" s="25"/>
      <c r="AJ32" s="25"/>
      <c r="AK32" s="25"/>
      <c r="AL32" s="25"/>
      <c r="AM32" s="25"/>
      <c r="AN32" s="25"/>
      <c r="AO32" s="25"/>
      <c r="AP32" s="25"/>
      <c r="AQ32" s="25"/>
      <c r="AR32" s="25"/>
      <c r="AS32" s="26"/>
      <c r="AT32" s="51"/>
      <c r="AU32" s="51"/>
      <c r="AV32" s="51"/>
      <c r="AW32" s="51"/>
      <c r="AX32" s="51"/>
      <c r="AY32" s="51"/>
      <c r="AZ32" s="51"/>
      <c r="BA32" s="51"/>
      <c r="BB32" s="51"/>
      <c r="BC32" s="51"/>
      <c r="BD32" s="52"/>
    </row>
    <row r="33" spans="1:56" ht="14.4" customHeight="1">
      <c r="A33" s="37" t="str">
        <f>IF(B33="","",COUNTA($B$8:B33))</f>
        <v/>
      </c>
      <c r="B33" s="17"/>
      <c r="C33" s="34"/>
      <c r="D33" s="34"/>
      <c r="E33" s="34"/>
      <c r="F33" s="34"/>
      <c r="G33" s="34"/>
      <c r="H33" s="34"/>
      <c r="I33" s="19"/>
      <c r="J33" s="27"/>
      <c r="K33" s="27"/>
      <c r="L33" s="27"/>
      <c r="M33" s="27"/>
      <c r="N33" s="27"/>
      <c r="O33" s="27"/>
      <c r="P33" s="27"/>
      <c r="Q33" s="27"/>
      <c r="R33" s="17"/>
      <c r="S33" s="34"/>
      <c r="T33" s="34"/>
      <c r="U33" s="34"/>
      <c r="V33" s="34"/>
      <c r="W33" s="34"/>
      <c r="X33" s="34"/>
      <c r="Y33" s="589"/>
      <c r="Z33" s="590"/>
      <c r="AA33" s="591"/>
      <c r="AB33" s="592"/>
      <c r="AC33" s="593"/>
      <c r="AD33" s="38"/>
      <c r="AE33" s="25"/>
      <c r="AF33" s="25"/>
      <c r="AG33" s="25"/>
      <c r="AH33" s="25"/>
      <c r="AI33" s="25"/>
      <c r="AJ33" s="25"/>
      <c r="AK33" s="25"/>
      <c r="AL33" s="25"/>
      <c r="AM33" s="25"/>
      <c r="AN33" s="25"/>
      <c r="AO33" s="25"/>
      <c r="AP33" s="25"/>
      <c r="AQ33" s="25"/>
      <c r="AR33" s="25"/>
      <c r="AS33" s="26"/>
      <c r="AT33" s="51"/>
      <c r="AU33" s="51"/>
      <c r="AV33" s="51"/>
      <c r="AW33" s="51"/>
      <c r="AX33" s="51"/>
      <c r="AY33" s="51"/>
      <c r="AZ33" s="51"/>
      <c r="BA33" s="51"/>
      <c r="BB33" s="51"/>
      <c r="BC33" s="51"/>
      <c r="BD33" s="52"/>
    </row>
    <row r="34" spans="1:56" ht="14.4" customHeight="1">
      <c r="A34" s="37" t="str">
        <f>IF(B34="","",COUNTA($B$8:B34))</f>
        <v/>
      </c>
      <c r="B34" s="17"/>
      <c r="C34" s="34"/>
      <c r="D34" s="34"/>
      <c r="E34" s="34"/>
      <c r="F34" s="34"/>
      <c r="G34" s="34"/>
      <c r="H34" s="34"/>
      <c r="I34" s="19"/>
      <c r="J34" s="27"/>
      <c r="K34" s="27"/>
      <c r="L34" s="27"/>
      <c r="M34" s="27"/>
      <c r="N34" s="27"/>
      <c r="O34" s="27"/>
      <c r="P34" s="27"/>
      <c r="Q34" s="27"/>
      <c r="R34" s="17"/>
      <c r="S34" s="34"/>
      <c r="T34" s="34"/>
      <c r="U34" s="34"/>
      <c r="V34" s="34"/>
      <c r="W34" s="34"/>
      <c r="X34" s="34"/>
      <c r="Y34" s="589"/>
      <c r="Z34" s="590"/>
      <c r="AA34" s="591"/>
      <c r="AB34" s="592"/>
      <c r="AC34" s="593"/>
      <c r="AD34" s="38"/>
      <c r="AE34" s="25"/>
      <c r="AF34" s="25"/>
      <c r="AG34" s="25"/>
      <c r="AH34" s="25"/>
      <c r="AI34" s="25"/>
      <c r="AJ34" s="25"/>
      <c r="AK34" s="25"/>
      <c r="AL34" s="25"/>
      <c r="AM34" s="25"/>
      <c r="AN34" s="25"/>
      <c r="AO34" s="25"/>
      <c r="AP34" s="25"/>
      <c r="AQ34" s="25"/>
      <c r="AR34" s="25"/>
      <c r="AS34" s="26"/>
      <c r="AT34" s="51"/>
      <c r="AU34" s="51"/>
      <c r="AV34" s="51"/>
      <c r="AW34" s="51"/>
      <c r="AX34" s="51"/>
      <c r="AY34" s="51"/>
      <c r="AZ34" s="51"/>
      <c r="BA34" s="51"/>
      <c r="BB34" s="51"/>
      <c r="BC34" s="51"/>
      <c r="BD34" s="52"/>
    </row>
    <row r="35" spans="1:56" ht="14.4" customHeight="1">
      <c r="A35" s="37" t="str">
        <f>IF(B35="","",COUNTA($B$8:B35))</f>
        <v/>
      </c>
      <c r="B35" s="17"/>
      <c r="C35" s="34"/>
      <c r="D35" s="34"/>
      <c r="E35" s="34"/>
      <c r="F35" s="34"/>
      <c r="G35" s="34"/>
      <c r="H35" s="34"/>
      <c r="I35" s="19"/>
      <c r="J35" s="27"/>
      <c r="K35" s="27"/>
      <c r="L35" s="27"/>
      <c r="M35" s="27"/>
      <c r="N35" s="27"/>
      <c r="O35" s="27"/>
      <c r="P35" s="27"/>
      <c r="Q35" s="27"/>
      <c r="R35" s="17"/>
      <c r="S35" s="34"/>
      <c r="T35" s="34"/>
      <c r="U35" s="34"/>
      <c r="V35" s="34"/>
      <c r="W35" s="34"/>
      <c r="X35" s="34"/>
      <c r="Y35" s="589"/>
      <c r="Z35" s="590"/>
      <c r="AA35" s="591"/>
      <c r="AB35" s="592"/>
      <c r="AC35" s="593"/>
      <c r="AD35" s="38"/>
      <c r="AE35" s="25"/>
      <c r="AF35" s="25"/>
      <c r="AG35" s="25"/>
      <c r="AH35" s="25"/>
      <c r="AI35" s="25"/>
      <c r="AJ35" s="25"/>
      <c r="AK35" s="25"/>
      <c r="AL35" s="25"/>
      <c r="AM35" s="25"/>
      <c r="AN35" s="25"/>
      <c r="AO35" s="25"/>
      <c r="AP35" s="25"/>
      <c r="AQ35" s="25"/>
      <c r="AR35" s="25"/>
      <c r="AS35" s="26"/>
      <c r="AT35" s="51"/>
      <c r="AU35" s="51"/>
      <c r="AV35" s="51"/>
      <c r="AW35" s="51"/>
      <c r="AX35" s="51"/>
      <c r="AY35" s="51"/>
      <c r="AZ35" s="51"/>
      <c r="BA35" s="51"/>
      <c r="BB35" s="51"/>
      <c r="BC35" s="51"/>
      <c r="BD35" s="52"/>
    </row>
    <row r="36" spans="1:56" ht="14.4" customHeight="1">
      <c r="A36" s="37" t="str">
        <f>IF(B36="","",COUNTA($B$8:B36))</f>
        <v/>
      </c>
      <c r="B36" s="17"/>
      <c r="C36" s="34"/>
      <c r="D36" s="34"/>
      <c r="E36" s="34"/>
      <c r="F36" s="34"/>
      <c r="G36" s="34"/>
      <c r="H36" s="34"/>
      <c r="I36" s="19"/>
      <c r="J36" s="27"/>
      <c r="K36" s="27"/>
      <c r="L36" s="27"/>
      <c r="M36" s="27"/>
      <c r="N36" s="27"/>
      <c r="O36" s="27"/>
      <c r="P36" s="27"/>
      <c r="Q36" s="27"/>
      <c r="R36" s="17"/>
      <c r="S36" s="34"/>
      <c r="T36" s="34"/>
      <c r="U36" s="34"/>
      <c r="V36" s="34"/>
      <c r="W36" s="34"/>
      <c r="X36" s="34"/>
      <c r="Y36" s="589"/>
      <c r="Z36" s="590"/>
      <c r="AA36" s="591"/>
      <c r="AB36" s="592"/>
      <c r="AC36" s="593"/>
      <c r="AD36" s="38"/>
      <c r="AE36" s="25"/>
      <c r="AF36" s="25"/>
      <c r="AG36" s="25"/>
      <c r="AH36" s="25"/>
      <c r="AI36" s="25"/>
      <c r="AJ36" s="25"/>
      <c r="AK36" s="25"/>
      <c r="AL36" s="25"/>
      <c r="AM36" s="25"/>
      <c r="AN36" s="25"/>
      <c r="AO36" s="25"/>
      <c r="AP36" s="25"/>
      <c r="AQ36" s="25"/>
      <c r="AR36" s="25"/>
      <c r="AS36" s="26"/>
      <c r="AT36" s="51"/>
      <c r="AU36" s="51"/>
      <c r="AV36" s="51"/>
      <c r="AW36" s="51"/>
      <c r="AX36" s="51"/>
      <c r="AY36" s="51"/>
      <c r="AZ36" s="51"/>
      <c r="BA36" s="51"/>
      <c r="BB36" s="51"/>
      <c r="BC36" s="51"/>
      <c r="BD36" s="52"/>
    </row>
    <row r="37" spans="1:56" ht="14.4" customHeight="1">
      <c r="A37" s="37" t="str">
        <f>IF(B37="","",COUNTA($B$8:B37))</f>
        <v/>
      </c>
      <c r="B37" s="17"/>
      <c r="C37" s="34"/>
      <c r="D37" s="34"/>
      <c r="E37" s="34"/>
      <c r="F37" s="34"/>
      <c r="G37" s="34"/>
      <c r="H37" s="34"/>
      <c r="I37" s="19"/>
      <c r="J37" s="27"/>
      <c r="K37" s="27"/>
      <c r="L37" s="27"/>
      <c r="M37" s="27"/>
      <c r="N37" s="27"/>
      <c r="O37" s="27"/>
      <c r="P37" s="27"/>
      <c r="Q37" s="27"/>
      <c r="R37" s="17"/>
      <c r="S37" s="34"/>
      <c r="T37" s="34"/>
      <c r="U37" s="34"/>
      <c r="V37" s="34"/>
      <c r="W37" s="34"/>
      <c r="X37" s="34"/>
      <c r="Y37" s="589"/>
      <c r="Z37" s="590"/>
      <c r="AA37" s="591"/>
      <c r="AB37" s="592"/>
      <c r="AC37" s="593"/>
      <c r="AD37" s="38"/>
      <c r="AE37" s="25"/>
      <c r="AF37" s="25"/>
      <c r="AG37" s="25"/>
      <c r="AH37" s="25"/>
      <c r="AI37" s="25"/>
      <c r="AJ37" s="25"/>
      <c r="AK37" s="25"/>
      <c r="AL37" s="25"/>
      <c r="AM37" s="25"/>
      <c r="AN37" s="25"/>
      <c r="AO37" s="25"/>
      <c r="AP37" s="25"/>
      <c r="AQ37" s="25"/>
      <c r="AR37" s="25"/>
      <c r="AS37" s="26"/>
      <c r="AT37" s="51"/>
      <c r="AU37" s="51"/>
      <c r="AV37" s="51"/>
      <c r="AW37" s="51"/>
      <c r="AX37" s="51"/>
      <c r="AY37" s="51"/>
      <c r="AZ37" s="51"/>
      <c r="BA37" s="51"/>
      <c r="BB37" s="51"/>
      <c r="BC37" s="51"/>
      <c r="BD37" s="52"/>
    </row>
    <row r="38" spans="1:56" ht="14.4" customHeight="1">
      <c r="A38" s="37" t="str">
        <f>IF(B38="","",COUNTA($B$8:B38))</f>
        <v/>
      </c>
      <c r="B38" s="17"/>
      <c r="C38" s="34"/>
      <c r="D38" s="34"/>
      <c r="E38" s="34"/>
      <c r="F38" s="34"/>
      <c r="G38" s="34"/>
      <c r="H38" s="34"/>
      <c r="I38" s="19"/>
      <c r="J38" s="27"/>
      <c r="K38" s="27"/>
      <c r="L38" s="27"/>
      <c r="M38" s="27"/>
      <c r="N38" s="27"/>
      <c r="O38" s="27"/>
      <c r="P38" s="27"/>
      <c r="Q38" s="27"/>
      <c r="R38" s="17"/>
      <c r="S38" s="34"/>
      <c r="T38" s="34"/>
      <c r="U38" s="34"/>
      <c r="V38" s="34"/>
      <c r="W38" s="34"/>
      <c r="X38" s="34"/>
      <c r="Y38" s="589"/>
      <c r="Z38" s="590"/>
      <c r="AA38" s="591"/>
      <c r="AB38" s="592"/>
      <c r="AC38" s="593"/>
      <c r="AD38" s="38"/>
      <c r="AE38" s="25"/>
      <c r="AF38" s="25"/>
      <c r="AG38" s="25"/>
      <c r="AH38" s="25"/>
      <c r="AI38" s="25"/>
      <c r="AJ38" s="25"/>
      <c r="AK38" s="25"/>
      <c r="AL38" s="25"/>
      <c r="AM38" s="25"/>
      <c r="AN38" s="25"/>
      <c r="AO38" s="25"/>
      <c r="AP38" s="25"/>
      <c r="AQ38" s="25"/>
      <c r="AR38" s="25"/>
      <c r="AS38" s="26"/>
      <c r="AT38" s="51"/>
      <c r="AU38" s="51"/>
      <c r="AV38" s="51"/>
      <c r="AW38" s="51"/>
      <c r="AX38" s="51"/>
      <c r="AY38" s="51"/>
      <c r="AZ38" s="51"/>
      <c r="BA38" s="51"/>
      <c r="BB38" s="51"/>
      <c r="BC38" s="51"/>
      <c r="BD38" s="52"/>
    </row>
    <row r="39" spans="1:56" ht="14.4" customHeight="1">
      <c r="A39" s="37" t="str">
        <f>IF(B39="","",COUNTA($B$8:B39))</f>
        <v/>
      </c>
      <c r="B39" s="17"/>
      <c r="C39" s="34"/>
      <c r="D39" s="34"/>
      <c r="E39" s="34"/>
      <c r="F39" s="34"/>
      <c r="G39" s="34"/>
      <c r="H39" s="34"/>
      <c r="I39" s="19"/>
      <c r="J39" s="27"/>
      <c r="K39" s="27"/>
      <c r="L39" s="27"/>
      <c r="M39" s="27"/>
      <c r="N39" s="27"/>
      <c r="O39" s="27"/>
      <c r="P39" s="27"/>
      <c r="Q39" s="27"/>
      <c r="R39" s="17"/>
      <c r="S39" s="34"/>
      <c r="T39" s="34"/>
      <c r="U39" s="34"/>
      <c r="V39" s="34"/>
      <c r="W39" s="34"/>
      <c r="X39" s="34"/>
      <c r="Y39" s="589"/>
      <c r="Z39" s="590"/>
      <c r="AA39" s="591"/>
      <c r="AB39" s="592"/>
      <c r="AC39" s="593"/>
      <c r="AD39" s="38"/>
      <c r="AE39" s="25"/>
      <c r="AF39" s="25"/>
      <c r="AG39" s="25"/>
      <c r="AH39" s="25"/>
      <c r="AI39" s="25"/>
      <c r="AJ39" s="25"/>
      <c r="AK39" s="25"/>
      <c r="AL39" s="25"/>
      <c r="AM39" s="25"/>
      <c r="AN39" s="25"/>
      <c r="AO39" s="25"/>
      <c r="AP39" s="25"/>
      <c r="AQ39" s="25"/>
      <c r="AR39" s="25"/>
      <c r="AS39" s="26"/>
      <c r="AT39" s="51"/>
      <c r="AU39" s="51"/>
      <c r="AV39" s="51"/>
      <c r="AW39" s="51"/>
      <c r="AX39" s="51"/>
      <c r="AY39" s="51"/>
      <c r="AZ39" s="51"/>
      <c r="BA39" s="51"/>
      <c r="BB39" s="51"/>
      <c r="BC39" s="51"/>
      <c r="BD39" s="52"/>
    </row>
    <row r="40" spans="1:56" ht="14.4" customHeight="1">
      <c r="A40" s="37" t="str">
        <f>IF(B40="","",COUNTA($B$8:B40))</f>
        <v/>
      </c>
      <c r="B40" s="17"/>
      <c r="C40" s="34"/>
      <c r="D40" s="34"/>
      <c r="E40" s="34"/>
      <c r="F40" s="34"/>
      <c r="G40" s="34"/>
      <c r="H40" s="34"/>
      <c r="I40" s="19"/>
      <c r="J40" s="27"/>
      <c r="K40" s="27"/>
      <c r="L40" s="27"/>
      <c r="M40" s="27"/>
      <c r="N40" s="27"/>
      <c r="O40" s="27"/>
      <c r="P40" s="27"/>
      <c r="Q40" s="27"/>
      <c r="R40" s="17"/>
      <c r="S40" s="34"/>
      <c r="T40" s="34"/>
      <c r="U40" s="34"/>
      <c r="V40" s="34"/>
      <c r="W40" s="34"/>
      <c r="X40" s="34"/>
      <c r="Y40" s="589"/>
      <c r="Z40" s="590"/>
      <c r="AA40" s="591"/>
      <c r="AB40" s="592"/>
      <c r="AC40" s="593"/>
      <c r="AD40" s="38"/>
      <c r="AE40" s="25"/>
      <c r="AF40" s="25"/>
      <c r="AG40" s="25"/>
      <c r="AH40" s="25"/>
      <c r="AI40" s="25"/>
      <c r="AJ40" s="25"/>
      <c r="AK40" s="25"/>
      <c r="AL40" s="25"/>
      <c r="AM40" s="25"/>
      <c r="AN40" s="25"/>
      <c r="AO40" s="25"/>
      <c r="AP40" s="25"/>
      <c r="AQ40" s="25"/>
      <c r="AR40" s="25"/>
      <c r="AS40" s="26"/>
      <c r="AT40" s="51"/>
      <c r="AU40" s="51"/>
      <c r="AV40" s="51"/>
      <c r="AW40" s="51"/>
      <c r="AX40" s="51"/>
      <c r="AY40" s="51"/>
      <c r="AZ40" s="51"/>
      <c r="BA40" s="51"/>
      <c r="BB40" s="51"/>
      <c r="BC40" s="51"/>
      <c r="BD40" s="52"/>
    </row>
    <row r="41" spans="1:56" ht="14.4" customHeight="1">
      <c r="A41" s="37" t="str">
        <f>IF(B41="","",COUNTA($B$8:B41))</f>
        <v/>
      </c>
      <c r="B41" s="17"/>
      <c r="C41" s="34"/>
      <c r="D41" s="34"/>
      <c r="E41" s="34"/>
      <c r="F41" s="34"/>
      <c r="G41" s="34"/>
      <c r="H41" s="34"/>
      <c r="I41" s="19"/>
      <c r="J41" s="27"/>
      <c r="K41" s="27"/>
      <c r="L41" s="27"/>
      <c r="M41" s="27"/>
      <c r="N41" s="27"/>
      <c r="O41" s="27"/>
      <c r="P41" s="27"/>
      <c r="Q41" s="27"/>
      <c r="R41" s="17"/>
      <c r="S41" s="34"/>
      <c r="T41" s="34"/>
      <c r="U41" s="34"/>
      <c r="V41" s="34"/>
      <c r="W41" s="34"/>
      <c r="X41" s="34"/>
      <c r="Y41" s="589"/>
      <c r="Z41" s="590"/>
      <c r="AA41" s="591"/>
      <c r="AB41" s="592"/>
      <c r="AC41" s="593"/>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 customHeight="1">
      <c r="A42" s="37" t="str">
        <f>IF(B42="","",COUNTA($B$8:B42))</f>
        <v/>
      </c>
      <c r="B42" s="17"/>
      <c r="C42" s="34"/>
      <c r="D42" s="34"/>
      <c r="E42" s="34"/>
      <c r="F42" s="34"/>
      <c r="G42" s="34"/>
      <c r="H42" s="34"/>
      <c r="I42" s="19"/>
      <c r="J42" s="27"/>
      <c r="K42" s="27"/>
      <c r="L42" s="27"/>
      <c r="M42" s="27"/>
      <c r="N42" s="27"/>
      <c r="O42" s="27"/>
      <c r="P42" s="27"/>
      <c r="Q42" s="27"/>
      <c r="R42" s="17"/>
      <c r="S42" s="34"/>
      <c r="T42" s="34"/>
      <c r="U42" s="34"/>
      <c r="V42" s="34"/>
      <c r="W42" s="34"/>
      <c r="X42" s="34"/>
      <c r="Y42" s="589"/>
      <c r="Z42" s="590"/>
      <c r="AA42" s="591"/>
      <c r="AB42" s="592"/>
      <c r="AC42" s="593"/>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 customHeight="1">
      <c r="A43" s="37" t="str">
        <f>IF(B43="","",COUNTA($B$8:B43))</f>
        <v/>
      </c>
      <c r="B43" s="17"/>
      <c r="C43" s="34"/>
      <c r="D43" s="34"/>
      <c r="E43" s="34"/>
      <c r="F43" s="34"/>
      <c r="G43" s="34"/>
      <c r="H43" s="34"/>
      <c r="I43" s="19"/>
      <c r="J43" s="27"/>
      <c r="K43" s="27"/>
      <c r="L43" s="27"/>
      <c r="M43" s="27"/>
      <c r="N43" s="27"/>
      <c r="O43" s="27"/>
      <c r="P43" s="27"/>
      <c r="Q43" s="27"/>
      <c r="R43" s="17"/>
      <c r="S43" s="34"/>
      <c r="T43" s="34"/>
      <c r="U43" s="34"/>
      <c r="V43" s="34"/>
      <c r="W43" s="34"/>
      <c r="X43" s="34"/>
      <c r="Y43" s="589"/>
      <c r="Z43" s="590"/>
      <c r="AA43" s="591"/>
      <c r="AB43" s="592"/>
      <c r="AC43" s="593"/>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 customHeight="1">
      <c r="A44" s="37" t="str">
        <f>IF(B44="","",COUNTA($B$8:B44))</f>
        <v/>
      </c>
      <c r="B44" s="17"/>
      <c r="C44" s="34"/>
      <c r="D44" s="34"/>
      <c r="E44" s="34"/>
      <c r="F44" s="34"/>
      <c r="G44" s="34"/>
      <c r="H44" s="34"/>
      <c r="I44" s="19"/>
      <c r="J44" s="27"/>
      <c r="K44" s="27"/>
      <c r="L44" s="27"/>
      <c r="M44" s="27"/>
      <c r="N44" s="27"/>
      <c r="O44" s="27"/>
      <c r="P44" s="27"/>
      <c r="Q44" s="27"/>
      <c r="R44" s="17"/>
      <c r="S44" s="34"/>
      <c r="T44" s="34"/>
      <c r="U44" s="34"/>
      <c r="V44" s="34"/>
      <c r="W44" s="34"/>
      <c r="X44" s="34"/>
      <c r="Y44" s="589"/>
      <c r="Z44" s="590"/>
      <c r="AA44" s="591"/>
      <c r="AB44" s="592"/>
      <c r="AC44" s="593"/>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 customHeight="1">
      <c r="A45" s="37" t="str">
        <f>IF(B45="","",COUNTA($B$8:B45))</f>
        <v/>
      </c>
      <c r="B45" s="17"/>
      <c r="C45" s="34"/>
      <c r="D45" s="34"/>
      <c r="E45" s="34"/>
      <c r="F45" s="34"/>
      <c r="G45" s="34"/>
      <c r="H45" s="34"/>
      <c r="I45" s="19"/>
      <c r="J45" s="27"/>
      <c r="K45" s="27"/>
      <c r="L45" s="27"/>
      <c r="M45" s="27"/>
      <c r="N45" s="27"/>
      <c r="O45" s="27"/>
      <c r="P45" s="27"/>
      <c r="Q45" s="27"/>
      <c r="R45" s="17"/>
      <c r="S45" s="34"/>
      <c r="T45" s="34"/>
      <c r="U45" s="34"/>
      <c r="V45" s="34"/>
      <c r="W45" s="34"/>
      <c r="X45" s="34"/>
      <c r="Y45" s="589"/>
      <c r="Z45" s="590"/>
      <c r="AA45" s="591"/>
      <c r="AB45" s="592"/>
      <c r="AC45" s="593"/>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 customHeight="1">
      <c r="A46" s="37" t="str">
        <f>IF(B46="","",COUNTA($B$8:B46))</f>
        <v/>
      </c>
      <c r="B46" s="17"/>
      <c r="C46" s="34"/>
      <c r="D46" s="34"/>
      <c r="E46" s="34"/>
      <c r="F46" s="34"/>
      <c r="G46" s="34"/>
      <c r="H46" s="34"/>
      <c r="I46" s="19"/>
      <c r="J46" s="27"/>
      <c r="K46" s="27"/>
      <c r="L46" s="27"/>
      <c r="M46" s="27"/>
      <c r="N46" s="27"/>
      <c r="O46" s="27"/>
      <c r="P46" s="27"/>
      <c r="Q46" s="27"/>
      <c r="R46" s="17"/>
      <c r="S46" s="34"/>
      <c r="T46" s="34"/>
      <c r="U46" s="34"/>
      <c r="V46" s="34"/>
      <c r="W46" s="34"/>
      <c r="X46" s="34"/>
      <c r="Y46" s="589"/>
      <c r="Z46" s="590"/>
      <c r="AA46" s="591"/>
      <c r="AB46" s="592"/>
      <c r="AC46" s="593"/>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108">
    <mergeCell ref="I1:Q1"/>
    <mergeCell ref="R1:X1"/>
    <mergeCell ref="Y1:AO1"/>
    <mergeCell ref="AP1:AT1"/>
    <mergeCell ref="AU1:AY1"/>
    <mergeCell ref="AP4:AT4"/>
    <mergeCell ref="AU4:AY4"/>
    <mergeCell ref="AZ4:BD4"/>
    <mergeCell ref="A1:H4"/>
    <mergeCell ref="AZ1:BD1"/>
    <mergeCell ref="I2:Q4"/>
    <mergeCell ref="R2:X4"/>
    <mergeCell ref="Y2:AO3"/>
    <mergeCell ref="AP2:AT2"/>
    <mergeCell ref="AZ2:BD2"/>
    <mergeCell ref="AP3:AT3"/>
    <mergeCell ref="AU3:AY3"/>
    <mergeCell ref="AZ3:BD3"/>
    <mergeCell ref="Y4:AO4"/>
    <mergeCell ref="AH6:AH7"/>
    <mergeCell ref="AI6:AR6"/>
    <mergeCell ref="AS6:BD7"/>
    <mergeCell ref="Y8:Z8"/>
    <mergeCell ref="AA8:AC8"/>
    <mergeCell ref="A6:A7"/>
    <mergeCell ref="B6:H7"/>
    <mergeCell ref="I6:Q7"/>
    <mergeCell ref="R6:X7"/>
    <mergeCell ref="Y6:Z7"/>
    <mergeCell ref="AA6:AC7"/>
    <mergeCell ref="AD6:AD7"/>
    <mergeCell ref="AE6:AE7"/>
    <mergeCell ref="AF6:AF7"/>
    <mergeCell ref="Y15:Z15"/>
    <mergeCell ref="AA15:AC15"/>
    <mergeCell ref="Y16:Z16"/>
    <mergeCell ref="AA16:AC16"/>
    <mergeCell ref="Y17:Z17"/>
    <mergeCell ref="AA17:AC17"/>
    <mergeCell ref="Y13:Z13"/>
    <mergeCell ref="AA13:AC13"/>
    <mergeCell ref="AG6:AG7"/>
    <mergeCell ref="Y10:Z10"/>
    <mergeCell ref="AA10:AC10"/>
    <mergeCell ref="Y11:Z11"/>
    <mergeCell ref="AA11:AC11"/>
    <mergeCell ref="Y12:Z12"/>
    <mergeCell ref="AA12:AC12"/>
    <mergeCell ref="Y9:Z9"/>
    <mergeCell ref="AA9:AC9"/>
    <mergeCell ref="Y21:Z21"/>
    <mergeCell ref="AA21:AC21"/>
    <mergeCell ref="Y22:Z22"/>
    <mergeCell ref="AA22:AC22"/>
    <mergeCell ref="Y23:Z23"/>
    <mergeCell ref="AA23:AC23"/>
    <mergeCell ref="Y18:Z18"/>
    <mergeCell ref="AA18:AC18"/>
    <mergeCell ref="Y19:Z19"/>
    <mergeCell ref="AA19:AC19"/>
    <mergeCell ref="Y20:Z20"/>
    <mergeCell ref="AA20:AC20"/>
    <mergeCell ref="Y27:Z27"/>
    <mergeCell ref="AA27:AC27"/>
    <mergeCell ref="Y28:Z28"/>
    <mergeCell ref="AA28:AC28"/>
    <mergeCell ref="Y29:Z29"/>
    <mergeCell ref="AA29:AC29"/>
    <mergeCell ref="Y24:Z24"/>
    <mergeCell ref="AA24:AC24"/>
    <mergeCell ref="Y25:Z25"/>
    <mergeCell ref="AA25:AC25"/>
    <mergeCell ref="Y26:Z26"/>
    <mergeCell ref="AA26:AC26"/>
    <mergeCell ref="Y33:Z33"/>
    <mergeCell ref="AA33:AC33"/>
    <mergeCell ref="Y34:Z34"/>
    <mergeCell ref="AA34:AC34"/>
    <mergeCell ref="Y35:Z35"/>
    <mergeCell ref="AA35:AC35"/>
    <mergeCell ref="Y30:Z30"/>
    <mergeCell ref="AA30:AC30"/>
    <mergeCell ref="Y31:Z31"/>
    <mergeCell ref="AA31:AC31"/>
    <mergeCell ref="Y32:Z32"/>
    <mergeCell ref="AA32:AC32"/>
    <mergeCell ref="Y39:Z39"/>
    <mergeCell ref="AA39:AC39"/>
    <mergeCell ref="Y40:Z40"/>
    <mergeCell ref="AA40:AC40"/>
    <mergeCell ref="Y41:Z41"/>
    <mergeCell ref="AA41:AC41"/>
    <mergeCell ref="Y36:Z36"/>
    <mergeCell ref="AA36:AC36"/>
    <mergeCell ref="Y37:Z37"/>
    <mergeCell ref="AA37:AC37"/>
    <mergeCell ref="Y38:Z38"/>
    <mergeCell ref="AA38:AC38"/>
    <mergeCell ref="Y45:Z45"/>
    <mergeCell ref="AA45:AC45"/>
    <mergeCell ref="Y46:Z46"/>
    <mergeCell ref="AA46:AC46"/>
    <mergeCell ref="Y42:Z42"/>
    <mergeCell ref="AA42:AC42"/>
    <mergeCell ref="Y43:Z43"/>
    <mergeCell ref="AA43:AC43"/>
    <mergeCell ref="Y44:Z44"/>
    <mergeCell ref="AA44:AC44"/>
  </mergeCells>
  <phoneticPr fontId="12"/>
  <dataValidations count="5">
    <dataValidation type="list" allowBlank="1" showInputMessage="1" showErrorMessage="1" sqref="AA18:AC46 AA15:AC16 AA8:AC9 AA13:AC13">
      <formula1>"int,numeric,varchar,date,datetime2(0),datetime2,varbinary(max)"</formula1>
    </dataValidation>
    <dataValidation imeMode="hiragana" allowBlank="1" showInputMessage="1" showErrorMessage="1" sqref="JG65500:JR65502 TC65500:TN65502 ACY65500:ADJ65502 AMU65500:ANF65502 AWQ65500:AXB65502 BGM65500:BGX65502 BQI65500:BQT65502 CAE65500:CAP65502 CKA65500:CKL65502 CTW65500:CUH65502 DDS65500:DED65502 DNO65500:DNZ65502 DXK65500:DXV65502 EHG65500:EHR65502 ERC65500:ERN65502 FAY65500:FBJ65502 FKU65500:FLF65502 FUQ65500:FVB65502 GEM65500:GEX65502 GOI65500:GOT65502 GYE65500:GYP65502 HIA65500:HIL65502 HRW65500:HSH65502 IBS65500:ICD65502 ILO65500:ILZ65502 IVK65500:IVV65502 JFG65500:JFR65502 JPC65500:JPN65502 JYY65500:JZJ65502 KIU65500:KJF65502 KSQ65500:KTB65502 LCM65500:LCX65502 LMI65500:LMT65502 LWE65500:LWP65502 MGA65500:MGL65502 MPW65500:MQH65502 MZS65500:NAD65502 NJO65500:NJZ65502 NTK65500:NTV65502 ODG65500:ODR65502 ONC65500:ONN65502 OWY65500:OXJ65502 PGU65500:PHF65502 PQQ65500:PRB65502 QAM65500:QAX65502 QKI65500:QKT65502 QUE65500:QUP65502 REA65500:REL65502 RNW65500:ROH65502 RXS65500:RYD65502 SHO65500:SHZ65502 SRK65500:SRV65502 TBG65500:TBR65502 TLC65500:TLN65502 TUY65500:TVJ65502 UEU65500:UFF65502 UOQ65500:UPB65502 UYM65500:UYX65502 VII65500:VIT65502 VSE65500:VSP65502 WCA65500:WCL65502 WLW65500:WMH65502 WVS65500:WWD65502 JG131036:JR131038 TC131036:TN131038 ACY131036:ADJ131038 AMU131036:ANF131038 AWQ131036:AXB131038 BGM131036:BGX131038 BQI131036:BQT131038 CAE131036:CAP131038 CKA131036:CKL131038 CTW131036:CUH131038 DDS131036:DED131038 DNO131036:DNZ131038 DXK131036:DXV131038 EHG131036:EHR131038 ERC131036:ERN131038 FAY131036:FBJ131038 FKU131036:FLF131038 FUQ131036:FVB131038 GEM131036:GEX131038 GOI131036:GOT131038 GYE131036:GYP131038 HIA131036:HIL131038 HRW131036:HSH131038 IBS131036:ICD131038 ILO131036:ILZ131038 IVK131036:IVV131038 JFG131036:JFR131038 JPC131036:JPN131038 JYY131036:JZJ131038 KIU131036:KJF131038 KSQ131036:KTB131038 LCM131036:LCX131038 LMI131036:LMT131038 LWE131036:LWP131038 MGA131036:MGL131038 MPW131036:MQH131038 MZS131036:NAD131038 NJO131036:NJZ131038 NTK131036:NTV131038 ODG131036:ODR131038 ONC131036:ONN131038 OWY131036:OXJ131038 PGU131036:PHF131038 PQQ131036:PRB131038 QAM131036:QAX131038 QKI131036:QKT131038 QUE131036:QUP131038 REA131036:REL131038 RNW131036:ROH131038 RXS131036:RYD131038 SHO131036:SHZ131038 SRK131036:SRV131038 TBG131036:TBR131038 TLC131036:TLN131038 TUY131036:TVJ131038 UEU131036:UFF131038 UOQ131036:UPB131038 UYM131036:UYX131038 VII131036:VIT131038 VSE131036:VSP131038 WCA131036:WCL131038 WLW131036:WMH131038 WVS131036:WWD131038 JG196572:JR196574 TC196572:TN196574 ACY196572:ADJ196574 AMU196572:ANF196574 AWQ196572:AXB196574 BGM196572:BGX196574 BQI196572:BQT196574 CAE196572:CAP196574 CKA196572:CKL196574 CTW196572:CUH196574 DDS196572:DED196574 DNO196572:DNZ196574 DXK196572:DXV196574 EHG196572:EHR196574 ERC196572:ERN196574 FAY196572:FBJ196574 FKU196572:FLF196574 FUQ196572:FVB196574 GEM196572:GEX196574 GOI196572:GOT196574 GYE196572:GYP196574 HIA196572:HIL196574 HRW196572:HSH196574 IBS196572:ICD196574 ILO196572:ILZ196574 IVK196572:IVV196574 JFG196572:JFR196574 JPC196572:JPN196574 JYY196572:JZJ196574 KIU196572:KJF196574 KSQ196572:KTB196574 LCM196572:LCX196574 LMI196572:LMT196574 LWE196572:LWP196574 MGA196572:MGL196574 MPW196572:MQH196574 MZS196572:NAD196574 NJO196572:NJZ196574 NTK196572:NTV196574 ODG196572:ODR196574 ONC196572:ONN196574 OWY196572:OXJ196574 PGU196572:PHF196574 PQQ196572:PRB196574 QAM196572:QAX196574 QKI196572:QKT196574 QUE196572:QUP196574 REA196572:REL196574 RNW196572:ROH196574 RXS196572:RYD196574 SHO196572:SHZ196574 SRK196572:SRV196574 TBG196572:TBR196574 TLC196572:TLN196574 TUY196572:TVJ196574 UEU196572:UFF196574 UOQ196572:UPB196574 UYM196572:UYX196574 VII196572:VIT196574 VSE196572:VSP196574 WCA196572:WCL196574 WLW196572:WMH196574 WVS196572:WWD196574 JG262108:JR262110 TC262108:TN262110 ACY262108:ADJ262110 AMU262108:ANF262110 AWQ262108:AXB262110 BGM262108:BGX262110 BQI262108:BQT262110 CAE262108:CAP262110 CKA262108:CKL262110 CTW262108:CUH262110 DDS262108:DED262110 DNO262108:DNZ262110 DXK262108:DXV262110 EHG262108:EHR262110 ERC262108:ERN262110 FAY262108:FBJ262110 FKU262108:FLF262110 FUQ262108:FVB262110 GEM262108:GEX262110 GOI262108:GOT262110 GYE262108:GYP262110 HIA262108:HIL262110 HRW262108:HSH262110 IBS262108:ICD262110 ILO262108:ILZ262110 IVK262108:IVV262110 JFG262108:JFR262110 JPC262108:JPN262110 JYY262108:JZJ262110 KIU262108:KJF262110 KSQ262108:KTB262110 LCM262108:LCX262110 LMI262108:LMT262110 LWE262108:LWP262110 MGA262108:MGL262110 MPW262108:MQH262110 MZS262108:NAD262110 NJO262108:NJZ262110 NTK262108:NTV262110 ODG262108:ODR262110 ONC262108:ONN262110 OWY262108:OXJ262110 PGU262108:PHF262110 PQQ262108:PRB262110 QAM262108:QAX262110 QKI262108:QKT262110 QUE262108:QUP262110 REA262108:REL262110 RNW262108:ROH262110 RXS262108:RYD262110 SHO262108:SHZ262110 SRK262108:SRV262110 TBG262108:TBR262110 TLC262108:TLN262110 TUY262108:TVJ262110 UEU262108:UFF262110 UOQ262108:UPB262110 UYM262108:UYX262110 VII262108:VIT262110 VSE262108:VSP262110 WCA262108:WCL262110 WLW262108:WMH262110 WVS262108:WWD262110 JG327644:JR327646 TC327644:TN327646 ACY327644:ADJ327646 AMU327644:ANF327646 AWQ327644:AXB327646 BGM327644:BGX327646 BQI327644:BQT327646 CAE327644:CAP327646 CKA327644:CKL327646 CTW327644:CUH327646 DDS327644:DED327646 DNO327644:DNZ327646 DXK327644:DXV327646 EHG327644:EHR327646 ERC327644:ERN327646 FAY327644:FBJ327646 FKU327644:FLF327646 FUQ327644:FVB327646 GEM327644:GEX327646 GOI327644:GOT327646 GYE327644:GYP327646 HIA327644:HIL327646 HRW327644:HSH327646 IBS327644:ICD327646 ILO327644:ILZ327646 IVK327644:IVV327646 JFG327644:JFR327646 JPC327644:JPN327646 JYY327644:JZJ327646 KIU327644:KJF327646 KSQ327644:KTB327646 LCM327644:LCX327646 LMI327644:LMT327646 LWE327644:LWP327646 MGA327644:MGL327646 MPW327644:MQH327646 MZS327644:NAD327646 NJO327644:NJZ327646 NTK327644:NTV327646 ODG327644:ODR327646 ONC327644:ONN327646 OWY327644:OXJ327646 PGU327644:PHF327646 PQQ327644:PRB327646 QAM327644:QAX327646 QKI327644:QKT327646 QUE327644:QUP327646 REA327644:REL327646 RNW327644:ROH327646 RXS327644:RYD327646 SHO327644:SHZ327646 SRK327644:SRV327646 TBG327644:TBR327646 TLC327644:TLN327646 TUY327644:TVJ327646 UEU327644:UFF327646 UOQ327644:UPB327646 UYM327644:UYX327646 VII327644:VIT327646 VSE327644:VSP327646 WCA327644:WCL327646 WLW327644:WMH327646 WVS327644:WWD327646 JG393180:JR393182 TC393180:TN393182 ACY393180:ADJ393182 AMU393180:ANF393182 AWQ393180:AXB393182 BGM393180:BGX393182 BQI393180:BQT393182 CAE393180:CAP393182 CKA393180:CKL393182 CTW393180:CUH393182 DDS393180:DED393182 DNO393180:DNZ393182 DXK393180:DXV393182 EHG393180:EHR393182 ERC393180:ERN393182 FAY393180:FBJ393182 FKU393180:FLF393182 FUQ393180:FVB393182 GEM393180:GEX393182 GOI393180:GOT393182 GYE393180:GYP393182 HIA393180:HIL393182 HRW393180:HSH393182 IBS393180:ICD393182 ILO393180:ILZ393182 IVK393180:IVV393182 JFG393180:JFR393182 JPC393180:JPN393182 JYY393180:JZJ393182 KIU393180:KJF393182 KSQ393180:KTB393182 LCM393180:LCX393182 LMI393180:LMT393182 LWE393180:LWP393182 MGA393180:MGL393182 MPW393180:MQH393182 MZS393180:NAD393182 NJO393180:NJZ393182 NTK393180:NTV393182 ODG393180:ODR393182 ONC393180:ONN393182 OWY393180:OXJ393182 PGU393180:PHF393182 PQQ393180:PRB393182 QAM393180:QAX393182 QKI393180:QKT393182 QUE393180:QUP393182 REA393180:REL393182 RNW393180:ROH393182 RXS393180:RYD393182 SHO393180:SHZ393182 SRK393180:SRV393182 TBG393180:TBR393182 TLC393180:TLN393182 TUY393180:TVJ393182 UEU393180:UFF393182 UOQ393180:UPB393182 UYM393180:UYX393182 VII393180:VIT393182 VSE393180:VSP393182 WCA393180:WCL393182 WLW393180:WMH393182 WVS393180:WWD393182 JG458716:JR458718 TC458716:TN458718 ACY458716:ADJ458718 AMU458716:ANF458718 AWQ458716:AXB458718 BGM458716:BGX458718 BQI458716:BQT458718 CAE458716:CAP458718 CKA458716:CKL458718 CTW458716:CUH458718 DDS458716:DED458718 DNO458716:DNZ458718 DXK458716:DXV458718 EHG458716:EHR458718 ERC458716:ERN458718 FAY458716:FBJ458718 FKU458716:FLF458718 FUQ458716:FVB458718 GEM458716:GEX458718 GOI458716:GOT458718 GYE458716:GYP458718 HIA458716:HIL458718 HRW458716:HSH458718 IBS458716:ICD458718 ILO458716:ILZ458718 IVK458716:IVV458718 JFG458716:JFR458718 JPC458716:JPN458718 JYY458716:JZJ458718 KIU458716:KJF458718 KSQ458716:KTB458718 LCM458716:LCX458718 LMI458716:LMT458718 LWE458716:LWP458718 MGA458716:MGL458718 MPW458716:MQH458718 MZS458716:NAD458718 NJO458716:NJZ458718 NTK458716:NTV458718 ODG458716:ODR458718 ONC458716:ONN458718 OWY458716:OXJ458718 PGU458716:PHF458718 PQQ458716:PRB458718 QAM458716:QAX458718 QKI458716:QKT458718 QUE458716:QUP458718 REA458716:REL458718 RNW458716:ROH458718 RXS458716:RYD458718 SHO458716:SHZ458718 SRK458716:SRV458718 TBG458716:TBR458718 TLC458716:TLN458718 TUY458716:TVJ458718 UEU458716:UFF458718 UOQ458716:UPB458718 UYM458716:UYX458718 VII458716:VIT458718 VSE458716:VSP458718 WCA458716:WCL458718 WLW458716:WMH458718 WVS458716:WWD458718 JG524252:JR524254 TC524252:TN524254 ACY524252:ADJ524254 AMU524252:ANF524254 AWQ524252:AXB524254 BGM524252:BGX524254 BQI524252:BQT524254 CAE524252:CAP524254 CKA524252:CKL524254 CTW524252:CUH524254 DDS524252:DED524254 DNO524252:DNZ524254 DXK524252:DXV524254 EHG524252:EHR524254 ERC524252:ERN524254 FAY524252:FBJ524254 FKU524252:FLF524254 FUQ524252:FVB524254 GEM524252:GEX524254 GOI524252:GOT524254 GYE524252:GYP524254 HIA524252:HIL524254 HRW524252:HSH524254 IBS524252:ICD524254 ILO524252:ILZ524254 IVK524252:IVV524254 JFG524252:JFR524254 JPC524252:JPN524254 JYY524252:JZJ524254 KIU524252:KJF524254 KSQ524252:KTB524254 LCM524252:LCX524254 LMI524252:LMT524254 LWE524252:LWP524254 MGA524252:MGL524254 MPW524252:MQH524254 MZS524252:NAD524254 NJO524252:NJZ524254 NTK524252:NTV524254 ODG524252:ODR524254 ONC524252:ONN524254 OWY524252:OXJ524254 PGU524252:PHF524254 PQQ524252:PRB524254 QAM524252:QAX524254 QKI524252:QKT524254 QUE524252:QUP524254 REA524252:REL524254 RNW524252:ROH524254 RXS524252:RYD524254 SHO524252:SHZ524254 SRK524252:SRV524254 TBG524252:TBR524254 TLC524252:TLN524254 TUY524252:TVJ524254 UEU524252:UFF524254 UOQ524252:UPB524254 UYM524252:UYX524254 VII524252:VIT524254 VSE524252:VSP524254 WCA524252:WCL524254 WLW524252:WMH524254 WVS524252:WWD524254 JG589788:JR589790 TC589788:TN589790 ACY589788:ADJ589790 AMU589788:ANF589790 AWQ589788:AXB589790 BGM589788:BGX589790 BQI589788:BQT589790 CAE589788:CAP589790 CKA589788:CKL589790 CTW589788:CUH589790 DDS589788:DED589790 DNO589788:DNZ589790 DXK589788:DXV589790 EHG589788:EHR589790 ERC589788:ERN589790 FAY589788:FBJ589790 FKU589788:FLF589790 FUQ589788:FVB589790 GEM589788:GEX589790 GOI589788:GOT589790 GYE589788:GYP589790 HIA589788:HIL589790 HRW589788:HSH589790 IBS589788:ICD589790 ILO589788:ILZ589790 IVK589788:IVV589790 JFG589788:JFR589790 JPC589788:JPN589790 JYY589788:JZJ589790 KIU589788:KJF589790 KSQ589788:KTB589790 LCM589788:LCX589790 LMI589788:LMT589790 LWE589788:LWP589790 MGA589788:MGL589790 MPW589788:MQH589790 MZS589788:NAD589790 NJO589788:NJZ589790 NTK589788:NTV589790 ODG589788:ODR589790 ONC589788:ONN589790 OWY589788:OXJ589790 PGU589788:PHF589790 PQQ589788:PRB589790 QAM589788:QAX589790 QKI589788:QKT589790 QUE589788:QUP589790 REA589788:REL589790 RNW589788:ROH589790 RXS589788:RYD589790 SHO589788:SHZ589790 SRK589788:SRV589790 TBG589788:TBR589790 TLC589788:TLN589790 TUY589788:TVJ589790 UEU589788:UFF589790 UOQ589788:UPB589790 UYM589788:UYX589790 VII589788:VIT589790 VSE589788:VSP589790 WCA589788:WCL589790 WLW589788:WMH589790 WVS589788:WWD589790 JG655324:JR655326 TC655324:TN655326 ACY655324:ADJ655326 AMU655324:ANF655326 AWQ655324:AXB655326 BGM655324:BGX655326 BQI655324:BQT655326 CAE655324:CAP655326 CKA655324:CKL655326 CTW655324:CUH655326 DDS655324:DED655326 DNO655324:DNZ655326 DXK655324:DXV655326 EHG655324:EHR655326 ERC655324:ERN655326 FAY655324:FBJ655326 FKU655324:FLF655326 FUQ655324:FVB655326 GEM655324:GEX655326 GOI655324:GOT655326 GYE655324:GYP655326 HIA655324:HIL655326 HRW655324:HSH655326 IBS655324:ICD655326 ILO655324:ILZ655326 IVK655324:IVV655326 JFG655324:JFR655326 JPC655324:JPN655326 JYY655324:JZJ655326 KIU655324:KJF655326 KSQ655324:KTB655326 LCM655324:LCX655326 LMI655324:LMT655326 LWE655324:LWP655326 MGA655324:MGL655326 MPW655324:MQH655326 MZS655324:NAD655326 NJO655324:NJZ655326 NTK655324:NTV655326 ODG655324:ODR655326 ONC655324:ONN655326 OWY655324:OXJ655326 PGU655324:PHF655326 PQQ655324:PRB655326 QAM655324:QAX655326 QKI655324:QKT655326 QUE655324:QUP655326 REA655324:REL655326 RNW655324:ROH655326 RXS655324:RYD655326 SHO655324:SHZ655326 SRK655324:SRV655326 TBG655324:TBR655326 TLC655324:TLN655326 TUY655324:TVJ655326 UEU655324:UFF655326 UOQ655324:UPB655326 UYM655324:UYX655326 VII655324:VIT655326 VSE655324:VSP655326 WCA655324:WCL655326 WLW655324:WMH655326 WVS655324:WWD655326 JG720860:JR720862 TC720860:TN720862 ACY720860:ADJ720862 AMU720860:ANF720862 AWQ720860:AXB720862 BGM720860:BGX720862 BQI720860:BQT720862 CAE720860:CAP720862 CKA720860:CKL720862 CTW720860:CUH720862 DDS720860:DED720862 DNO720860:DNZ720862 DXK720860:DXV720862 EHG720860:EHR720862 ERC720860:ERN720862 FAY720860:FBJ720862 FKU720860:FLF720862 FUQ720860:FVB720862 GEM720860:GEX720862 GOI720860:GOT720862 GYE720860:GYP720862 HIA720860:HIL720862 HRW720860:HSH720862 IBS720860:ICD720862 ILO720860:ILZ720862 IVK720860:IVV720862 JFG720860:JFR720862 JPC720860:JPN720862 JYY720860:JZJ720862 KIU720860:KJF720862 KSQ720860:KTB720862 LCM720860:LCX720862 LMI720860:LMT720862 LWE720860:LWP720862 MGA720860:MGL720862 MPW720860:MQH720862 MZS720860:NAD720862 NJO720860:NJZ720862 NTK720860:NTV720862 ODG720860:ODR720862 ONC720860:ONN720862 OWY720860:OXJ720862 PGU720860:PHF720862 PQQ720860:PRB720862 QAM720860:QAX720862 QKI720860:QKT720862 QUE720860:QUP720862 REA720860:REL720862 RNW720860:ROH720862 RXS720860:RYD720862 SHO720860:SHZ720862 SRK720860:SRV720862 TBG720860:TBR720862 TLC720860:TLN720862 TUY720860:TVJ720862 UEU720860:UFF720862 UOQ720860:UPB720862 UYM720860:UYX720862 VII720860:VIT720862 VSE720860:VSP720862 WCA720860:WCL720862 WLW720860:WMH720862 WVS720860:WWD720862 JG786396:JR786398 TC786396:TN786398 ACY786396:ADJ786398 AMU786396:ANF786398 AWQ786396:AXB786398 BGM786396:BGX786398 BQI786396:BQT786398 CAE786396:CAP786398 CKA786396:CKL786398 CTW786396:CUH786398 DDS786396:DED786398 DNO786396:DNZ786398 DXK786396:DXV786398 EHG786396:EHR786398 ERC786396:ERN786398 FAY786396:FBJ786398 FKU786396:FLF786398 FUQ786396:FVB786398 GEM786396:GEX786398 GOI786396:GOT786398 GYE786396:GYP786398 HIA786396:HIL786398 HRW786396:HSH786398 IBS786396:ICD786398 ILO786396:ILZ786398 IVK786396:IVV786398 JFG786396:JFR786398 JPC786396:JPN786398 JYY786396:JZJ786398 KIU786396:KJF786398 KSQ786396:KTB786398 LCM786396:LCX786398 LMI786396:LMT786398 LWE786396:LWP786398 MGA786396:MGL786398 MPW786396:MQH786398 MZS786396:NAD786398 NJO786396:NJZ786398 NTK786396:NTV786398 ODG786396:ODR786398 ONC786396:ONN786398 OWY786396:OXJ786398 PGU786396:PHF786398 PQQ786396:PRB786398 QAM786396:QAX786398 QKI786396:QKT786398 QUE786396:QUP786398 REA786396:REL786398 RNW786396:ROH786398 RXS786396:RYD786398 SHO786396:SHZ786398 SRK786396:SRV786398 TBG786396:TBR786398 TLC786396:TLN786398 TUY786396:TVJ786398 UEU786396:UFF786398 UOQ786396:UPB786398 UYM786396:UYX786398 VII786396:VIT786398 VSE786396:VSP786398 WCA786396:WCL786398 WLW786396:WMH786398 WVS786396:WWD786398 JG851932:JR851934 TC851932:TN851934 ACY851932:ADJ851934 AMU851932:ANF851934 AWQ851932:AXB851934 BGM851932:BGX851934 BQI851932:BQT851934 CAE851932:CAP851934 CKA851932:CKL851934 CTW851932:CUH851934 DDS851932:DED851934 DNO851932:DNZ851934 DXK851932:DXV851934 EHG851932:EHR851934 ERC851932:ERN851934 FAY851932:FBJ851934 FKU851932:FLF851934 FUQ851932:FVB851934 GEM851932:GEX851934 GOI851932:GOT851934 GYE851932:GYP851934 HIA851932:HIL851934 HRW851932:HSH851934 IBS851932:ICD851934 ILO851932:ILZ851934 IVK851932:IVV851934 JFG851932:JFR851934 JPC851932:JPN851934 JYY851932:JZJ851934 KIU851932:KJF851934 KSQ851932:KTB851934 LCM851932:LCX851934 LMI851932:LMT851934 LWE851932:LWP851934 MGA851932:MGL851934 MPW851932:MQH851934 MZS851932:NAD851934 NJO851932:NJZ851934 NTK851932:NTV851934 ODG851932:ODR851934 ONC851932:ONN851934 OWY851932:OXJ851934 PGU851932:PHF851934 PQQ851932:PRB851934 QAM851932:QAX851934 QKI851932:QKT851934 QUE851932:QUP851934 REA851932:REL851934 RNW851932:ROH851934 RXS851932:RYD851934 SHO851932:SHZ851934 SRK851932:SRV851934 TBG851932:TBR851934 TLC851932:TLN851934 TUY851932:TVJ851934 UEU851932:UFF851934 UOQ851932:UPB851934 UYM851932:UYX851934 VII851932:VIT851934 VSE851932:VSP851934 WCA851932:WCL851934 WLW851932:WMH851934 WVS851932:WWD851934 JG917468:JR917470 TC917468:TN917470 ACY917468:ADJ917470 AMU917468:ANF917470 AWQ917468:AXB917470 BGM917468:BGX917470 BQI917468:BQT917470 CAE917468:CAP917470 CKA917468:CKL917470 CTW917468:CUH917470 DDS917468:DED917470 DNO917468:DNZ917470 DXK917468:DXV917470 EHG917468:EHR917470 ERC917468:ERN917470 FAY917468:FBJ917470 FKU917468:FLF917470 FUQ917468:FVB917470 GEM917468:GEX917470 GOI917468:GOT917470 GYE917468:GYP917470 HIA917468:HIL917470 HRW917468:HSH917470 IBS917468:ICD917470 ILO917468:ILZ917470 IVK917468:IVV917470 JFG917468:JFR917470 JPC917468:JPN917470 JYY917468:JZJ917470 KIU917468:KJF917470 KSQ917468:KTB917470 LCM917468:LCX917470 LMI917468:LMT917470 LWE917468:LWP917470 MGA917468:MGL917470 MPW917468:MQH917470 MZS917468:NAD917470 NJO917468:NJZ917470 NTK917468:NTV917470 ODG917468:ODR917470 ONC917468:ONN917470 OWY917468:OXJ917470 PGU917468:PHF917470 PQQ917468:PRB917470 QAM917468:QAX917470 QKI917468:QKT917470 QUE917468:QUP917470 REA917468:REL917470 RNW917468:ROH917470 RXS917468:RYD917470 SHO917468:SHZ917470 SRK917468:SRV917470 TBG917468:TBR917470 TLC917468:TLN917470 TUY917468:TVJ917470 UEU917468:UFF917470 UOQ917468:UPB917470 UYM917468:UYX917470 VII917468:VIT917470 VSE917468:VSP917470 WCA917468:WCL917470 WLW917468:WMH917470 WVS917468:WWD917470 JG983004:JR983006 TC983004:TN983006 ACY983004:ADJ983006 AMU983004:ANF983006 AWQ983004:AXB983006 BGM983004:BGX983006 BQI983004:BQT983006 CAE983004:CAP983006 CKA983004:CKL983006 CTW983004:CUH983006 DDS983004:DED983006 DNO983004:DNZ983006 DXK983004:DXV983006 EHG983004:EHR983006 ERC983004:ERN983006 FAY983004:FBJ983006 FKU983004:FLF983006 FUQ983004:FVB983006 GEM983004:GEX983006 GOI983004:GOT983006 GYE983004:GYP983006 HIA983004:HIL983006 HRW983004:HSH983006 IBS983004:ICD983006 ILO983004:ILZ983006 IVK983004:IVV983006 JFG983004:JFR983006 JPC983004:JPN983006 JYY983004:JZJ983006 KIU983004:KJF983006 KSQ983004:KTB983006 LCM983004:LCX983006 LMI983004:LMT983006 LWE983004:LWP983006 MGA983004:MGL983006 MPW983004:MQH983006 MZS983004:NAD983006 NJO983004:NJZ983006 NTK983004:NTV983006 ODG983004:ODR983006 ONC983004:ONN983006 OWY983004:OXJ983006 PGU983004:PHF983006 PQQ983004:PRB983006 QAM983004:QAX983006 QKI983004:QKT983006 QUE983004:QUP983006 REA983004:REL983006 RNW983004:ROH983006 RXS983004:RYD983006 SHO983004:SHZ983006 SRK983004:SRV983006 TBG983004:TBR983006 TLC983004:TLN983006 TUY983004:TVJ983006 UEU983004:UFF983006 UOQ983004:UPB983006 UYM983004:UYX983006 VII983004:VIT983006 VSE983004:VSP983006 WCA983004:WCL983006 WLW983004:WMH983006 WVS983004:WWD983006 WVS983009:WWD983011 JG65505:JR65507 TC65505:TN65507 ACY65505:ADJ65507 AMU65505:ANF65507 AWQ65505:AXB65507 BGM65505:BGX65507 BQI65505:BQT65507 CAE65505:CAP65507 CKA65505:CKL65507 CTW65505:CUH65507 DDS65505:DED65507 DNO65505:DNZ65507 DXK65505:DXV65507 EHG65505:EHR65507 ERC65505:ERN65507 FAY65505:FBJ65507 FKU65505:FLF65507 FUQ65505:FVB65507 GEM65505:GEX65507 GOI65505:GOT65507 GYE65505:GYP65507 HIA65505:HIL65507 HRW65505:HSH65507 IBS65505:ICD65507 ILO65505:ILZ65507 IVK65505:IVV65507 JFG65505:JFR65507 JPC65505:JPN65507 JYY65505:JZJ65507 KIU65505:KJF65507 KSQ65505:KTB65507 LCM65505:LCX65507 LMI65505:LMT65507 LWE65505:LWP65507 MGA65505:MGL65507 MPW65505:MQH65507 MZS65505:NAD65507 NJO65505:NJZ65507 NTK65505:NTV65507 ODG65505:ODR65507 ONC65505:ONN65507 OWY65505:OXJ65507 PGU65505:PHF65507 PQQ65505:PRB65507 QAM65505:QAX65507 QKI65505:QKT65507 QUE65505:QUP65507 REA65505:REL65507 RNW65505:ROH65507 RXS65505:RYD65507 SHO65505:SHZ65507 SRK65505:SRV65507 TBG65505:TBR65507 TLC65505:TLN65507 TUY65505:TVJ65507 UEU65505:UFF65507 UOQ65505:UPB65507 UYM65505:UYX65507 VII65505:VIT65507 VSE65505:VSP65507 WCA65505:WCL65507 WLW65505:WMH65507 WVS65505:WWD65507 JG131041:JR131043 TC131041:TN131043 ACY131041:ADJ131043 AMU131041:ANF131043 AWQ131041:AXB131043 BGM131041:BGX131043 BQI131041:BQT131043 CAE131041:CAP131043 CKA131041:CKL131043 CTW131041:CUH131043 DDS131041:DED131043 DNO131041:DNZ131043 DXK131041:DXV131043 EHG131041:EHR131043 ERC131041:ERN131043 FAY131041:FBJ131043 FKU131041:FLF131043 FUQ131041:FVB131043 GEM131041:GEX131043 GOI131041:GOT131043 GYE131041:GYP131043 HIA131041:HIL131043 HRW131041:HSH131043 IBS131041:ICD131043 ILO131041:ILZ131043 IVK131041:IVV131043 JFG131041:JFR131043 JPC131041:JPN131043 JYY131041:JZJ131043 KIU131041:KJF131043 KSQ131041:KTB131043 LCM131041:LCX131043 LMI131041:LMT131043 LWE131041:LWP131043 MGA131041:MGL131043 MPW131041:MQH131043 MZS131041:NAD131043 NJO131041:NJZ131043 NTK131041:NTV131043 ODG131041:ODR131043 ONC131041:ONN131043 OWY131041:OXJ131043 PGU131041:PHF131043 PQQ131041:PRB131043 QAM131041:QAX131043 QKI131041:QKT131043 QUE131041:QUP131043 REA131041:REL131043 RNW131041:ROH131043 RXS131041:RYD131043 SHO131041:SHZ131043 SRK131041:SRV131043 TBG131041:TBR131043 TLC131041:TLN131043 TUY131041:TVJ131043 UEU131041:UFF131043 UOQ131041:UPB131043 UYM131041:UYX131043 VII131041:VIT131043 VSE131041:VSP131043 WCA131041:WCL131043 WLW131041:WMH131043 WVS131041:WWD131043 JG196577:JR196579 TC196577:TN196579 ACY196577:ADJ196579 AMU196577:ANF196579 AWQ196577:AXB196579 BGM196577:BGX196579 BQI196577:BQT196579 CAE196577:CAP196579 CKA196577:CKL196579 CTW196577:CUH196579 DDS196577:DED196579 DNO196577:DNZ196579 DXK196577:DXV196579 EHG196577:EHR196579 ERC196577:ERN196579 FAY196577:FBJ196579 FKU196577:FLF196579 FUQ196577:FVB196579 GEM196577:GEX196579 GOI196577:GOT196579 GYE196577:GYP196579 HIA196577:HIL196579 HRW196577:HSH196579 IBS196577:ICD196579 ILO196577:ILZ196579 IVK196577:IVV196579 JFG196577:JFR196579 JPC196577:JPN196579 JYY196577:JZJ196579 KIU196577:KJF196579 KSQ196577:KTB196579 LCM196577:LCX196579 LMI196577:LMT196579 LWE196577:LWP196579 MGA196577:MGL196579 MPW196577:MQH196579 MZS196577:NAD196579 NJO196577:NJZ196579 NTK196577:NTV196579 ODG196577:ODR196579 ONC196577:ONN196579 OWY196577:OXJ196579 PGU196577:PHF196579 PQQ196577:PRB196579 QAM196577:QAX196579 QKI196577:QKT196579 QUE196577:QUP196579 REA196577:REL196579 RNW196577:ROH196579 RXS196577:RYD196579 SHO196577:SHZ196579 SRK196577:SRV196579 TBG196577:TBR196579 TLC196577:TLN196579 TUY196577:TVJ196579 UEU196577:UFF196579 UOQ196577:UPB196579 UYM196577:UYX196579 VII196577:VIT196579 VSE196577:VSP196579 WCA196577:WCL196579 WLW196577:WMH196579 WVS196577:WWD196579 JG262113:JR262115 TC262113:TN262115 ACY262113:ADJ262115 AMU262113:ANF262115 AWQ262113:AXB262115 BGM262113:BGX262115 BQI262113:BQT262115 CAE262113:CAP262115 CKA262113:CKL262115 CTW262113:CUH262115 DDS262113:DED262115 DNO262113:DNZ262115 DXK262113:DXV262115 EHG262113:EHR262115 ERC262113:ERN262115 FAY262113:FBJ262115 FKU262113:FLF262115 FUQ262113:FVB262115 GEM262113:GEX262115 GOI262113:GOT262115 GYE262113:GYP262115 HIA262113:HIL262115 HRW262113:HSH262115 IBS262113:ICD262115 ILO262113:ILZ262115 IVK262113:IVV262115 JFG262113:JFR262115 JPC262113:JPN262115 JYY262113:JZJ262115 KIU262113:KJF262115 KSQ262113:KTB262115 LCM262113:LCX262115 LMI262113:LMT262115 LWE262113:LWP262115 MGA262113:MGL262115 MPW262113:MQH262115 MZS262113:NAD262115 NJO262113:NJZ262115 NTK262113:NTV262115 ODG262113:ODR262115 ONC262113:ONN262115 OWY262113:OXJ262115 PGU262113:PHF262115 PQQ262113:PRB262115 QAM262113:QAX262115 QKI262113:QKT262115 QUE262113:QUP262115 REA262113:REL262115 RNW262113:ROH262115 RXS262113:RYD262115 SHO262113:SHZ262115 SRK262113:SRV262115 TBG262113:TBR262115 TLC262113:TLN262115 TUY262113:TVJ262115 UEU262113:UFF262115 UOQ262113:UPB262115 UYM262113:UYX262115 VII262113:VIT262115 VSE262113:VSP262115 WCA262113:WCL262115 WLW262113:WMH262115 WVS262113:WWD262115 JG327649:JR327651 TC327649:TN327651 ACY327649:ADJ327651 AMU327649:ANF327651 AWQ327649:AXB327651 BGM327649:BGX327651 BQI327649:BQT327651 CAE327649:CAP327651 CKA327649:CKL327651 CTW327649:CUH327651 DDS327649:DED327651 DNO327649:DNZ327651 DXK327649:DXV327651 EHG327649:EHR327651 ERC327649:ERN327651 FAY327649:FBJ327651 FKU327649:FLF327651 FUQ327649:FVB327651 GEM327649:GEX327651 GOI327649:GOT327651 GYE327649:GYP327651 HIA327649:HIL327651 HRW327649:HSH327651 IBS327649:ICD327651 ILO327649:ILZ327651 IVK327649:IVV327651 JFG327649:JFR327651 JPC327649:JPN327651 JYY327649:JZJ327651 KIU327649:KJF327651 KSQ327649:KTB327651 LCM327649:LCX327651 LMI327649:LMT327651 LWE327649:LWP327651 MGA327649:MGL327651 MPW327649:MQH327651 MZS327649:NAD327651 NJO327649:NJZ327651 NTK327649:NTV327651 ODG327649:ODR327651 ONC327649:ONN327651 OWY327649:OXJ327651 PGU327649:PHF327651 PQQ327649:PRB327651 QAM327649:QAX327651 QKI327649:QKT327651 QUE327649:QUP327651 REA327649:REL327651 RNW327649:ROH327651 RXS327649:RYD327651 SHO327649:SHZ327651 SRK327649:SRV327651 TBG327649:TBR327651 TLC327649:TLN327651 TUY327649:TVJ327651 UEU327649:UFF327651 UOQ327649:UPB327651 UYM327649:UYX327651 VII327649:VIT327651 VSE327649:VSP327651 WCA327649:WCL327651 WLW327649:WMH327651 WVS327649:WWD327651 JG393185:JR393187 TC393185:TN393187 ACY393185:ADJ393187 AMU393185:ANF393187 AWQ393185:AXB393187 BGM393185:BGX393187 BQI393185:BQT393187 CAE393185:CAP393187 CKA393185:CKL393187 CTW393185:CUH393187 DDS393185:DED393187 DNO393185:DNZ393187 DXK393185:DXV393187 EHG393185:EHR393187 ERC393185:ERN393187 FAY393185:FBJ393187 FKU393185:FLF393187 FUQ393185:FVB393187 GEM393185:GEX393187 GOI393185:GOT393187 GYE393185:GYP393187 HIA393185:HIL393187 HRW393185:HSH393187 IBS393185:ICD393187 ILO393185:ILZ393187 IVK393185:IVV393187 JFG393185:JFR393187 JPC393185:JPN393187 JYY393185:JZJ393187 KIU393185:KJF393187 KSQ393185:KTB393187 LCM393185:LCX393187 LMI393185:LMT393187 LWE393185:LWP393187 MGA393185:MGL393187 MPW393185:MQH393187 MZS393185:NAD393187 NJO393185:NJZ393187 NTK393185:NTV393187 ODG393185:ODR393187 ONC393185:ONN393187 OWY393185:OXJ393187 PGU393185:PHF393187 PQQ393185:PRB393187 QAM393185:QAX393187 QKI393185:QKT393187 QUE393185:QUP393187 REA393185:REL393187 RNW393185:ROH393187 RXS393185:RYD393187 SHO393185:SHZ393187 SRK393185:SRV393187 TBG393185:TBR393187 TLC393185:TLN393187 TUY393185:TVJ393187 UEU393185:UFF393187 UOQ393185:UPB393187 UYM393185:UYX393187 VII393185:VIT393187 VSE393185:VSP393187 WCA393185:WCL393187 WLW393185:WMH393187 WVS393185:WWD393187 JG458721:JR458723 TC458721:TN458723 ACY458721:ADJ458723 AMU458721:ANF458723 AWQ458721:AXB458723 BGM458721:BGX458723 BQI458721:BQT458723 CAE458721:CAP458723 CKA458721:CKL458723 CTW458721:CUH458723 DDS458721:DED458723 DNO458721:DNZ458723 DXK458721:DXV458723 EHG458721:EHR458723 ERC458721:ERN458723 FAY458721:FBJ458723 FKU458721:FLF458723 FUQ458721:FVB458723 GEM458721:GEX458723 GOI458721:GOT458723 GYE458721:GYP458723 HIA458721:HIL458723 HRW458721:HSH458723 IBS458721:ICD458723 ILO458721:ILZ458723 IVK458721:IVV458723 JFG458721:JFR458723 JPC458721:JPN458723 JYY458721:JZJ458723 KIU458721:KJF458723 KSQ458721:KTB458723 LCM458721:LCX458723 LMI458721:LMT458723 LWE458721:LWP458723 MGA458721:MGL458723 MPW458721:MQH458723 MZS458721:NAD458723 NJO458721:NJZ458723 NTK458721:NTV458723 ODG458721:ODR458723 ONC458721:ONN458723 OWY458721:OXJ458723 PGU458721:PHF458723 PQQ458721:PRB458723 QAM458721:QAX458723 QKI458721:QKT458723 QUE458721:QUP458723 REA458721:REL458723 RNW458721:ROH458723 RXS458721:RYD458723 SHO458721:SHZ458723 SRK458721:SRV458723 TBG458721:TBR458723 TLC458721:TLN458723 TUY458721:TVJ458723 UEU458721:UFF458723 UOQ458721:UPB458723 UYM458721:UYX458723 VII458721:VIT458723 VSE458721:VSP458723 WCA458721:WCL458723 WLW458721:WMH458723 WVS458721:WWD458723 JG524257:JR524259 TC524257:TN524259 ACY524257:ADJ524259 AMU524257:ANF524259 AWQ524257:AXB524259 BGM524257:BGX524259 BQI524257:BQT524259 CAE524257:CAP524259 CKA524257:CKL524259 CTW524257:CUH524259 DDS524257:DED524259 DNO524257:DNZ524259 DXK524257:DXV524259 EHG524257:EHR524259 ERC524257:ERN524259 FAY524257:FBJ524259 FKU524257:FLF524259 FUQ524257:FVB524259 GEM524257:GEX524259 GOI524257:GOT524259 GYE524257:GYP524259 HIA524257:HIL524259 HRW524257:HSH524259 IBS524257:ICD524259 ILO524257:ILZ524259 IVK524257:IVV524259 JFG524257:JFR524259 JPC524257:JPN524259 JYY524257:JZJ524259 KIU524257:KJF524259 KSQ524257:KTB524259 LCM524257:LCX524259 LMI524257:LMT524259 LWE524257:LWP524259 MGA524257:MGL524259 MPW524257:MQH524259 MZS524257:NAD524259 NJO524257:NJZ524259 NTK524257:NTV524259 ODG524257:ODR524259 ONC524257:ONN524259 OWY524257:OXJ524259 PGU524257:PHF524259 PQQ524257:PRB524259 QAM524257:QAX524259 QKI524257:QKT524259 QUE524257:QUP524259 REA524257:REL524259 RNW524257:ROH524259 RXS524257:RYD524259 SHO524257:SHZ524259 SRK524257:SRV524259 TBG524257:TBR524259 TLC524257:TLN524259 TUY524257:TVJ524259 UEU524257:UFF524259 UOQ524257:UPB524259 UYM524257:UYX524259 VII524257:VIT524259 VSE524257:VSP524259 WCA524257:WCL524259 WLW524257:WMH524259 WVS524257:WWD524259 JG589793:JR589795 TC589793:TN589795 ACY589793:ADJ589795 AMU589793:ANF589795 AWQ589793:AXB589795 BGM589793:BGX589795 BQI589793:BQT589795 CAE589793:CAP589795 CKA589793:CKL589795 CTW589793:CUH589795 DDS589793:DED589795 DNO589793:DNZ589795 DXK589793:DXV589795 EHG589793:EHR589795 ERC589793:ERN589795 FAY589793:FBJ589795 FKU589793:FLF589795 FUQ589793:FVB589795 GEM589793:GEX589795 GOI589793:GOT589795 GYE589793:GYP589795 HIA589793:HIL589795 HRW589793:HSH589795 IBS589793:ICD589795 ILO589793:ILZ589795 IVK589793:IVV589795 JFG589793:JFR589795 JPC589793:JPN589795 JYY589793:JZJ589795 KIU589793:KJF589795 KSQ589793:KTB589795 LCM589793:LCX589795 LMI589793:LMT589795 LWE589793:LWP589795 MGA589793:MGL589795 MPW589793:MQH589795 MZS589793:NAD589795 NJO589793:NJZ589795 NTK589793:NTV589795 ODG589793:ODR589795 ONC589793:ONN589795 OWY589793:OXJ589795 PGU589793:PHF589795 PQQ589793:PRB589795 QAM589793:QAX589795 QKI589793:QKT589795 QUE589793:QUP589795 REA589793:REL589795 RNW589793:ROH589795 RXS589793:RYD589795 SHO589793:SHZ589795 SRK589793:SRV589795 TBG589793:TBR589795 TLC589793:TLN589795 TUY589793:TVJ589795 UEU589793:UFF589795 UOQ589793:UPB589795 UYM589793:UYX589795 VII589793:VIT589795 VSE589793:VSP589795 WCA589793:WCL589795 WLW589793:WMH589795 WVS589793:WWD589795 JG655329:JR655331 TC655329:TN655331 ACY655329:ADJ655331 AMU655329:ANF655331 AWQ655329:AXB655331 BGM655329:BGX655331 BQI655329:BQT655331 CAE655329:CAP655331 CKA655329:CKL655331 CTW655329:CUH655331 DDS655329:DED655331 DNO655329:DNZ655331 DXK655329:DXV655331 EHG655329:EHR655331 ERC655329:ERN655331 FAY655329:FBJ655331 FKU655329:FLF655331 FUQ655329:FVB655331 GEM655329:GEX655331 GOI655329:GOT655331 GYE655329:GYP655331 HIA655329:HIL655331 HRW655329:HSH655331 IBS655329:ICD655331 ILO655329:ILZ655331 IVK655329:IVV655331 JFG655329:JFR655331 JPC655329:JPN655331 JYY655329:JZJ655331 KIU655329:KJF655331 KSQ655329:KTB655331 LCM655329:LCX655331 LMI655329:LMT655331 LWE655329:LWP655331 MGA655329:MGL655331 MPW655329:MQH655331 MZS655329:NAD655331 NJO655329:NJZ655331 NTK655329:NTV655331 ODG655329:ODR655331 ONC655329:ONN655331 OWY655329:OXJ655331 PGU655329:PHF655331 PQQ655329:PRB655331 QAM655329:QAX655331 QKI655329:QKT655331 QUE655329:QUP655331 REA655329:REL655331 RNW655329:ROH655331 RXS655329:RYD655331 SHO655329:SHZ655331 SRK655329:SRV655331 TBG655329:TBR655331 TLC655329:TLN655331 TUY655329:TVJ655331 UEU655329:UFF655331 UOQ655329:UPB655331 UYM655329:UYX655331 VII655329:VIT655331 VSE655329:VSP655331 WCA655329:WCL655331 WLW655329:WMH655331 WVS655329:WWD655331 JG720865:JR720867 TC720865:TN720867 ACY720865:ADJ720867 AMU720865:ANF720867 AWQ720865:AXB720867 BGM720865:BGX720867 BQI720865:BQT720867 CAE720865:CAP720867 CKA720865:CKL720867 CTW720865:CUH720867 DDS720865:DED720867 DNO720865:DNZ720867 DXK720865:DXV720867 EHG720865:EHR720867 ERC720865:ERN720867 FAY720865:FBJ720867 FKU720865:FLF720867 FUQ720865:FVB720867 GEM720865:GEX720867 GOI720865:GOT720867 GYE720865:GYP720867 HIA720865:HIL720867 HRW720865:HSH720867 IBS720865:ICD720867 ILO720865:ILZ720867 IVK720865:IVV720867 JFG720865:JFR720867 JPC720865:JPN720867 JYY720865:JZJ720867 KIU720865:KJF720867 KSQ720865:KTB720867 LCM720865:LCX720867 LMI720865:LMT720867 LWE720865:LWP720867 MGA720865:MGL720867 MPW720865:MQH720867 MZS720865:NAD720867 NJO720865:NJZ720867 NTK720865:NTV720867 ODG720865:ODR720867 ONC720865:ONN720867 OWY720865:OXJ720867 PGU720865:PHF720867 PQQ720865:PRB720867 QAM720865:QAX720867 QKI720865:QKT720867 QUE720865:QUP720867 REA720865:REL720867 RNW720865:ROH720867 RXS720865:RYD720867 SHO720865:SHZ720867 SRK720865:SRV720867 TBG720865:TBR720867 TLC720865:TLN720867 TUY720865:TVJ720867 UEU720865:UFF720867 UOQ720865:UPB720867 UYM720865:UYX720867 VII720865:VIT720867 VSE720865:VSP720867 WCA720865:WCL720867 WLW720865:WMH720867 WVS720865:WWD720867 JG786401:JR786403 TC786401:TN786403 ACY786401:ADJ786403 AMU786401:ANF786403 AWQ786401:AXB786403 BGM786401:BGX786403 BQI786401:BQT786403 CAE786401:CAP786403 CKA786401:CKL786403 CTW786401:CUH786403 DDS786401:DED786403 DNO786401:DNZ786403 DXK786401:DXV786403 EHG786401:EHR786403 ERC786401:ERN786403 FAY786401:FBJ786403 FKU786401:FLF786403 FUQ786401:FVB786403 GEM786401:GEX786403 GOI786401:GOT786403 GYE786401:GYP786403 HIA786401:HIL786403 HRW786401:HSH786403 IBS786401:ICD786403 ILO786401:ILZ786403 IVK786401:IVV786403 JFG786401:JFR786403 JPC786401:JPN786403 JYY786401:JZJ786403 KIU786401:KJF786403 KSQ786401:KTB786403 LCM786401:LCX786403 LMI786401:LMT786403 LWE786401:LWP786403 MGA786401:MGL786403 MPW786401:MQH786403 MZS786401:NAD786403 NJO786401:NJZ786403 NTK786401:NTV786403 ODG786401:ODR786403 ONC786401:ONN786403 OWY786401:OXJ786403 PGU786401:PHF786403 PQQ786401:PRB786403 QAM786401:QAX786403 QKI786401:QKT786403 QUE786401:QUP786403 REA786401:REL786403 RNW786401:ROH786403 RXS786401:RYD786403 SHO786401:SHZ786403 SRK786401:SRV786403 TBG786401:TBR786403 TLC786401:TLN786403 TUY786401:TVJ786403 UEU786401:UFF786403 UOQ786401:UPB786403 UYM786401:UYX786403 VII786401:VIT786403 VSE786401:VSP786403 WCA786401:WCL786403 WLW786401:WMH786403 WVS786401:WWD786403 JG851937:JR851939 TC851937:TN851939 ACY851937:ADJ851939 AMU851937:ANF851939 AWQ851937:AXB851939 BGM851937:BGX851939 BQI851937:BQT851939 CAE851937:CAP851939 CKA851937:CKL851939 CTW851937:CUH851939 DDS851937:DED851939 DNO851937:DNZ851939 DXK851937:DXV851939 EHG851937:EHR851939 ERC851937:ERN851939 FAY851937:FBJ851939 FKU851937:FLF851939 FUQ851937:FVB851939 GEM851937:GEX851939 GOI851937:GOT851939 GYE851937:GYP851939 HIA851937:HIL851939 HRW851937:HSH851939 IBS851937:ICD851939 ILO851937:ILZ851939 IVK851937:IVV851939 JFG851937:JFR851939 JPC851937:JPN851939 JYY851937:JZJ851939 KIU851937:KJF851939 KSQ851937:KTB851939 LCM851937:LCX851939 LMI851937:LMT851939 LWE851937:LWP851939 MGA851937:MGL851939 MPW851937:MQH851939 MZS851937:NAD851939 NJO851937:NJZ851939 NTK851937:NTV851939 ODG851937:ODR851939 ONC851937:ONN851939 OWY851937:OXJ851939 PGU851937:PHF851939 PQQ851937:PRB851939 QAM851937:QAX851939 QKI851937:QKT851939 QUE851937:QUP851939 REA851937:REL851939 RNW851937:ROH851939 RXS851937:RYD851939 SHO851937:SHZ851939 SRK851937:SRV851939 TBG851937:TBR851939 TLC851937:TLN851939 TUY851937:TVJ851939 UEU851937:UFF851939 UOQ851937:UPB851939 UYM851937:UYX851939 VII851937:VIT851939 VSE851937:VSP851939 WCA851937:WCL851939 WLW851937:WMH851939 WVS851937:WWD851939 JG917473:JR917475 TC917473:TN917475 ACY917473:ADJ917475 AMU917473:ANF917475 AWQ917473:AXB917475 BGM917473:BGX917475 BQI917473:BQT917475 CAE917473:CAP917475 CKA917473:CKL917475 CTW917473:CUH917475 DDS917473:DED917475 DNO917473:DNZ917475 DXK917473:DXV917475 EHG917473:EHR917475 ERC917473:ERN917475 FAY917473:FBJ917475 FKU917473:FLF917475 FUQ917473:FVB917475 GEM917473:GEX917475 GOI917473:GOT917475 GYE917473:GYP917475 HIA917473:HIL917475 HRW917473:HSH917475 IBS917473:ICD917475 ILO917473:ILZ917475 IVK917473:IVV917475 JFG917473:JFR917475 JPC917473:JPN917475 JYY917473:JZJ917475 KIU917473:KJF917475 KSQ917473:KTB917475 LCM917473:LCX917475 LMI917473:LMT917475 LWE917473:LWP917475 MGA917473:MGL917475 MPW917473:MQH917475 MZS917473:NAD917475 NJO917473:NJZ917475 NTK917473:NTV917475 ODG917473:ODR917475 ONC917473:ONN917475 OWY917473:OXJ917475 PGU917473:PHF917475 PQQ917473:PRB917475 QAM917473:QAX917475 QKI917473:QKT917475 QUE917473:QUP917475 REA917473:REL917475 RNW917473:ROH917475 RXS917473:RYD917475 SHO917473:SHZ917475 SRK917473:SRV917475 TBG917473:TBR917475 TLC917473:TLN917475 TUY917473:TVJ917475 UEU917473:UFF917475 UOQ917473:UPB917475 UYM917473:UYX917475 VII917473:VIT917475 VSE917473:VSP917475 WCA917473:WCL917475 WLW917473:WMH917475 WVS917473:WWD917475 JG983009:JR983011 TC983009:TN983011 ACY983009:ADJ983011 AMU983009:ANF983011 AWQ983009:AXB983011 BGM983009:BGX983011 BQI983009:BQT983011 CAE983009:CAP983011 CKA983009:CKL983011 CTW983009:CUH983011 DDS983009:DED983011 DNO983009:DNZ983011 DXK983009:DXV983011 EHG983009:EHR983011 ERC983009:ERN983011 FAY983009:FBJ983011 FKU983009:FLF983011 FUQ983009:FVB983011 GEM983009:GEX983011 GOI983009:GOT983011 GYE983009:GYP983011 HIA983009:HIL983011 HRW983009:HSH983011 IBS983009:ICD983011 ILO983009:ILZ983011 IVK983009:IVV983011 JFG983009:JFR983011 JPC983009:JPN983011 JYY983009:JZJ983011 KIU983009:KJF983011 KSQ983009:KTB983011 LCM983009:LCX983011 LMI983009:LMT983011 LWE983009:LWP983011 MGA983009:MGL983011 MPW983009:MQH983011 MZS983009:NAD983011 NJO983009:NJZ983011 NTK983009:NTV983011 ODG983009:ODR983011 ONC983009:ONN983011 OWY983009:OXJ983011 PGU983009:PHF983011 PQQ983009:PRB983011 QAM983009:QAX983011 QKI983009:QKT983011 QUE983009:QUP983011 REA983009:REL983011 RNW983009:ROH983011 RXS983009:RYD983011 SHO983009:SHZ983011 SRK983009:SRV983011 TBG983009:TBR983011 TLC983009:TLN983011 TUY983009:TVJ983011 UEU983009:UFF983011 UOQ983009:UPB983011 UYM983009:UYX983011 VII983009:VIT983011 VSE983009:VSP983011 WCA983009:WCL983011 WLW983009:WMH983011 Z262108:AJ262110 Z196572:AJ196574 Z131036:AJ131038 Z65500:AJ65502 Z983009:AJ983011 Z917473:AJ917475 Z851937:AJ851939 Z786401:AJ786403 Z720865:AJ720867 Z655329:AJ655331 Z589793:AJ589795 Z524257:AJ524259 Z458721:AJ458723 Z393185:AJ393187 Z327649:AJ327651 Z262113:AJ262115 Z196577:AJ196579 Z131041:AJ131043 Z65505:AJ65507 Z983004:AJ983006 Z917468:AJ917470 Z851932:AJ851934 Z786396:AJ786398 Z720860:AJ720862 Z655324:AJ655326 Z589788:AJ589790 Z524252:AJ524254 Z458716:AJ458718 Z393180:AJ393182 Z327644:AJ327646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Y17:Z46 Y13 Y15:Y16 Y14:Z14 Y8:Y9 Z9 Y10:Z12">
      <formula1>"文字,数値,日付,時間"</formula1>
    </dataValidation>
    <dataValidation type="list" allowBlank="1" showInputMessage="1" showErrorMessage="1" sqref="AA14">
      <formula1>"datetime,int,numeric,varchar,nvarchar,datetime2"</formula1>
    </dataValidation>
    <dataValidation type="list" allowBlank="1" showInputMessage="1" showErrorMessage="1" sqref="AB14:AC14 AA17 AA10:AA12">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pageSetUpPr autoPageBreaks="0"/>
  </sheetPr>
  <dimension ref="A1:BD85"/>
  <sheetViews>
    <sheetView showGridLines="0" zoomScaleNormal="100" zoomScaleSheetLayoutView="85"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6"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6"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ロットトレース情報</v>
      </c>
      <c r="Z2" s="447"/>
      <c r="AA2" s="447"/>
      <c r="AB2" s="447"/>
      <c r="AC2" s="447"/>
      <c r="AD2" s="447"/>
      <c r="AE2" s="447"/>
      <c r="AF2" s="447"/>
      <c r="AG2" s="447"/>
      <c r="AH2" s="447"/>
      <c r="AI2" s="447"/>
      <c r="AJ2" s="447"/>
      <c r="AK2" s="447"/>
      <c r="AL2" s="447"/>
      <c r="AM2" s="447"/>
      <c r="AN2" s="447"/>
      <c r="AO2" s="448"/>
      <c r="AP2" s="425"/>
      <c r="AQ2" s="426"/>
      <c r="AR2" s="426"/>
      <c r="AS2" s="426"/>
      <c r="AT2" s="427"/>
      <c r="AU2" s="46" t="s">
        <v>132</v>
      </c>
      <c r="AV2" s="47"/>
      <c r="AW2" s="47"/>
      <c r="AX2" s="47"/>
      <c r="AY2" s="48"/>
      <c r="AZ2" s="597" t="s">
        <v>15</v>
      </c>
      <c r="BA2" s="598"/>
      <c r="BB2" s="598"/>
      <c r="BC2" s="598"/>
      <c r="BD2" s="599"/>
    </row>
    <row r="3" spans="1:56"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6"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6"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6"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6" ht="14.4" customHeight="1">
      <c r="A8" s="37">
        <f>IF(B8="","",COUNTA($B$8:B8))</f>
        <v>1</v>
      </c>
      <c r="B8" s="17" t="s">
        <v>1713</v>
      </c>
      <c r="C8" s="18"/>
      <c r="D8" s="18"/>
      <c r="E8" s="18"/>
      <c r="F8" s="18"/>
      <c r="G8" s="18"/>
      <c r="H8" s="18"/>
      <c r="I8" s="19"/>
      <c r="J8" s="20"/>
      <c r="K8" s="20"/>
      <c r="L8" s="20"/>
      <c r="M8" s="20"/>
      <c r="N8" s="20"/>
      <c r="O8" s="20"/>
      <c r="P8" s="20"/>
      <c r="Q8" s="20"/>
      <c r="R8" s="17"/>
      <c r="S8" s="18"/>
      <c r="T8" s="18"/>
      <c r="U8" s="18"/>
      <c r="V8" s="18"/>
      <c r="W8" s="18"/>
      <c r="X8" s="18"/>
      <c r="Y8" s="17" t="s">
        <v>1504</v>
      </c>
      <c r="Z8" s="28"/>
      <c r="AA8" s="591" t="s">
        <v>1505</v>
      </c>
      <c r="AB8" s="592"/>
      <c r="AC8" s="593"/>
      <c r="AD8" s="53">
        <v>10</v>
      </c>
      <c r="AE8" s="24" t="s">
        <v>1585</v>
      </c>
      <c r="AF8" s="24" t="s">
        <v>116</v>
      </c>
      <c r="AG8" s="24" t="s">
        <v>84</v>
      </c>
      <c r="AH8" s="24"/>
      <c r="AI8" s="24"/>
      <c r="AJ8" s="24"/>
      <c r="AK8" s="24"/>
      <c r="AL8" s="24"/>
      <c r="AM8" s="24"/>
      <c r="AN8" s="24"/>
      <c r="AO8" s="25"/>
      <c r="AP8" s="25"/>
      <c r="AQ8" s="25"/>
      <c r="AR8" s="25"/>
      <c r="AS8" s="35"/>
      <c r="AT8" s="36"/>
      <c r="AU8" s="36"/>
      <c r="AV8" s="36"/>
      <c r="AW8" s="36"/>
      <c r="AX8" s="36"/>
      <c r="AY8" s="36"/>
      <c r="AZ8" s="36"/>
      <c r="BA8" s="36"/>
      <c r="BB8" s="36"/>
      <c r="BC8" s="36"/>
      <c r="BD8" s="50"/>
    </row>
    <row r="9" spans="1:56" ht="14.4" customHeight="1">
      <c r="A9" s="37">
        <f>IF(B9="","",COUNTA($B$8:B9))</f>
        <v>2</v>
      </c>
      <c r="B9" s="35" t="s">
        <v>1622</v>
      </c>
      <c r="C9" s="34"/>
      <c r="D9" s="34"/>
      <c r="E9" s="34"/>
      <c r="F9" s="34"/>
      <c r="G9" s="34"/>
      <c r="H9" s="34"/>
      <c r="I9" s="35" t="s">
        <v>1392</v>
      </c>
      <c r="J9" s="27"/>
      <c r="K9" s="27"/>
      <c r="L9" s="27"/>
      <c r="M9" s="27"/>
      <c r="N9" s="27"/>
      <c r="O9" s="27"/>
      <c r="P9" s="27"/>
      <c r="Q9" s="27"/>
      <c r="R9" s="35" t="s">
        <v>1464</v>
      </c>
      <c r="S9" s="34"/>
      <c r="T9" s="34"/>
      <c r="U9" s="34"/>
      <c r="V9" s="34"/>
      <c r="W9" s="34"/>
      <c r="X9" s="34"/>
      <c r="Y9" s="589" t="s">
        <v>111</v>
      </c>
      <c r="Z9" s="636"/>
      <c r="AA9" s="591" t="s">
        <v>106</v>
      </c>
      <c r="AB9" s="592"/>
      <c r="AC9" s="593"/>
      <c r="AD9" s="53">
        <v>3</v>
      </c>
      <c r="AE9" s="25"/>
      <c r="AF9" s="25"/>
      <c r="AG9" s="25"/>
      <c r="AH9" s="25"/>
      <c r="AI9" s="25"/>
      <c r="AJ9" s="25"/>
      <c r="AK9" s="25"/>
      <c r="AL9" s="25"/>
      <c r="AM9" s="25"/>
      <c r="AN9" s="25"/>
      <c r="AO9" s="25"/>
      <c r="AP9" s="25"/>
      <c r="AQ9" s="25"/>
      <c r="AR9" s="25"/>
      <c r="AS9" s="35"/>
      <c r="AT9" s="36"/>
      <c r="AU9" s="36"/>
      <c r="AV9" s="36"/>
      <c r="AW9" s="36"/>
      <c r="AX9" s="36"/>
      <c r="AY9" s="36"/>
      <c r="AZ9" s="36"/>
      <c r="BA9" s="36"/>
      <c r="BB9" s="36"/>
      <c r="BC9" s="36"/>
      <c r="BD9" s="50"/>
    </row>
    <row r="10" spans="1:56" ht="14.4" customHeight="1">
      <c r="A10" s="37">
        <f>IF(B10="","",COUNTA($B$8:B10))</f>
        <v>3</v>
      </c>
      <c r="B10" s="35" t="s">
        <v>1670</v>
      </c>
      <c r="C10" s="34"/>
      <c r="D10" s="34"/>
      <c r="E10" s="34"/>
      <c r="F10" s="34"/>
      <c r="G10" s="34"/>
      <c r="H10" s="34"/>
      <c r="I10" s="35"/>
      <c r="J10" s="27"/>
      <c r="K10" s="27"/>
      <c r="L10" s="27"/>
      <c r="M10" s="27"/>
      <c r="N10" s="27"/>
      <c r="O10" s="27"/>
      <c r="P10" s="27"/>
      <c r="Q10" s="27"/>
      <c r="R10" s="35"/>
      <c r="S10" s="34"/>
      <c r="T10" s="34"/>
      <c r="U10" s="34"/>
      <c r="V10" s="34"/>
      <c r="W10" s="34"/>
      <c r="X10" s="34"/>
      <c r="Y10" s="589"/>
      <c r="Z10" s="636"/>
      <c r="AA10" s="591"/>
      <c r="AB10" s="592"/>
      <c r="AC10" s="593"/>
      <c r="AD10" s="53"/>
      <c r="AE10" s="25"/>
      <c r="AF10" s="25"/>
      <c r="AG10" s="25"/>
      <c r="AH10" s="25"/>
      <c r="AI10" s="25"/>
      <c r="AJ10" s="25"/>
      <c r="AK10" s="25"/>
      <c r="AL10" s="25"/>
      <c r="AM10" s="25"/>
      <c r="AN10" s="25"/>
      <c r="AO10" s="25"/>
      <c r="AP10" s="25"/>
      <c r="AQ10" s="25"/>
      <c r="AR10" s="25"/>
      <c r="AS10" s="35"/>
      <c r="AT10" s="36"/>
      <c r="AU10" s="36"/>
      <c r="AV10" s="36"/>
      <c r="AW10" s="36"/>
      <c r="AX10" s="36"/>
      <c r="AY10" s="36"/>
      <c r="AZ10" s="36"/>
      <c r="BA10" s="36"/>
      <c r="BB10" s="36"/>
      <c r="BC10" s="36"/>
      <c r="BD10" s="50"/>
    </row>
    <row r="11" spans="1:56" ht="14.4" customHeight="1">
      <c r="A11" s="37">
        <f>IF(B11="","",COUNTA($B$8:B11))</f>
        <v>4</v>
      </c>
      <c r="B11" s="35" t="s">
        <v>1669</v>
      </c>
      <c r="C11" s="34"/>
      <c r="D11" s="34"/>
      <c r="E11" s="34"/>
      <c r="F11" s="34"/>
      <c r="G11" s="34"/>
      <c r="H11" s="34"/>
      <c r="I11" s="35"/>
      <c r="J11" s="27"/>
      <c r="K11" s="27"/>
      <c r="L11" s="27"/>
      <c r="M11" s="27"/>
      <c r="N11" s="27"/>
      <c r="O11" s="27"/>
      <c r="P11" s="27"/>
      <c r="Q11" s="27"/>
      <c r="R11" s="35"/>
      <c r="S11" s="34"/>
      <c r="T11" s="34"/>
      <c r="U11" s="34"/>
      <c r="V11" s="34"/>
      <c r="W11" s="34"/>
      <c r="X11" s="34"/>
      <c r="Y11" s="589"/>
      <c r="Z11" s="636"/>
      <c r="AA11" s="591"/>
      <c r="AB11" s="592"/>
      <c r="AC11" s="593"/>
      <c r="AD11" s="53"/>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6" ht="14.4" customHeight="1">
      <c r="A12" s="37">
        <f>IF(B12="","",COUNTA($B$8:B12))</f>
        <v>5</v>
      </c>
      <c r="B12" s="35" t="s">
        <v>1654</v>
      </c>
      <c r="C12" s="34"/>
      <c r="D12" s="34"/>
      <c r="E12" s="34"/>
      <c r="F12" s="34"/>
      <c r="G12" s="34"/>
      <c r="H12" s="34"/>
      <c r="I12" s="35"/>
      <c r="J12" s="27"/>
      <c r="K12" s="27"/>
      <c r="L12" s="27"/>
      <c r="M12" s="27"/>
      <c r="N12" s="27"/>
      <c r="O12" s="27"/>
      <c r="P12" s="27"/>
      <c r="Q12" s="27"/>
      <c r="R12" s="35"/>
      <c r="S12" s="34"/>
      <c r="T12" s="34"/>
      <c r="U12" s="34"/>
      <c r="V12" s="34"/>
      <c r="W12" s="34"/>
      <c r="X12" s="34"/>
      <c r="Y12" s="589"/>
      <c r="Z12" s="590"/>
      <c r="AA12" s="591"/>
      <c r="AB12" s="592"/>
      <c r="AC12" s="593"/>
      <c r="AD12" s="53"/>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6" ht="14.4" customHeight="1">
      <c r="A13" s="37">
        <f>IF(B13="","",COUNTA($B$8:B13))</f>
        <v>6</v>
      </c>
      <c r="B13" s="35" t="s">
        <v>1653</v>
      </c>
      <c r="C13" s="34"/>
      <c r="D13" s="34"/>
      <c r="E13" s="34"/>
      <c r="F13" s="34"/>
      <c r="G13" s="34"/>
      <c r="H13" s="34"/>
      <c r="I13" s="35"/>
      <c r="J13" s="27"/>
      <c r="K13" s="27"/>
      <c r="L13" s="27"/>
      <c r="M13" s="27"/>
      <c r="N13" s="27"/>
      <c r="O13" s="27"/>
      <c r="P13" s="27"/>
      <c r="Q13" s="27"/>
      <c r="R13" s="35"/>
      <c r="S13" s="34"/>
      <c r="T13" s="34"/>
      <c r="U13" s="34"/>
      <c r="V13" s="34"/>
      <c r="W13" s="34"/>
      <c r="X13" s="34"/>
      <c r="Y13" s="589" t="s">
        <v>111</v>
      </c>
      <c r="Z13" s="590"/>
      <c r="AA13" s="591" t="s">
        <v>106</v>
      </c>
      <c r="AB13" s="592"/>
      <c r="AC13" s="593"/>
      <c r="AD13" s="53">
        <v>15</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6" ht="14.4" customHeight="1">
      <c r="A14" s="37">
        <f>IF(B14="","",COUNTA($B$8:B14))</f>
        <v>7</v>
      </c>
      <c r="B14" s="35" t="s">
        <v>1545</v>
      </c>
      <c r="C14" s="34"/>
      <c r="D14" s="34"/>
      <c r="E14" s="34"/>
      <c r="F14" s="34"/>
      <c r="G14" s="34"/>
      <c r="H14" s="34"/>
      <c r="I14" s="35"/>
      <c r="J14" s="27"/>
      <c r="K14" s="27"/>
      <c r="L14" s="27"/>
      <c r="M14" s="27"/>
      <c r="N14" s="27"/>
      <c r="O14" s="27"/>
      <c r="P14" s="27"/>
      <c r="Q14" s="27"/>
      <c r="R14" s="35"/>
      <c r="S14" s="34"/>
      <c r="T14" s="34"/>
      <c r="U14" s="34"/>
      <c r="V14" s="34"/>
      <c r="W14" s="34"/>
      <c r="X14" s="34"/>
      <c r="Y14" s="589" t="s">
        <v>111</v>
      </c>
      <c r="Z14" s="590"/>
      <c r="AA14" s="591" t="s">
        <v>106</v>
      </c>
      <c r="AB14" s="592"/>
      <c r="AC14" s="593"/>
      <c r="AD14" s="53">
        <v>15</v>
      </c>
      <c r="AE14" s="25"/>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6" ht="14.4" customHeight="1">
      <c r="A15" s="37">
        <f>IF(B15="","",COUNTA($B$8:B15))</f>
        <v>8</v>
      </c>
      <c r="B15" s="35" t="s">
        <v>1684</v>
      </c>
      <c r="C15" s="34"/>
      <c r="D15" s="34"/>
      <c r="E15" s="34"/>
      <c r="F15" s="34"/>
      <c r="G15" s="34"/>
      <c r="H15" s="34"/>
      <c r="I15" s="35"/>
      <c r="J15" s="27"/>
      <c r="K15" s="27"/>
      <c r="L15" s="27"/>
      <c r="M15" s="27"/>
      <c r="N15" s="27"/>
      <c r="O15" s="27"/>
      <c r="P15" s="27"/>
      <c r="Q15" s="27"/>
      <c r="R15" s="35"/>
      <c r="S15" s="34"/>
      <c r="T15" s="34"/>
      <c r="U15" s="34"/>
      <c r="V15" s="34"/>
      <c r="W15" s="34"/>
      <c r="X15" s="34"/>
      <c r="Y15" s="589" t="s">
        <v>111</v>
      </c>
      <c r="Z15" s="590"/>
      <c r="AA15" s="591" t="s">
        <v>106</v>
      </c>
      <c r="AB15" s="592"/>
      <c r="AC15" s="593"/>
      <c r="AD15" s="53">
        <v>15</v>
      </c>
      <c r="AE15" s="25"/>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6" ht="14.4" customHeight="1">
      <c r="A16" s="37">
        <f>IF(B16="","",COUNTA($B$8:B16))</f>
        <v>9</v>
      </c>
      <c r="B16" s="35" t="s">
        <v>1730</v>
      </c>
      <c r="C16" s="34"/>
      <c r="D16" s="34"/>
      <c r="E16" s="34"/>
      <c r="F16" s="34"/>
      <c r="G16" s="34"/>
      <c r="H16" s="34"/>
      <c r="I16" s="35"/>
      <c r="J16" s="27"/>
      <c r="K16" s="27"/>
      <c r="L16" s="27"/>
      <c r="M16" s="27"/>
      <c r="N16" s="27"/>
      <c r="O16" s="27"/>
      <c r="P16" s="27"/>
      <c r="Q16" s="27"/>
      <c r="R16" s="35"/>
      <c r="S16" s="34"/>
      <c r="T16" s="34"/>
      <c r="U16" s="34"/>
      <c r="V16" s="34"/>
      <c r="W16" s="34"/>
      <c r="X16" s="34"/>
      <c r="Y16" s="589"/>
      <c r="Z16" s="590"/>
      <c r="AA16" s="591"/>
      <c r="AB16" s="592"/>
      <c r="AC16" s="593"/>
      <c r="AD16" s="53"/>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6" ht="14.4" customHeight="1">
      <c r="A17" s="37">
        <f>IF(B17="","",COUNTA($B$8:B17))</f>
        <v>10</v>
      </c>
      <c r="B17" s="35" t="s">
        <v>1691</v>
      </c>
      <c r="C17" s="34"/>
      <c r="D17" s="34"/>
      <c r="E17" s="34"/>
      <c r="F17" s="34"/>
      <c r="G17" s="34"/>
      <c r="H17" s="34"/>
      <c r="I17" s="35"/>
      <c r="J17" s="27"/>
      <c r="K17" s="27"/>
      <c r="L17" s="27"/>
      <c r="M17" s="27"/>
      <c r="N17" s="27"/>
      <c r="O17" s="27"/>
      <c r="P17" s="27"/>
      <c r="Q17" s="27"/>
      <c r="R17" s="35"/>
      <c r="S17" s="34"/>
      <c r="T17" s="34"/>
      <c r="U17" s="34"/>
      <c r="V17" s="34"/>
      <c r="W17" s="34"/>
      <c r="X17" s="34"/>
      <c r="Y17" s="589"/>
      <c r="Z17" s="590"/>
      <c r="AA17" s="591"/>
      <c r="AB17" s="592"/>
      <c r="AC17" s="593"/>
      <c r="AD17" s="53"/>
      <c r="AE17" s="25"/>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6" ht="14.4" customHeight="1">
      <c r="A18" s="37">
        <f>IF(B18="","",COUNTA($B$8:B18))</f>
        <v>11</v>
      </c>
      <c r="B18" s="35" t="s">
        <v>1712</v>
      </c>
      <c r="C18" s="34"/>
      <c r="D18" s="34"/>
      <c r="E18" s="34"/>
      <c r="F18" s="34"/>
      <c r="G18" s="34"/>
      <c r="H18" s="34"/>
      <c r="I18" s="35"/>
      <c r="J18" s="27"/>
      <c r="K18" s="27"/>
      <c r="L18" s="27"/>
      <c r="M18" s="27"/>
      <c r="N18" s="27"/>
      <c r="O18" s="27"/>
      <c r="P18" s="27"/>
      <c r="Q18" s="27"/>
      <c r="R18" s="35"/>
      <c r="S18" s="34"/>
      <c r="T18" s="34"/>
      <c r="U18" s="34"/>
      <c r="V18" s="34"/>
      <c r="W18" s="34"/>
      <c r="X18" s="34"/>
      <c r="Y18" s="589" t="s">
        <v>111</v>
      </c>
      <c r="Z18" s="590"/>
      <c r="AA18" s="591" t="s">
        <v>106</v>
      </c>
      <c r="AB18" s="592"/>
      <c r="AC18" s="593"/>
      <c r="AD18" s="53">
        <v>15</v>
      </c>
      <c r="AE18" s="25"/>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6" ht="14.4" customHeight="1">
      <c r="A19" s="37">
        <f>IF(B19="","",COUNTA($B$8:B19))</f>
        <v>12</v>
      </c>
      <c r="B19" s="35" t="s">
        <v>1546</v>
      </c>
      <c r="C19" s="34"/>
      <c r="D19" s="34"/>
      <c r="E19" s="34"/>
      <c r="F19" s="34"/>
      <c r="G19" s="34"/>
      <c r="H19" s="34"/>
      <c r="I19" s="35"/>
      <c r="J19" s="27"/>
      <c r="K19" s="27"/>
      <c r="L19" s="27"/>
      <c r="M19" s="27"/>
      <c r="N19" s="27"/>
      <c r="O19" s="27"/>
      <c r="P19" s="27"/>
      <c r="Q19" s="27"/>
      <c r="R19" s="35"/>
      <c r="S19" s="34"/>
      <c r="T19" s="34"/>
      <c r="U19" s="34"/>
      <c r="V19" s="34"/>
      <c r="W19" s="34"/>
      <c r="X19" s="34"/>
      <c r="Y19" s="589" t="s">
        <v>111</v>
      </c>
      <c r="Z19" s="590"/>
      <c r="AA19" s="591" t="s">
        <v>106</v>
      </c>
      <c r="AB19" s="592"/>
      <c r="AC19" s="593"/>
      <c r="AD19" s="53">
        <v>15</v>
      </c>
      <c r="AE19" s="25"/>
      <c r="AF19" s="25"/>
      <c r="AG19" s="25"/>
      <c r="AH19" s="25"/>
      <c r="AI19" s="25"/>
      <c r="AJ19" s="25"/>
      <c r="AK19" s="25"/>
      <c r="AL19" s="25"/>
      <c r="AM19" s="25"/>
      <c r="AN19" s="25"/>
      <c r="AO19" s="25"/>
      <c r="AP19" s="25"/>
      <c r="AQ19" s="25"/>
      <c r="AR19" s="25"/>
      <c r="AS19" s="35"/>
      <c r="AT19" s="36"/>
      <c r="AU19" s="36"/>
      <c r="AV19" s="36"/>
      <c r="AW19" s="36"/>
      <c r="AX19" s="36"/>
      <c r="AY19" s="36"/>
      <c r="AZ19" s="36"/>
      <c r="BA19" s="36"/>
      <c r="BB19" s="36"/>
      <c r="BC19" s="36"/>
      <c r="BD19" s="50"/>
    </row>
    <row r="20" spans="1:56" ht="14.4" customHeight="1">
      <c r="A20" s="37">
        <f>IF(B20="","",COUNTA($B$8:B20))</f>
        <v>13</v>
      </c>
      <c r="B20" s="35" t="s">
        <v>1661</v>
      </c>
      <c r="C20" s="34"/>
      <c r="D20" s="34"/>
      <c r="E20" s="34"/>
      <c r="F20" s="34"/>
      <c r="G20" s="34"/>
      <c r="H20" s="34"/>
      <c r="I20" s="35" t="s">
        <v>649</v>
      </c>
      <c r="J20" s="27"/>
      <c r="K20" s="27"/>
      <c r="L20" s="27"/>
      <c r="M20" s="27"/>
      <c r="N20" s="27"/>
      <c r="O20" s="27"/>
      <c r="P20" s="27"/>
      <c r="Q20" s="27"/>
      <c r="R20" s="35" t="s">
        <v>1473</v>
      </c>
      <c r="S20" s="34"/>
      <c r="T20" s="34"/>
      <c r="U20" s="34"/>
      <c r="V20" s="34"/>
      <c r="W20" s="34"/>
      <c r="X20" s="34"/>
      <c r="Y20" s="589" t="s">
        <v>111</v>
      </c>
      <c r="Z20" s="590"/>
      <c r="AA20" s="591" t="s">
        <v>106</v>
      </c>
      <c r="AB20" s="592"/>
      <c r="AC20" s="593"/>
      <c r="AD20" s="53">
        <v>15</v>
      </c>
      <c r="AE20" s="25"/>
      <c r="AF20" s="25"/>
      <c r="AG20" s="25"/>
      <c r="AH20" s="25"/>
      <c r="AI20" s="25"/>
      <c r="AJ20" s="25"/>
      <c r="AK20" s="25"/>
      <c r="AL20" s="25"/>
      <c r="AM20" s="25"/>
      <c r="AN20" s="25"/>
      <c r="AO20" s="25"/>
      <c r="AP20" s="25"/>
      <c r="AQ20" s="25"/>
      <c r="AR20" s="25"/>
      <c r="AS20" s="35"/>
      <c r="AT20" s="36"/>
      <c r="AU20" s="36"/>
      <c r="AV20" s="36"/>
      <c r="AW20" s="36"/>
      <c r="AX20" s="36"/>
      <c r="AY20" s="36"/>
      <c r="AZ20" s="36"/>
      <c r="BA20" s="36"/>
      <c r="BB20" s="36"/>
      <c r="BC20" s="36"/>
      <c r="BD20" s="50"/>
    </row>
    <row r="21" spans="1:56" ht="14.4" customHeight="1">
      <c r="A21" s="37">
        <f>IF(B21="","",COUNTA($B$8:B21))</f>
        <v>14</v>
      </c>
      <c r="B21" s="35" t="s">
        <v>1643</v>
      </c>
      <c r="C21" s="34"/>
      <c r="D21" s="34"/>
      <c r="E21" s="34"/>
      <c r="F21" s="34"/>
      <c r="G21" s="34"/>
      <c r="H21" s="34"/>
      <c r="I21" s="35" t="s">
        <v>1463</v>
      </c>
      <c r="J21" s="27"/>
      <c r="K21" s="27"/>
      <c r="L21" s="27"/>
      <c r="M21" s="27"/>
      <c r="N21" s="27"/>
      <c r="O21" s="27"/>
      <c r="P21" s="27"/>
      <c r="Q21" s="27"/>
      <c r="R21" s="35"/>
      <c r="S21" s="34"/>
      <c r="T21" s="34"/>
      <c r="U21" s="34"/>
      <c r="V21" s="34"/>
      <c r="W21" s="34"/>
      <c r="X21" s="34"/>
      <c r="Y21" s="589" t="s">
        <v>111</v>
      </c>
      <c r="Z21" s="590"/>
      <c r="AA21" s="591" t="s">
        <v>106</v>
      </c>
      <c r="AB21" s="592"/>
      <c r="AC21" s="593"/>
      <c r="AD21" s="53">
        <v>15</v>
      </c>
      <c r="AE21" s="25"/>
      <c r="AF21" s="25"/>
      <c r="AG21" s="25"/>
      <c r="AH21" s="25"/>
      <c r="AI21" s="25"/>
      <c r="AJ21" s="25"/>
      <c r="AK21" s="25"/>
      <c r="AL21" s="25"/>
      <c r="AM21" s="25"/>
      <c r="AN21" s="25"/>
      <c r="AO21" s="25"/>
      <c r="AP21" s="25"/>
      <c r="AQ21" s="25"/>
      <c r="AR21" s="25"/>
      <c r="AS21" s="35"/>
      <c r="AT21" s="36"/>
      <c r="AU21" s="36"/>
      <c r="AV21" s="36"/>
      <c r="AW21" s="36"/>
      <c r="AX21" s="36"/>
      <c r="AY21" s="36"/>
      <c r="AZ21" s="36"/>
      <c r="BA21" s="36"/>
      <c r="BB21" s="36"/>
      <c r="BC21" s="36"/>
      <c r="BD21" s="50"/>
    </row>
    <row r="22" spans="1:56" ht="14.4" customHeight="1">
      <c r="A22" s="37">
        <f>IF(B22="","",COUNTA($B$8:B22))</f>
        <v>15</v>
      </c>
      <c r="B22" s="35" t="s">
        <v>1644</v>
      </c>
      <c r="C22" s="34"/>
      <c r="D22" s="34"/>
      <c r="E22" s="34"/>
      <c r="F22" s="34"/>
      <c r="G22" s="34"/>
      <c r="H22" s="34"/>
      <c r="I22" s="35" t="s">
        <v>1106</v>
      </c>
      <c r="J22" s="27"/>
      <c r="K22" s="27"/>
      <c r="L22" s="27"/>
      <c r="M22" s="27"/>
      <c r="N22" s="27"/>
      <c r="O22" s="27"/>
      <c r="P22" s="27"/>
      <c r="Q22" s="27"/>
      <c r="R22" s="17"/>
      <c r="S22" s="18"/>
      <c r="T22" s="18"/>
      <c r="U22" s="18"/>
      <c r="V22" s="18"/>
      <c r="W22" s="18"/>
      <c r="X22" s="18"/>
      <c r="Y22" s="589" t="s">
        <v>111</v>
      </c>
      <c r="Z22" s="590"/>
      <c r="AA22" s="591" t="s">
        <v>106</v>
      </c>
      <c r="AB22" s="592"/>
      <c r="AC22" s="593"/>
      <c r="AD22" s="23">
        <v>15</v>
      </c>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6" ht="14.4" customHeight="1">
      <c r="A23" s="37">
        <f>IF(B23="","",COUNTA($B$8:B23))</f>
        <v>16</v>
      </c>
      <c r="B23" s="35" t="s">
        <v>1625</v>
      </c>
      <c r="C23" s="34"/>
      <c r="D23" s="34"/>
      <c r="E23" s="34"/>
      <c r="F23" s="34"/>
      <c r="G23" s="34"/>
      <c r="H23" s="34"/>
      <c r="I23" s="35" t="s">
        <v>1114</v>
      </c>
      <c r="J23" s="27"/>
      <c r="K23" s="27"/>
      <c r="L23" s="27"/>
      <c r="M23" s="27"/>
      <c r="N23" s="27"/>
      <c r="O23" s="27"/>
      <c r="P23" s="27"/>
      <c r="Q23" s="27"/>
      <c r="R23" s="35" t="s">
        <v>1474</v>
      </c>
      <c r="S23" s="34"/>
      <c r="T23" s="34"/>
      <c r="U23" s="34"/>
      <c r="V23" s="34"/>
      <c r="W23" s="34"/>
      <c r="X23" s="34"/>
      <c r="Y23" s="17" t="s">
        <v>111</v>
      </c>
      <c r="Z23" s="28"/>
      <c r="AA23" s="591" t="s">
        <v>106</v>
      </c>
      <c r="AB23" s="592"/>
      <c r="AC23" s="593"/>
      <c r="AD23" s="53">
        <v>15</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6" ht="14.4" customHeight="1">
      <c r="A24" s="37">
        <f>IF(B24="","",COUNTA($B$8:B24))</f>
        <v>17</v>
      </c>
      <c r="B24" s="35" t="s">
        <v>1626</v>
      </c>
      <c r="C24" s="34"/>
      <c r="D24" s="34"/>
      <c r="E24" s="34"/>
      <c r="F24" s="34"/>
      <c r="G24" s="34"/>
      <c r="H24" s="34"/>
      <c r="I24" s="35" t="s">
        <v>1627</v>
      </c>
      <c r="J24" s="27"/>
      <c r="K24" s="27"/>
      <c r="L24" s="27"/>
      <c r="M24" s="27"/>
      <c r="N24" s="27"/>
      <c r="O24" s="27"/>
      <c r="P24" s="27"/>
      <c r="Q24" s="27"/>
      <c r="R24" s="35" t="s">
        <v>1475</v>
      </c>
      <c r="S24" s="34"/>
      <c r="T24" s="34"/>
      <c r="U24" s="34"/>
      <c r="V24" s="34"/>
      <c r="W24" s="34"/>
      <c r="X24" s="34"/>
      <c r="Y24" s="17" t="s">
        <v>111</v>
      </c>
      <c r="Z24" s="28"/>
      <c r="AA24" s="591" t="s">
        <v>106</v>
      </c>
      <c r="AB24" s="592"/>
      <c r="AC24" s="593"/>
      <c r="AD24" s="53">
        <v>15</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6" ht="14.4" customHeight="1">
      <c r="A25" s="37">
        <f>IF(B25="","",COUNTA($B$8:B25))</f>
        <v>18</v>
      </c>
      <c r="B25" s="115" t="s">
        <v>1679</v>
      </c>
      <c r="C25" s="34"/>
      <c r="D25" s="34"/>
      <c r="E25" s="34"/>
      <c r="F25" s="34"/>
      <c r="G25" s="34"/>
      <c r="H25" s="34"/>
      <c r="I25" s="19"/>
      <c r="J25" s="27"/>
      <c r="K25" s="27"/>
      <c r="L25" s="27"/>
      <c r="M25" s="27"/>
      <c r="N25" s="27"/>
      <c r="O25" s="27"/>
      <c r="P25" s="27"/>
      <c r="Q25" s="27"/>
      <c r="R25" s="17"/>
      <c r="S25" s="34"/>
      <c r="T25" s="34"/>
      <c r="U25" s="34"/>
      <c r="V25" s="34"/>
      <c r="W25" s="34"/>
      <c r="X25" s="34"/>
      <c r="Y25" s="589" t="s">
        <v>111</v>
      </c>
      <c r="Z25" s="590"/>
      <c r="AA25" s="591" t="s">
        <v>106</v>
      </c>
      <c r="AB25" s="592"/>
      <c r="AC25" s="593"/>
      <c r="AD25" s="23">
        <v>15</v>
      </c>
      <c r="AE25" s="25"/>
      <c r="AF25" s="25"/>
      <c r="AG25" s="25"/>
      <c r="AH25" s="25"/>
      <c r="AI25" s="25"/>
      <c r="AJ25" s="25"/>
      <c r="AK25" s="25"/>
      <c r="AL25" s="25"/>
      <c r="AM25" s="25"/>
      <c r="AN25" s="25"/>
      <c r="AO25" s="25"/>
      <c r="AP25" s="25"/>
      <c r="AQ25" s="25"/>
      <c r="AR25" s="25"/>
      <c r="AS25" s="26"/>
      <c r="AT25" s="51"/>
      <c r="AU25" s="51"/>
      <c r="AV25" s="51"/>
      <c r="AW25" s="51"/>
      <c r="AX25" s="51"/>
      <c r="AY25" s="51"/>
      <c r="AZ25" s="51"/>
      <c r="BA25" s="51"/>
      <c r="BB25" s="51"/>
      <c r="BC25" s="51"/>
      <c r="BD25" s="52"/>
    </row>
    <row r="26" spans="1:56" ht="14.4" customHeight="1">
      <c r="A26" s="37">
        <f>IF(B26="","",COUNTA($B$8:B26))</f>
        <v>19</v>
      </c>
      <c r="B26" s="115" t="s">
        <v>1680</v>
      </c>
      <c r="C26" s="34"/>
      <c r="D26" s="34"/>
      <c r="E26" s="34"/>
      <c r="F26" s="34"/>
      <c r="G26" s="34"/>
      <c r="H26" s="34"/>
      <c r="I26" s="19"/>
      <c r="J26" s="27"/>
      <c r="K26" s="27"/>
      <c r="L26" s="27"/>
      <c r="M26" s="27"/>
      <c r="N26" s="27"/>
      <c r="O26" s="27"/>
      <c r="P26" s="27"/>
      <c r="Q26" s="27"/>
      <c r="R26" s="17"/>
      <c r="S26" s="34"/>
      <c r="T26" s="34"/>
      <c r="U26" s="34"/>
      <c r="V26" s="34"/>
      <c r="W26" s="34"/>
      <c r="X26" s="34"/>
      <c r="Y26" s="589" t="s">
        <v>111</v>
      </c>
      <c r="Z26" s="590"/>
      <c r="AA26" s="591" t="s">
        <v>106</v>
      </c>
      <c r="AB26" s="592"/>
      <c r="AC26" s="593"/>
      <c r="AD26" s="23">
        <v>15</v>
      </c>
      <c r="AE26" s="25"/>
      <c r="AF26" s="25"/>
      <c r="AG26" s="25"/>
      <c r="AH26" s="25"/>
      <c r="AI26" s="25"/>
      <c r="AJ26" s="25"/>
      <c r="AK26" s="25"/>
      <c r="AL26" s="25"/>
      <c r="AM26" s="25"/>
      <c r="AN26" s="25"/>
      <c r="AO26" s="25"/>
      <c r="AP26" s="25"/>
      <c r="AQ26" s="25"/>
      <c r="AR26" s="25"/>
      <c r="AS26" s="26"/>
      <c r="AT26" s="51"/>
      <c r="AU26" s="51"/>
      <c r="AV26" s="51"/>
      <c r="AW26" s="51"/>
      <c r="AX26" s="51"/>
      <c r="AY26" s="51"/>
      <c r="AZ26" s="51"/>
      <c r="BA26" s="51"/>
      <c r="BB26" s="51"/>
      <c r="BC26" s="51"/>
      <c r="BD26" s="52"/>
    </row>
    <row r="27" spans="1:56" ht="14.4" customHeight="1">
      <c r="A27" s="37">
        <f>IF(B27="","",COUNTA($B$8:B27))</f>
        <v>20</v>
      </c>
      <c r="B27" s="115" t="s">
        <v>1677</v>
      </c>
      <c r="C27" s="34"/>
      <c r="D27" s="34"/>
      <c r="E27" s="34"/>
      <c r="F27" s="34"/>
      <c r="G27" s="34"/>
      <c r="H27" s="34"/>
      <c r="I27" s="19"/>
      <c r="J27" s="27"/>
      <c r="K27" s="27"/>
      <c r="L27" s="27"/>
      <c r="M27" s="27"/>
      <c r="N27" s="27"/>
      <c r="O27" s="27"/>
      <c r="P27" s="27"/>
      <c r="Q27" s="27"/>
      <c r="R27" s="17"/>
      <c r="S27" s="34"/>
      <c r="T27" s="34"/>
      <c r="U27" s="34"/>
      <c r="V27" s="34"/>
      <c r="W27" s="34"/>
      <c r="X27" s="34"/>
      <c r="Y27" s="589" t="s">
        <v>111</v>
      </c>
      <c r="Z27" s="590"/>
      <c r="AA27" s="591" t="s">
        <v>106</v>
      </c>
      <c r="AB27" s="592"/>
      <c r="AC27" s="593"/>
      <c r="AD27" s="38">
        <v>15</v>
      </c>
      <c r="AE27" s="25"/>
      <c r="AF27" s="25"/>
      <c r="AG27" s="25"/>
      <c r="AH27" s="25"/>
      <c r="AI27" s="25"/>
      <c r="AJ27" s="25"/>
      <c r="AK27" s="25"/>
      <c r="AL27" s="25"/>
      <c r="AM27" s="25"/>
      <c r="AN27" s="25"/>
      <c r="AO27" s="25"/>
      <c r="AP27" s="25"/>
      <c r="AQ27" s="25"/>
      <c r="AR27" s="25"/>
      <c r="AS27" s="26"/>
      <c r="AT27" s="51"/>
      <c r="AU27" s="51"/>
      <c r="AV27" s="51"/>
      <c r="AW27" s="51"/>
      <c r="AX27" s="51"/>
      <c r="AY27" s="51"/>
      <c r="AZ27" s="51"/>
      <c r="BA27" s="51"/>
      <c r="BB27" s="51"/>
      <c r="BC27" s="51"/>
      <c r="BD27" s="52"/>
    </row>
    <row r="28" spans="1:56" ht="14.4" customHeight="1">
      <c r="A28" s="37">
        <f>IF(B28="","",COUNTA($B$8:B28))</f>
        <v>21</v>
      </c>
      <c r="B28" s="115" t="s">
        <v>1648</v>
      </c>
      <c r="C28" s="34"/>
      <c r="D28" s="34"/>
      <c r="E28" s="34"/>
      <c r="F28" s="34"/>
      <c r="G28" s="34"/>
      <c r="H28" s="34"/>
      <c r="I28" s="19"/>
      <c r="J28" s="27"/>
      <c r="K28" s="27"/>
      <c r="L28" s="27"/>
      <c r="M28" s="27"/>
      <c r="N28" s="27"/>
      <c r="O28" s="27"/>
      <c r="P28" s="27"/>
      <c r="Q28" s="27"/>
      <c r="R28" s="17"/>
      <c r="S28" s="34"/>
      <c r="T28" s="34"/>
      <c r="U28" s="34"/>
      <c r="V28" s="34"/>
      <c r="W28" s="34"/>
      <c r="X28" s="34"/>
      <c r="Y28" s="589" t="s">
        <v>111</v>
      </c>
      <c r="Z28" s="590"/>
      <c r="AA28" s="591" t="s">
        <v>106</v>
      </c>
      <c r="AB28" s="592"/>
      <c r="AC28" s="593"/>
      <c r="AD28" s="23">
        <v>15</v>
      </c>
      <c r="AE28" s="25"/>
      <c r="AF28" s="25"/>
      <c r="AG28" s="25"/>
      <c r="AH28" s="25"/>
      <c r="AI28" s="25"/>
      <c r="AJ28" s="25"/>
      <c r="AK28" s="25"/>
      <c r="AL28" s="25"/>
      <c r="AM28" s="25"/>
      <c r="AN28" s="25"/>
      <c r="AO28" s="25"/>
      <c r="AP28" s="25"/>
      <c r="AQ28" s="25"/>
      <c r="AR28" s="25"/>
      <c r="AS28" s="26"/>
      <c r="AT28" s="51"/>
      <c r="AU28" s="51"/>
      <c r="AV28" s="51"/>
      <c r="AW28" s="51"/>
      <c r="AX28" s="51"/>
      <c r="AY28" s="51"/>
      <c r="AZ28" s="51"/>
      <c r="BA28" s="51"/>
      <c r="BB28" s="51"/>
      <c r="BC28" s="51"/>
      <c r="BD28" s="52"/>
    </row>
    <row r="29" spans="1:56" ht="14.4" customHeight="1">
      <c r="A29" s="37">
        <f>IF(B29="","",COUNTA($B$8:B29))</f>
        <v>22</v>
      </c>
      <c r="B29" s="115" t="s">
        <v>1678</v>
      </c>
      <c r="C29" s="18"/>
      <c r="D29" s="18"/>
      <c r="E29" s="18"/>
      <c r="F29" s="18"/>
      <c r="G29" s="18"/>
      <c r="H29" s="18"/>
      <c r="I29" s="19"/>
      <c r="J29" s="20"/>
      <c r="K29" s="20"/>
      <c r="L29" s="20"/>
      <c r="M29" s="20"/>
      <c r="N29" s="20"/>
      <c r="O29" s="20"/>
      <c r="P29" s="20"/>
      <c r="Q29" s="20"/>
      <c r="R29" s="17"/>
      <c r="S29" s="18"/>
      <c r="T29" s="18"/>
      <c r="U29" s="18"/>
      <c r="V29" s="18"/>
      <c r="W29" s="18"/>
      <c r="X29" s="18"/>
      <c r="Y29" s="589" t="s">
        <v>111</v>
      </c>
      <c r="Z29" s="590"/>
      <c r="AA29" s="591" t="s">
        <v>106</v>
      </c>
      <c r="AB29" s="592"/>
      <c r="AC29" s="593"/>
      <c r="AD29" s="38">
        <v>15</v>
      </c>
      <c r="AE29" s="30" t="s">
        <v>1585</v>
      </c>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6" ht="14.4" customHeight="1">
      <c r="A30" s="37">
        <f>IF(B30="","",COUNTA($B$8:B30))</f>
        <v>23</v>
      </c>
      <c r="B30" s="183" t="s">
        <v>1631</v>
      </c>
      <c r="C30" s="34"/>
      <c r="D30" s="34"/>
      <c r="E30" s="34"/>
      <c r="F30" s="34"/>
      <c r="G30" s="34"/>
      <c r="H30" s="34"/>
      <c r="I30" s="19"/>
      <c r="J30" s="27"/>
      <c r="K30" s="27"/>
      <c r="L30" s="27"/>
      <c r="M30" s="27"/>
      <c r="N30" s="27"/>
      <c r="O30" s="27"/>
      <c r="P30" s="27"/>
      <c r="Q30" s="27"/>
      <c r="R30" s="26"/>
      <c r="S30" s="34"/>
      <c r="T30" s="34"/>
      <c r="U30" s="34"/>
      <c r="V30" s="34"/>
      <c r="W30" s="34"/>
      <c r="X30" s="34"/>
      <c r="Y30" s="589" t="s">
        <v>111</v>
      </c>
      <c r="Z30" s="590"/>
      <c r="AA30" s="591" t="s">
        <v>106</v>
      </c>
      <c r="AB30" s="592"/>
      <c r="AC30" s="593"/>
      <c r="AD30" s="38">
        <v>15</v>
      </c>
      <c r="AE30" s="25"/>
      <c r="AF30" s="25"/>
      <c r="AG30" s="25"/>
      <c r="AH30" s="25"/>
      <c r="AI30" s="25"/>
      <c r="AJ30" s="25"/>
      <c r="AK30" s="25"/>
      <c r="AL30" s="25"/>
      <c r="AM30" s="25"/>
      <c r="AN30" s="25"/>
      <c r="AO30" s="25"/>
      <c r="AP30" s="25"/>
      <c r="AQ30" s="25"/>
      <c r="AR30" s="25"/>
      <c r="AS30" s="26"/>
      <c r="AT30" s="51"/>
      <c r="AU30" s="51"/>
      <c r="AV30" s="51"/>
      <c r="AW30" s="51"/>
      <c r="AX30" s="51"/>
      <c r="AY30" s="51"/>
      <c r="AZ30" s="51"/>
      <c r="BA30" s="51"/>
      <c r="BB30" s="51"/>
      <c r="BC30" s="51"/>
      <c r="BD30" s="52"/>
    </row>
    <row r="31" spans="1:56" ht="14.4" customHeight="1">
      <c r="A31" s="37">
        <f>IF(B31="","",COUNTA($B$8:B31))</f>
        <v>24</v>
      </c>
      <c r="B31" s="184" t="s">
        <v>1649</v>
      </c>
      <c r="C31" s="34"/>
      <c r="D31" s="34"/>
      <c r="E31" s="34"/>
      <c r="F31" s="34"/>
      <c r="G31" s="34"/>
      <c r="H31" s="34"/>
      <c r="I31" s="35"/>
      <c r="J31" s="27"/>
      <c r="K31" s="27"/>
      <c r="L31" s="27"/>
      <c r="M31" s="27"/>
      <c r="N31" s="27"/>
      <c r="O31" s="27"/>
      <c r="P31" s="27"/>
      <c r="Q31" s="27"/>
      <c r="R31" s="35"/>
      <c r="S31" s="34"/>
      <c r="T31" s="34"/>
      <c r="U31" s="34"/>
      <c r="V31" s="34"/>
      <c r="W31" s="34"/>
      <c r="X31" s="34"/>
      <c r="Y31" s="589" t="s">
        <v>111</v>
      </c>
      <c r="Z31" s="636"/>
      <c r="AA31" s="591" t="s">
        <v>106</v>
      </c>
      <c r="AB31" s="592"/>
      <c r="AC31" s="593"/>
      <c r="AD31" s="53">
        <v>15</v>
      </c>
      <c r="AE31" s="25"/>
      <c r="AF31" s="25"/>
      <c r="AG31" s="25"/>
      <c r="AH31" s="25"/>
      <c r="AI31" s="25"/>
      <c r="AJ31" s="25"/>
      <c r="AK31" s="25"/>
      <c r="AL31" s="25"/>
      <c r="AM31" s="25"/>
      <c r="AN31" s="25"/>
      <c r="AO31" s="25"/>
      <c r="AP31" s="25"/>
      <c r="AQ31" s="25"/>
      <c r="AR31" s="25"/>
      <c r="AS31" s="35"/>
      <c r="AT31" s="36"/>
      <c r="AU31" s="36"/>
      <c r="AV31" s="36"/>
      <c r="AW31" s="36"/>
      <c r="AX31" s="36"/>
      <c r="AY31" s="36"/>
      <c r="AZ31" s="36"/>
      <c r="BA31" s="36"/>
      <c r="BB31" s="36"/>
      <c r="BC31" s="36"/>
      <c r="BD31" s="50"/>
    </row>
    <row r="32" spans="1:56" ht="14.4" customHeight="1">
      <c r="A32" s="37">
        <f>IF(B32="","",COUNTA($B$8:B32))</f>
        <v>25</v>
      </c>
      <c r="B32" s="185" t="s">
        <v>1674</v>
      </c>
      <c r="C32" s="34"/>
      <c r="D32" s="34"/>
      <c r="E32" s="34"/>
      <c r="F32" s="34"/>
      <c r="G32" s="34"/>
      <c r="H32" s="34"/>
      <c r="I32" s="35"/>
      <c r="J32" s="27"/>
      <c r="K32" s="27"/>
      <c r="L32" s="27"/>
      <c r="M32" s="27"/>
      <c r="N32" s="27"/>
      <c r="O32" s="27"/>
      <c r="P32" s="27"/>
      <c r="Q32" s="27"/>
      <c r="R32" s="35"/>
      <c r="S32" s="34"/>
      <c r="T32" s="34"/>
      <c r="U32" s="34"/>
      <c r="V32" s="34"/>
      <c r="W32" s="34"/>
      <c r="X32" s="34"/>
      <c r="Y32" s="589" t="s">
        <v>111</v>
      </c>
      <c r="Z32" s="636"/>
      <c r="AA32" s="591" t="s">
        <v>106</v>
      </c>
      <c r="AB32" s="592"/>
      <c r="AC32" s="593"/>
      <c r="AD32" s="53">
        <v>15</v>
      </c>
      <c r="AE32" s="25"/>
      <c r="AF32" s="25"/>
      <c r="AG32" s="25"/>
      <c r="AH32" s="25"/>
      <c r="AI32" s="25"/>
      <c r="AJ32" s="25"/>
      <c r="AK32" s="25"/>
      <c r="AL32" s="25"/>
      <c r="AM32" s="25"/>
      <c r="AN32" s="25"/>
      <c r="AO32" s="25"/>
      <c r="AP32" s="25"/>
      <c r="AQ32" s="25"/>
      <c r="AR32" s="25"/>
      <c r="AS32" s="35"/>
      <c r="AT32" s="36"/>
      <c r="AU32" s="36"/>
      <c r="AV32" s="36"/>
      <c r="AW32" s="36"/>
      <c r="AX32" s="36"/>
      <c r="AY32" s="36"/>
      <c r="AZ32" s="36"/>
      <c r="BA32" s="36"/>
      <c r="BB32" s="36"/>
      <c r="BC32" s="36"/>
      <c r="BD32" s="50"/>
    </row>
    <row r="33" spans="1:56" ht="14.4" customHeight="1">
      <c r="A33" s="37">
        <f>IF(B33="","",COUNTA($B$8:B33))</f>
        <v>26</v>
      </c>
      <c r="B33" s="185" t="s">
        <v>1629</v>
      </c>
      <c r="C33" s="34"/>
      <c r="D33" s="34"/>
      <c r="E33" s="34"/>
      <c r="F33" s="34"/>
      <c r="G33" s="34"/>
      <c r="H33" s="34"/>
      <c r="I33" s="35"/>
      <c r="J33" s="27"/>
      <c r="K33" s="27"/>
      <c r="L33" s="27"/>
      <c r="M33" s="27"/>
      <c r="N33" s="27"/>
      <c r="O33" s="27"/>
      <c r="P33" s="27"/>
      <c r="Q33" s="27"/>
      <c r="R33" s="35"/>
      <c r="S33" s="34"/>
      <c r="T33" s="34"/>
      <c r="U33" s="34"/>
      <c r="V33" s="34"/>
      <c r="W33" s="34"/>
      <c r="X33" s="34"/>
      <c r="Y33" s="589" t="s">
        <v>111</v>
      </c>
      <c r="Z33" s="590"/>
      <c r="AA33" s="591" t="s">
        <v>106</v>
      </c>
      <c r="AB33" s="592"/>
      <c r="AC33" s="593"/>
      <c r="AD33" s="53">
        <v>15</v>
      </c>
      <c r="AE33" s="25"/>
      <c r="AF33" s="25"/>
      <c r="AG33" s="25"/>
      <c r="AH33" s="25"/>
      <c r="AI33" s="25"/>
      <c r="AJ33" s="25"/>
      <c r="AK33" s="25"/>
      <c r="AL33" s="25"/>
      <c r="AM33" s="25"/>
      <c r="AN33" s="25"/>
      <c r="AO33" s="25"/>
      <c r="AP33" s="25"/>
      <c r="AQ33" s="25"/>
      <c r="AR33" s="25"/>
      <c r="AS33" s="35"/>
      <c r="AT33" s="36"/>
      <c r="AU33" s="36"/>
      <c r="AV33" s="36"/>
      <c r="AW33" s="36"/>
      <c r="AX33" s="36"/>
      <c r="AY33" s="36"/>
      <c r="AZ33" s="36"/>
      <c r="BA33" s="36"/>
      <c r="BB33" s="36"/>
      <c r="BC33" s="36"/>
      <c r="BD33" s="50"/>
    </row>
    <row r="34" spans="1:56" ht="14.4" customHeight="1">
      <c r="A34" s="37">
        <f>IF(B34="","",COUNTA($B$8:B34))</f>
        <v>27</v>
      </c>
      <c r="B34" s="185" t="s">
        <v>1647</v>
      </c>
      <c r="C34" s="34"/>
      <c r="D34" s="34"/>
      <c r="E34" s="34"/>
      <c r="F34" s="34"/>
      <c r="G34" s="34"/>
      <c r="H34" s="34"/>
      <c r="I34" s="35"/>
      <c r="J34" s="27"/>
      <c r="K34" s="27"/>
      <c r="L34" s="27"/>
      <c r="M34" s="27"/>
      <c r="N34" s="27"/>
      <c r="O34" s="27"/>
      <c r="P34" s="27"/>
      <c r="Q34" s="27"/>
      <c r="R34" s="35"/>
      <c r="S34" s="34"/>
      <c r="T34" s="34"/>
      <c r="U34" s="34"/>
      <c r="V34" s="34"/>
      <c r="W34" s="34"/>
      <c r="X34" s="34"/>
      <c r="Y34" s="589" t="s">
        <v>111</v>
      </c>
      <c r="Z34" s="590"/>
      <c r="AA34" s="591" t="s">
        <v>106</v>
      </c>
      <c r="AB34" s="592"/>
      <c r="AC34" s="593"/>
      <c r="AD34" s="53">
        <v>15</v>
      </c>
      <c r="AE34" s="25"/>
      <c r="AF34" s="25"/>
      <c r="AG34" s="25"/>
      <c r="AH34" s="25"/>
      <c r="AI34" s="25"/>
      <c r="AJ34" s="25"/>
      <c r="AK34" s="25"/>
      <c r="AL34" s="25"/>
      <c r="AM34" s="25"/>
      <c r="AN34" s="25"/>
      <c r="AO34" s="25"/>
      <c r="AP34" s="25"/>
      <c r="AQ34" s="25"/>
      <c r="AR34" s="25"/>
      <c r="AS34" s="35"/>
      <c r="AT34" s="36"/>
      <c r="AU34" s="36"/>
      <c r="AV34" s="36"/>
      <c r="AW34" s="36"/>
      <c r="AX34" s="36"/>
      <c r="AY34" s="36"/>
      <c r="AZ34" s="36"/>
      <c r="BA34" s="36"/>
      <c r="BB34" s="36"/>
      <c r="BC34" s="36"/>
      <c r="BD34" s="50"/>
    </row>
    <row r="35" spans="1:56" ht="14.4" customHeight="1">
      <c r="A35" s="37">
        <f>IF(B35="","",COUNTA($B$8:B35))</f>
        <v>28</v>
      </c>
      <c r="B35" s="185" t="s">
        <v>1675</v>
      </c>
      <c r="C35" s="34"/>
      <c r="D35" s="34"/>
      <c r="E35" s="34"/>
      <c r="F35" s="34"/>
      <c r="G35" s="34"/>
      <c r="H35" s="34"/>
      <c r="I35" s="35"/>
      <c r="J35" s="27"/>
      <c r="K35" s="27"/>
      <c r="L35" s="27"/>
      <c r="M35" s="27"/>
      <c r="N35" s="27"/>
      <c r="O35" s="27"/>
      <c r="P35" s="27"/>
      <c r="Q35" s="27"/>
      <c r="R35" s="35"/>
      <c r="S35" s="34"/>
      <c r="T35" s="34"/>
      <c r="U35" s="34"/>
      <c r="V35" s="34"/>
      <c r="W35" s="34"/>
      <c r="X35" s="34"/>
      <c r="Y35" s="589" t="s">
        <v>111</v>
      </c>
      <c r="Z35" s="590"/>
      <c r="AA35" s="591" t="s">
        <v>106</v>
      </c>
      <c r="AB35" s="592"/>
      <c r="AC35" s="593"/>
      <c r="AD35" s="53">
        <v>15</v>
      </c>
      <c r="AE35" s="25"/>
      <c r="AF35" s="25"/>
      <c r="AG35" s="25"/>
      <c r="AH35" s="25"/>
      <c r="AI35" s="25"/>
      <c r="AJ35" s="25"/>
      <c r="AK35" s="25"/>
      <c r="AL35" s="25"/>
      <c r="AM35" s="25"/>
      <c r="AN35" s="25"/>
      <c r="AO35" s="25"/>
      <c r="AP35" s="25"/>
      <c r="AQ35" s="25"/>
      <c r="AR35" s="25"/>
      <c r="AS35" s="35"/>
      <c r="AT35" s="36"/>
      <c r="AU35" s="36"/>
      <c r="AV35" s="36"/>
      <c r="AW35" s="36"/>
      <c r="AX35" s="36"/>
      <c r="AY35" s="36"/>
      <c r="AZ35" s="36"/>
      <c r="BA35" s="36"/>
      <c r="BB35" s="36"/>
      <c r="BC35" s="36"/>
      <c r="BD35" s="50"/>
    </row>
    <row r="36" spans="1:56" ht="14.4" customHeight="1">
      <c r="A36" s="37">
        <f>IF(B36="","",COUNTA($B$8:B36))</f>
        <v>29</v>
      </c>
      <c r="B36" s="185" t="s">
        <v>1630</v>
      </c>
      <c r="C36" s="34"/>
      <c r="D36" s="34"/>
      <c r="E36" s="34"/>
      <c r="F36" s="34"/>
      <c r="G36" s="34"/>
      <c r="H36" s="34"/>
      <c r="I36" s="35"/>
      <c r="J36" s="27"/>
      <c r="K36" s="27"/>
      <c r="L36" s="27"/>
      <c r="M36" s="27"/>
      <c r="N36" s="27"/>
      <c r="O36" s="27"/>
      <c r="P36" s="27"/>
      <c r="Q36" s="27"/>
      <c r="R36" s="35"/>
      <c r="S36" s="34"/>
      <c r="T36" s="34"/>
      <c r="U36" s="34"/>
      <c r="V36" s="34"/>
      <c r="W36" s="34"/>
      <c r="X36" s="34"/>
      <c r="Y36" s="589" t="s">
        <v>111</v>
      </c>
      <c r="Z36" s="590"/>
      <c r="AA36" s="591" t="s">
        <v>106</v>
      </c>
      <c r="AB36" s="592"/>
      <c r="AC36" s="593"/>
      <c r="AD36" s="53">
        <v>15</v>
      </c>
      <c r="AE36" s="25"/>
      <c r="AF36" s="25"/>
      <c r="AG36" s="25"/>
      <c r="AH36" s="25"/>
      <c r="AI36" s="25"/>
      <c r="AJ36" s="25"/>
      <c r="AK36" s="25"/>
      <c r="AL36" s="25"/>
      <c r="AM36" s="25"/>
      <c r="AN36" s="25"/>
      <c r="AO36" s="25"/>
      <c r="AP36" s="25"/>
      <c r="AQ36" s="25"/>
      <c r="AR36" s="25"/>
      <c r="AS36" s="35"/>
      <c r="AT36" s="36"/>
      <c r="AU36" s="36"/>
      <c r="AV36" s="36"/>
      <c r="AW36" s="36"/>
      <c r="AX36" s="36"/>
      <c r="AY36" s="36"/>
      <c r="AZ36" s="36"/>
      <c r="BA36" s="36"/>
      <c r="BB36" s="36"/>
      <c r="BC36" s="36"/>
      <c r="BD36" s="50"/>
    </row>
    <row r="37" spans="1:56" ht="14.4" customHeight="1">
      <c r="A37" s="37">
        <f>IF(B37="","",COUNTA($B$8:B37))</f>
        <v>30</v>
      </c>
      <c r="B37" s="185" t="s">
        <v>1547</v>
      </c>
      <c r="C37" s="34"/>
      <c r="D37" s="34"/>
      <c r="E37" s="34"/>
      <c r="F37" s="34"/>
      <c r="G37" s="34"/>
      <c r="H37" s="34"/>
      <c r="I37" s="35"/>
      <c r="J37" s="27"/>
      <c r="K37" s="27"/>
      <c r="L37" s="27"/>
      <c r="M37" s="27"/>
      <c r="N37" s="27"/>
      <c r="O37" s="27"/>
      <c r="P37" s="27"/>
      <c r="Q37" s="27"/>
      <c r="R37" s="35"/>
      <c r="S37" s="34"/>
      <c r="T37" s="34"/>
      <c r="U37" s="34"/>
      <c r="V37" s="34"/>
      <c r="W37" s="34"/>
      <c r="X37" s="34"/>
      <c r="Y37" s="589" t="s">
        <v>111</v>
      </c>
      <c r="Z37" s="590"/>
      <c r="AA37" s="591" t="s">
        <v>106</v>
      </c>
      <c r="AB37" s="592"/>
      <c r="AC37" s="593"/>
      <c r="AD37" s="53">
        <v>15</v>
      </c>
      <c r="AE37" s="25"/>
      <c r="AF37" s="25"/>
      <c r="AG37" s="25"/>
      <c r="AH37" s="25"/>
      <c r="AI37" s="25"/>
      <c r="AJ37" s="25"/>
      <c r="AK37" s="25"/>
      <c r="AL37" s="25"/>
      <c r="AM37" s="25"/>
      <c r="AN37" s="25"/>
      <c r="AO37" s="25"/>
      <c r="AP37" s="25"/>
      <c r="AQ37" s="25"/>
      <c r="AR37" s="25"/>
      <c r="AS37" s="35"/>
      <c r="AT37" s="36"/>
      <c r="AU37" s="36"/>
      <c r="AV37" s="36"/>
      <c r="AW37" s="36"/>
      <c r="AX37" s="36"/>
      <c r="AY37" s="36"/>
      <c r="AZ37" s="36"/>
      <c r="BA37" s="36"/>
      <c r="BB37" s="36"/>
      <c r="BC37" s="36"/>
      <c r="BD37" s="50"/>
    </row>
    <row r="38" spans="1:56" ht="14.4" customHeight="1">
      <c r="A38" s="37">
        <f>IF(B38="","",COUNTA($B$8:B38))</f>
        <v>31</v>
      </c>
      <c r="B38" s="185" t="s">
        <v>1673</v>
      </c>
      <c r="C38" s="34"/>
      <c r="D38" s="34"/>
      <c r="E38" s="34"/>
      <c r="F38" s="34"/>
      <c r="G38" s="34"/>
      <c r="H38" s="34"/>
      <c r="I38" s="35"/>
      <c r="J38" s="27"/>
      <c r="K38" s="27"/>
      <c r="L38" s="27"/>
      <c r="M38" s="27"/>
      <c r="N38" s="27"/>
      <c r="O38" s="27"/>
      <c r="P38" s="27"/>
      <c r="Q38" s="27"/>
      <c r="R38" s="35"/>
      <c r="S38" s="34"/>
      <c r="T38" s="34"/>
      <c r="U38" s="34"/>
      <c r="V38" s="34"/>
      <c r="W38" s="34"/>
      <c r="X38" s="34"/>
      <c r="Y38" s="589" t="s">
        <v>111</v>
      </c>
      <c r="Z38" s="590"/>
      <c r="AA38" s="591" t="s">
        <v>106</v>
      </c>
      <c r="AB38" s="592"/>
      <c r="AC38" s="593"/>
      <c r="AD38" s="53">
        <v>15</v>
      </c>
      <c r="AE38" s="25"/>
      <c r="AF38" s="25"/>
      <c r="AG38" s="25"/>
      <c r="AH38" s="25"/>
      <c r="AI38" s="25"/>
      <c r="AJ38" s="25"/>
      <c r="AK38" s="25"/>
      <c r="AL38" s="25"/>
      <c r="AM38" s="25"/>
      <c r="AN38" s="25"/>
      <c r="AO38" s="25"/>
      <c r="AP38" s="25"/>
      <c r="AQ38" s="25"/>
      <c r="AR38" s="25"/>
      <c r="AS38" s="35"/>
      <c r="AT38" s="36"/>
      <c r="AU38" s="36"/>
      <c r="AV38" s="36"/>
      <c r="AW38" s="36"/>
      <c r="AX38" s="36"/>
      <c r="AY38" s="36"/>
      <c r="AZ38" s="36"/>
      <c r="BA38" s="36"/>
      <c r="BB38" s="36"/>
      <c r="BC38" s="36"/>
      <c r="BD38" s="50"/>
    </row>
    <row r="39" spans="1:56" ht="14.4" customHeight="1">
      <c r="A39" s="37">
        <f>IF(B39="","",COUNTA($B$8:B39))</f>
        <v>32</v>
      </c>
      <c r="B39" s="185" t="s">
        <v>1548</v>
      </c>
      <c r="C39" s="34"/>
      <c r="D39" s="34"/>
      <c r="E39" s="34"/>
      <c r="F39" s="34"/>
      <c r="G39" s="34"/>
      <c r="H39" s="34"/>
      <c r="I39" s="35"/>
      <c r="J39" s="27"/>
      <c r="K39" s="27"/>
      <c r="L39" s="27"/>
      <c r="M39" s="27"/>
      <c r="N39" s="27"/>
      <c r="O39" s="27"/>
      <c r="P39" s="27"/>
      <c r="Q39" s="27"/>
      <c r="R39" s="35"/>
      <c r="S39" s="34"/>
      <c r="T39" s="34"/>
      <c r="U39" s="34"/>
      <c r="V39" s="34"/>
      <c r="W39" s="34"/>
      <c r="X39" s="34"/>
      <c r="Y39" s="589" t="s">
        <v>111</v>
      </c>
      <c r="Z39" s="590"/>
      <c r="AA39" s="591" t="s">
        <v>106</v>
      </c>
      <c r="AB39" s="592"/>
      <c r="AC39" s="593"/>
      <c r="AD39" s="53">
        <v>15</v>
      </c>
      <c r="AE39" s="25"/>
      <c r="AF39" s="25"/>
      <c r="AG39" s="25"/>
      <c r="AH39" s="25"/>
      <c r="AI39" s="25"/>
      <c r="AJ39" s="25"/>
      <c r="AK39" s="25"/>
      <c r="AL39" s="25"/>
      <c r="AM39" s="25"/>
      <c r="AN39" s="25"/>
      <c r="AO39" s="25"/>
      <c r="AP39" s="25"/>
      <c r="AQ39" s="25"/>
      <c r="AR39" s="25"/>
      <c r="AS39" s="35"/>
      <c r="AT39" s="36"/>
      <c r="AU39" s="36"/>
      <c r="AV39" s="36"/>
      <c r="AW39" s="36"/>
      <c r="AX39" s="36"/>
      <c r="AY39" s="36"/>
      <c r="AZ39" s="36"/>
      <c r="BA39" s="36"/>
      <c r="BB39" s="36"/>
      <c r="BC39" s="36"/>
      <c r="BD39" s="50"/>
    </row>
    <row r="40" spans="1:56" ht="14.4" customHeight="1">
      <c r="A40" s="37">
        <f>IF(B40="","",COUNTA($B$8:B40))</f>
        <v>33</v>
      </c>
      <c r="B40" s="185" t="s">
        <v>1549</v>
      </c>
      <c r="C40" s="34"/>
      <c r="D40" s="34"/>
      <c r="E40" s="34"/>
      <c r="F40" s="34"/>
      <c r="G40" s="34"/>
      <c r="H40" s="34"/>
      <c r="I40" s="35"/>
      <c r="J40" s="27"/>
      <c r="K40" s="27"/>
      <c r="L40" s="27"/>
      <c r="M40" s="27"/>
      <c r="N40" s="27"/>
      <c r="O40" s="27"/>
      <c r="P40" s="27"/>
      <c r="Q40" s="27"/>
      <c r="R40" s="35"/>
      <c r="S40" s="34"/>
      <c r="T40" s="34"/>
      <c r="U40" s="34"/>
      <c r="V40" s="34"/>
      <c r="W40" s="34"/>
      <c r="X40" s="34"/>
      <c r="Y40" s="589" t="s">
        <v>111</v>
      </c>
      <c r="Z40" s="590"/>
      <c r="AA40" s="591" t="s">
        <v>106</v>
      </c>
      <c r="AB40" s="592"/>
      <c r="AC40" s="593"/>
      <c r="AD40" s="53">
        <v>15</v>
      </c>
      <c r="AE40" s="25"/>
      <c r="AF40" s="25"/>
      <c r="AG40" s="25"/>
      <c r="AH40" s="25"/>
      <c r="AI40" s="25"/>
      <c r="AJ40" s="25"/>
      <c r="AK40" s="25"/>
      <c r="AL40" s="25"/>
      <c r="AM40" s="25"/>
      <c r="AN40" s="25"/>
      <c r="AO40" s="25"/>
      <c r="AP40" s="25"/>
      <c r="AQ40" s="25"/>
      <c r="AR40" s="25"/>
      <c r="AS40" s="35"/>
      <c r="AT40" s="36"/>
      <c r="AU40" s="36"/>
      <c r="AV40" s="36"/>
      <c r="AW40" s="36"/>
      <c r="AX40" s="36"/>
      <c r="AY40" s="36"/>
      <c r="AZ40" s="36"/>
      <c r="BA40" s="36"/>
      <c r="BB40" s="36"/>
      <c r="BC40" s="36"/>
      <c r="BD40" s="50"/>
    </row>
    <row r="41" spans="1:56" ht="14.4" customHeight="1">
      <c r="A41" s="37">
        <f>IF(B41="","",COUNTA($B$8:B41))</f>
        <v>34</v>
      </c>
      <c r="B41" s="185" t="s">
        <v>1676</v>
      </c>
      <c r="C41" s="34"/>
      <c r="D41" s="34"/>
      <c r="E41" s="34"/>
      <c r="F41" s="34"/>
      <c r="G41" s="34"/>
      <c r="H41" s="34"/>
      <c r="I41" s="35"/>
      <c r="J41" s="27"/>
      <c r="K41" s="27"/>
      <c r="L41" s="27"/>
      <c r="M41" s="27"/>
      <c r="N41" s="27"/>
      <c r="O41" s="27"/>
      <c r="P41" s="27"/>
      <c r="Q41" s="27"/>
      <c r="R41" s="35"/>
      <c r="S41" s="34"/>
      <c r="T41" s="34"/>
      <c r="U41" s="34"/>
      <c r="V41" s="34"/>
      <c r="W41" s="34"/>
      <c r="X41" s="34"/>
      <c r="Y41" s="589" t="s">
        <v>111</v>
      </c>
      <c r="Z41" s="590"/>
      <c r="AA41" s="591" t="s">
        <v>106</v>
      </c>
      <c r="AB41" s="592"/>
      <c r="AC41" s="593"/>
      <c r="AD41" s="53">
        <v>15</v>
      </c>
      <c r="AE41" s="25"/>
      <c r="AF41" s="25"/>
      <c r="AG41" s="25"/>
      <c r="AH41" s="25"/>
      <c r="AI41" s="25"/>
      <c r="AJ41" s="25"/>
      <c r="AK41" s="25"/>
      <c r="AL41" s="25"/>
      <c r="AM41" s="25"/>
      <c r="AN41" s="25"/>
      <c r="AO41" s="25"/>
      <c r="AP41" s="25"/>
      <c r="AQ41" s="25"/>
      <c r="AR41" s="25"/>
      <c r="AS41" s="35"/>
      <c r="AT41" s="36"/>
      <c r="AU41" s="36"/>
      <c r="AV41" s="36"/>
      <c r="AW41" s="36"/>
      <c r="AX41" s="36"/>
      <c r="AY41" s="36"/>
      <c r="AZ41" s="36"/>
      <c r="BA41" s="36"/>
      <c r="BB41" s="36"/>
      <c r="BC41" s="36"/>
      <c r="BD41" s="50"/>
    </row>
    <row r="42" spans="1:56" ht="14.4" customHeight="1">
      <c r="A42" s="37">
        <f>IF(B42="","",COUNTA($B$8:B42))</f>
        <v>35</v>
      </c>
      <c r="B42" s="35" t="s">
        <v>1628</v>
      </c>
      <c r="C42" s="34"/>
      <c r="D42" s="34"/>
      <c r="E42" s="34"/>
      <c r="F42" s="34"/>
      <c r="G42" s="34"/>
      <c r="H42" s="34"/>
      <c r="I42" s="35"/>
      <c r="J42" s="27"/>
      <c r="K42" s="27"/>
      <c r="L42" s="27"/>
      <c r="M42" s="27"/>
      <c r="N42" s="27"/>
      <c r="O42" s="27"/>
      <c r="P42" s="27"/>
      <c r="Q42" s="27"/>
      <c r="R42" s="35"/>
      <c r="S42" s="34"/>
      <c r="T42" s="34"/>
      <c r="U42" s="34"/>
      <c r="V42" s="34"/>
      <c r="W42" s="34"/>
      <c r="X42" s="34"/>
      <c r="Y42" s="589" t="s">
        <v>111</v>
      </c>
      <c r="Z42" s="590"/>
      <c r="AA42" s="591" t="s">
        <v>106</v>
      </c>
      <c r="AB42" s="592"/>
      <c r="AC42" s="593"/>
      <c r="AD42" s="53">
        <v>15</v>
      </c>
      <c r="AE42" s="25"/>
      <c r="AF42" s="25"/>
      <c r="AG42" s="25"/>
      <c r="AH42" s="25"/>
      <c r="AI42" s="25"/>
      <c r="AJ42" s="25"/>
      <c r="AK42" s="25"/>
      <c r="AL42" s="25"/>
      <c r="AM42" s="25"/>
      <c r="AN42" s="25"/>
      <c r="AO42" s="25"/>
      <c r="AP42" s="25"/>
      <c r="AQ42" s="25"/>
      <c r="AR42" s="25"/>
      <c r="AS42" s="35"/>
      <c r="AT42" s="36"/>
      <c r="AU42" s="36"/>
      <c r="AV42" s="36"/>
      <c r="AW42" s="36"/>
      <c r="AX42" s="36"/>
      <c r="AY42" s="36"/>
      <c r="AZ42" s="36"/>
      <c r="BA42" s="36"/>
      <c r="BB42" s="36"/>
      <c r="BC42" s="36"/>
      <c r="BD42" s="50"/>
    </row>
    <row r="43" spans="1:56" ht="14.4" customHeight="1">
      <c r="A43" s="37">
        <f>IF(B43="","",COUNTA($B$8:B43))</f>
        <v>36</v>
      </c>
      <c r="B43" s="185" t="s">
        <v>1550</v>
      </c>
      <c r="C43" s="34"/>
      <c r="D43" s="34"/>
      <c r="E43" s="34"/>
      <c r="F43" s="34"/>
      <c r="G43" s="34"/>
      <c r="H43" s="34"/>
      <c r="I43" s="35"/>
      <c r="J43" s="27"/>
      <c r="K43" s="27"/>
      <c r="L43" s="27"/>
      <c r="M43" s="27"/>
      <c r="N43" s="27"/>
      <c r="O43" s="27"/>
      <c r="P43" s="27"/>
      <c r="Q43" s="27"/>
      <c r="R43" s="17"/>
      <c r="S43" s="18"/>
      <c r="T43" s="18"/>
      <c r="U43" s="18"/>
      <c r="V43" s="18"/>
      <c r="W43" s="18"/>
      <c r="X43" s="18"/>
      <c r="Y43" s="589" t="s">
        <v>111</v>
      </c>
      <c r="Z43" s="590"/>
      <c r="AA43" s="591" t="s">
        <v>106</v>
      </c>
      <c r="AB43" s="592"/>
      <c r="AC43" s="593"/>
      <c r="AD43" s="23">
        <v>15</v>
      </c>
      <c r="AE43" s="25"/>
      <c r="AF43" s="25"/>
      <c r="AG43" s="25"/>
      <c r="AH43" s="25"/>
      <c r="AI43" s="25"/>
      <c r="AJ43" s="25"/>
      <c r="AK43" s="25"/>
      <c r="AL43" s="25"/>
      <c r="AM43" s="25"/>
      <c r="AN43" s="25"/>
      <c r="AO43" s="25"/>
      <c r="AP43" s="25"/>
      <c r="AQ43" s="25"/>
      <c r="AR43" s="25"/>
      <c r="AS43" s="35"/>
      <c r="AT43" s="36"/>
      <c r="AU43" s="36"/>
      <c r="AV43" s="36"/>
      <c r="AW43" s="36"/>
      <c r="AX43" s="36"/>
      <c r="AY43" s="36"/>
      <c r="AZ43" s="36"/>
      <c r="BA43" s="36"/>
      <c r="BB43" s="36"/>
      <c r="BC43" s="36"/>
      <c r="BD43" s="50"/>
    </row>
    <row r="44" spans="1:56" ht="14.4" customHeight="1">
      <c r="A44" s="37">
        <f>IF(B44="","",COUNTA($B$8:B44))</f>
        <v>37</v>
      </c>
      <c r="B44" s="185" t="s">
        <v>1551</v>
      </c>
      <c r="C44" s="34"/>
      <c r="D44" s="34"/>
      <c r="E44" s="34"/>
      <c r="F44" s="34"/>
      <c r="G44" s="34"/>
      <c r="H44" s="34"/>
      <c r="I44" s="35"/>
      <c r="J44" s="27"/>
      <c r="K44" s="27"/>
      <c r="L44" s="27"/>
      <c r="M44" s="27"/>
      <c r="N44" s="27"/>
      <c r="O44" s="27"/>
      <c r="P44" s="27"/>
      <c r="Q44" s="27"/>
      <c r="R44" s="35"/>
      <c r="S44" s="34"/>
      <c r="T44" s="34"/>
      <c r="U44" s="34"/>
      <c r="V44" s="34"/>
      <c r="W44" s="34"/>
      <c r="X44" s="34"/>
      <c r="Y44" s="17" t="s">
        <v>111</v>
      </c>
      <c r="Z44" s="28"/>
      <c r="AA44" s="591" t="s">
        <v>106</v>
      </c>
      <c r="AB44" s="592"/>
      <c r="AC44" s="593"/>
      <c r="AD44" s="53">
        <v>15</v>
      </c>
      <c r="AE44" s="25"/>
      <c r="AF44" s="25"/>
      <c r="AG44" s="25"/>
      <c r="AH44" s="25"/>
      <c r="AI44" s="25"/>
      <c r="AJ44" s="25"/>
      <c r="AK44" s="25"/>
      <c r="AL44" s="25"/>
      <c r="AM44" s="25"/>
      <c r="AN44" s="25"/>
      <c r="AO44" s="25"/>
      <c r="AP44" s="25"/>
      <c r="AQ44" s="25"/>
      <c r="AR44" s="25"/>
      <c r="AS44" s="35"/>
      <c r="AT44" s="36"/>
      <c r="AU44" s="36"/>
      <c r="AV44" s="36"/>
      <c r="AW44" s="36"/>
      <c r="AX44" s="36"/>
      <c r="AY44" s="36"/>
      <c r="AZ44" s="36"/>
      <c r="BA44" s="36"/>
      <c r="BB44" s="36"/>
      <c r="BC44" s="36"/>
      <c r="BD44" s="50"/>
    </row>
    <row r="45" spans="1:56" ht="14.4" customHeight="1">
      <c r="A45" s="37">
        <f>IF(B45="","",COUNTA($B$8:B45))</f>
        <v>38</v>
      </c>
      <c r="B45" s="35" t="s">
        <v>1665</v>
      </c>
      <c r="C45" s="34"/>
      <c r="D45" s="34"/>
      <c r="E45" s="34"/>
      <c r="F45" s="34"/>
      <c r="G45" s="34"/>
      <c r="H45" s="34"/>
      <c r="I45" s="35" t="s">
        <v>1422</v>
      </c>
      <c r="J45" s="27"/>
      <c r="K45" s="27"/>
      <c r="L45" s="27"/>
      <c r="M45" s="27"/>
      <c r="N45" s="27"/>
      <c r="O45" s="27"/>
      <c r="P45" s="27"/>
      <c r="Q45" s="27"/>
      <c r="R45" s="35" t="s">
        <v>1476</v>
      </c>
      <c r="S45" s="34"/>
      <c r="T45" s="34"/>
      <c r="U45" s="34"/>
      <c r="V45" s="34"/>
      <c r="W45" s="34"/>
      <c r="X45" s="34"/>
      <c r="Y45" s="17" t="s">
        <v>111</v>
      </c>
      <c r="Z45" s="28"/>
      <c r="AA45" s="591" t="s">
        <v>106</v>
      </c>
      <c r="AB45" s="592"/>
      <c r="AC45" s="593"/>
      <c r="AD45" s="53">
        <v>15</v>
      </c>
      <c r="AE45" s="25"/>
      <c r="AF45" s="25"/>
      <c r="AG45" s="25"/>
      <c r="AH45" s="25"/>
      <c r="AI45" s="25"/>
      <c r="AJ45" s="25"/>
      <c r="AK45" s="25"/>
      <c r="AL45" s="25"/>
      <c r="AM45" s="25"/>
      <c r="AN45" s="25"/>
      <c r="AO45" s="25"/>
      <c r="AP45" s="25"/>
      <c r="AQ45" s="25"/>
      <c r="AR45" s="25"/>
      <c r="AS45" s="35"/>
      <c r="AT45" s="36"/>
      <c r="AU45" s="36"/>
      <c r="AV45" s="36"/>
      <c r="AW45" s="36"/>
      <c r="AX45" s="36"/>
      <c r="AY45" s="36"/>
      <c r="AZ45" s="36"/>
      <c r="BA45" s="36"/>
      <c r="BB45" s="36"/>
      <c r="BC45" s="36"/>
      <c r="BD45" s="50"/>
    </row>
    <row r="46" spans="1:56" ht="14.4" customHeight="1">
      <c r="A46" s="37">
        <f>IF(B46="","",COUNTA($B$8:B46))</f>
        <v>39</v>
      </c>
      <c r="B46" s="17" t="s">
        <v>1666</v>
      </c>
      <c r="C46" s="34"/>
      <c r="D46" s="34"/>
      <c r="E46" s="34"/>
      <c r="F46" s="34"/>
      <c r="G46" s="34"/>
      <c r="H46" s="34"/>
      <c r="I46" s="19" t="s">
        <v>1583</v>
      </c>
      <c r="J46" s="27"/>
      <c r="K46" s="27"/>
      <c r="L46" s="27"/>
      <c r="M46" s="27"/>
      <c r="N46" s="27"/>
      <c r="O46" s="27"/>
      <c r="P46" s="27"/>
      <c r="Q46" s="27"/>
      <c r="R46" s="17" t="s">
        <v>1477</v>
      </c>
      <c r="S46" s="34"/>
      <c r="T46" s="34"/>
      <c r="U46" s="34"/>
      <c r="V46" s="34"/>
      <c r="W46" s="34"/>
      <c r="X46" s="34"/>
      <c r="Y46" s="589" t="s">
        <v>111</v>
      </c>
      <c r="Z46" s="590"/>
      <c r="AA46" s="591" t="s">
        <v>106</v>
      </c>
      <c r="AB46" s="592"/>
      <c r="AC46" s="593"/>
      <c r="AD46" s="23">
        <v>15</v>
      </c>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row r="47" spans="1:56" ht="14.4" customHeight="1">
      <c r="A47" s="37">
        <f>IF(B47="","",COUNTA($B$8:B47))</f>
        <v>40</v>
      </c>
      <c r="B47" s="186" t="s">
        <v>1552</v>
      </c>
      <c r="C47" s="34"/>
      <c r="D47" s="34"/>
      <c r="E47" s="34"/>
      <c r="F47" s="34"/>
      <c r="G47" s="34"/>
      <c r="H47" s="34"/>
      <c r="I47" s="19"/>
      <c r="J47" s="27"/>
      <c r="K47" s="27"/>
      <c r="L47" s="27"/>
      <c r="M47" s="27"/>
      <c r="N47" s="27"/>
      <c r="O47" s="27"/>
      <c r="P47" s="27"/>
      <c r="Q47" s="27"/>
      <c r="R47" s="17"/>
      <c r="S47" s="34"/>
      <c r="T47" s="34"/>
      <c r="U47" s="34"/>
      <c r="V47" s="34"/>
      <c r="W47" s="34"/>
      <c r="X47" s="34"/>
      <c r="Y47" s="589" t="s">
        <v>111</v>
      </c>
      <c r="Z47" s="590"/>
      <c r="AA47" s="591" t="s">
        <v>106</v>
      </c>
      <c r="AB47" s="592"/>
      <c r="AC47" s="593"/>
      <c r="AD47" s="23">
        <v>15</v>
      </c>
      <c r="AE47" s="25"/>
      <c r="AF47" s="25"/>
      <c r="AG47" s="25"/>
      <c r="AH47" s="25"/>
      <c r="AI47" s="25"/>
      <c r="AJ47" s="25"/>
      <c r="AK47" s="25"/>
      <c r="AL47" s="25"/>
      <c r="AM47" s="25"/>
      <c r="AN47" s="25"/>
      <c r="AO47" s="25"/>
      <c r="AP47" s="25"/>
      <c r="AQ47" s="25"/>
      <c r="AR47" s="25"/>
      <c r="AS47" s="26"/>
      <c r="AT47" s="51"/>
      <c r="AU47" s="51"/>
      <c r="AV47" s="51"/>
      <c r="AW47" s="51"/>
      <c r="AX47" s="51"/>
      <c r="AY47" s="51"/>
      <c r="AZ47" s="51"/>
      <c r="BA47" s="51"/>
      <c r="BB47" s="51"/>
      <c r="BC47" s="51"/>
      <c r="BD47" s="52"/>
    </row>
    <row r="48" spans="1:56" ht="14.4" customHeight="1">
      <c r="A48" s="37">
        <f>IF(B48="","",COUNTA($B$8:B48))</f>
        <v>41</v>
      </c>
      <c r="B48" s="17" t="s">
        <v>1553</v>
      </c>
      <c r="C48" s="34"/>
      <c r="D48" s="34"/>
      <c r="E48" s="34"/>
      <c r="F48" s="34"/>
      <c r="G48" s="34"/>
      <c r="H48" s="34"/>
      <c r="I48" s="19"/>
      <c r="J48" s="27"/>
      <c r="K48" s="27"/>
      <c r="L48" s="27"/>
      <c r="M48" s="27"/>
      <c r="N48" s="27"/>
      <c r="O48" s="27"/>
      <c r="P48" s="27"/>
      <c r="Q48" s="27"/>
      <c r="R48" s="17"/>
      <c r="S48" s="34"/>
      <c r="T48" s="34"/>
      <c r="U48" s="34"/>
      <c r="V48" s="34"/>
      <c r="W48" s="34"/>
      <c r="X48" s="34"/>
      <c r="Y48" s="589" t="s">
        <v>111</v>
      </c>
      <c r="Z48" s="590"/>
      <c r="AA48" s="591" t="s">
        <v>106</v>
      </c>
      <c r="AB48" s="592"/>
      <c r="AC48" s="593"/>
      <c r="AD48" s="38">
        <v>15</v>
      </c>
      <c r="AE48" s="25"/>
      <c r="AF48" s="25"/>
      <c r="AG48" s="25"/>
      <c r="AH48" s="25"/>
      <c r="AI48" s="25"/>
      <c r="AJ48" s="25"/>
      <c r="AK48" s="25"/>
      <c r="AL48" s="25"/>
      <c r="AM48" s="25"/>
      <c r="AN48" s="25"/>
      <c r="AO48" s="25"/>
      <c r="AP48" s="25"/>
      <c r="AQ48" s="25"/>
      <c r="AR48" s="25"/>
      <c r="AS48" s="26"/>
      <c r="AT48" s="51"/>
      <c r="AU48" s="51"/>
      <c r="AV48" s="51"/>
      <c r="AW48" s="51"/>
      <c r="AX48" s="51"/>
      <c r="AY48" s="51"/>
      <c r="AZ48" s="51"/>
      <c r="BA48" s="51"/>
      <c r="BB48" s="51"/>
      <c r="BC48" s="51"/>
      <c r="BD48" s="52"/>
    </row>
    <row r="49" spans="1:56" ht="14.4" customHeight="1">
      <c r="A49" s="37">
        <f>IF(B49="","",COUNTA($B$8:B49))</f>
        <v>42</v>
      </c>
      <c r="B49" s="17" t="s">
        <v>1554</v>
      </c>
      <c r="C49" s="34"/>
      <c r="D49" s="34"/>
      <c r="E49" s="34"/>
      <c r="F49" s="34"/>
      <c r="G49" s="34"/>
      <c r="H49" s="34"/>
      <c r="I49" s="19"/>
      <c r="J49" s="27"/>
      <c r="K49" s="27"/>
      <c r="L49" s="27"/>
      <c r="M49" s="27"/>
      <c r="N49" s="27"/>
      <c r="O49" s="27"/>
      <c r="P49" s="27"/>
      <c r="Q49" s="27"/>
      <c r="R49" s="17"/>
      <c r="S49" s="34"/>
      <c r="T49" s="34"/>
      <c r="U49" s="34"/>
      <c r="V49" s="34"/>
      <c r="W49" s="34"/>
      <c r="X49" s="34"/>
      <c r="Y49" s="589" t="s">
        <v>111</v>
      </c>
      <c r="Z49" s="590"/>
      <c r="AA49" s="591" t="s">
        <v>106</v>
      </c>
      <c r="AB49" s="592"/>
      <c r="AC49" s="593"/>
      <c r="AD49" s="23">
        <v>15</v>
      </c>
      <c r="AE49" s="25"/>
      <c r="AF49" s="25"/>
      <c r="AG49" s="25"/>
      <c r="AH49" s="25"/>
      <c r="AI49" s="25"/>
      <c r="AJ49" s="25"/>
      <c r="AK49" s="25"/>
      <c r="AL49" s="25"/>
      <c r="AM49" s="25"/>
      <c r="AN49" s="25"/>
      <c r="AO49" s="25"/>
      <c r="AP49" s="25"/>
      <c r="AQ49" s="25"/>
      <c r="AR49" s="25"/>
      <c r="AS49" s="26"/>
      <c r="AT49" s="51"/>
      <c r="AU49" s="51"/>
      <c r="AV49" s="51"/>
      <c r="AW49" s="51"/>
      <c r="AX49" s="51"/>
      <c r="AY49" s="51"/>
      <c r="AZ49" s="51"/>
      <c r="BA49" s="51"/>
      <c r="BB49" s="51"/>
      <c r="BC49" s="51"/>
      <c r="BD49" s="52"/>
    </row>
    <row r="50" spans="1:56" ht="14.4" customHeight="1">
      <c r="A50" s="37">
        <f>IF(B50="","",COUNTA($B$8:B50))</f>
        <v>43</v>
      </c>
      <c r="B50" s="186" t="s">
        <v>1555</v>
      </c>
      <c r="C50" s="18"/>
      <c r="D50" s="18"/>
      <c r="E50" s="18"/>
      <c r="F50" s="18"/>
      <c r="G50" s="18"/>
      <c r="H50" s="18"/>
      <c r="I50" s="19"/>
      <c r="J50" s="20"/>
      <c r="K50" s="20"/>
      <c r="L50" s="20"/>
      <c r="M50" s="20"/>
      <c r="N50" s="20"/>
      <c r="O50" s="20"/>
      <c r="P50" s="20"/>
      <c r="Q50" s="20"/>
      <c r="R50" s="17"/>
      <c r="S50" s="18"/>
      <c r="T50" s="18"/>
      <c r="U50" s="18"/>
      <c r="V50" s="18"/>
      <c r="W50" s="18"/>
      <c r="X50" s="18"/>
      <c r="Y50" s="589" t="s">
        <v>111</v>
      </c>
      <c r="Z50" s="590"/>
      <c r="AA50" s="591" t="s">
        <v>106</v>
      </c>
      <c r="AB50" s="592"/>
      <c r="AC50" s="593"/>
      <c r="AD50" s="38">
        <v>15</v>
      </c>
      <c r="AE50" s="30" t="s">
        <v>1585</v>
      </c>
      <c r="AF50" s="30"/>
      <c r="AG50" s="30"/>
      <c r="AH50" s="30"/>
      <c r="AI50" s="30"/>
      <c r="AJ50" s="30"/>
      <c r="AK50" s="30"/>
      <c r="AL50" s="30"/>
      <c r="AM50" s="30"/>
      <c r="AN50" s="30"/>
      <c r="AO50" s="31"/>
      <c r="AP50" s="31"/>
      <c r="AQ50" s="31"/>
      <c r="AR50" s="31"/>
      <c r="AS50" s="32"/>
      <c r="AT50" s="33"/>
      <c r="AU50" s="51"/>
      <c r="AV50" s="51"/>
      <c r="AW50" s="51"/>
      <c r="AX50" s="51"/>
      <c r="AY50" s="51"/>
      <c r="AZ50" s="51"/>
      <c r="BA50" s="51"/>
      <c r="BB50" s="51"/>
      <c r="BC50" s="51"/>
      <c r="BD50" s="52"/>
    </row>
    <row r="51" spans="1:56" ht="14.4" customHeight="1">
      <c r="A51" s="37">
        <f>IF(B51="","",COUNTA($B$8:B51))</f>
        <v>44</v>
      </c>
      <c r="B51" s="17" t="s">
        <v>1556</v>
      </c>
      <c r="C51" s="18"/>
      <c r="D51" s="18"/>
      <c r="E51" s="18"/>
      <c r="F51" s="18"/>
      <c r="G51" s="18"/>
      <c r="H51" s="18"/>
      <c r="I51" s="19"/>
      <c r="J51" s="20"/>
      <c r="K51" s="20"/>
      <c r="L51" s="20"/>
      <c r="M51" s="20"/>
      <c r="N51" s="20"/>
      <c r="O51" s="20"/>
      <c r="P51" s="20"/>
      <c r="Q51" s="20"/>
      <c r="R51" s="17"/>
      <c r="S51" s="18"/>
      <c r="T51" s="18"/>
      <c r="U51" s="18"/>
      <c r="V51" s="18"/>
      <c r="W51" s="18"/>
      <c r="X51" s="18"/>
      <c r="Y51" s="589" t="s">
        <v>111</v>
      </c>
      <c r="Z51" s="590"/>
      <c r="AA51" s="591" t="s">
        <v>106</v>
      </c>
      <c r="AB51" s="592"/>
      <c r="AC51" s="593"/>
      <c r="AD51" s="38">
        <v>15</v>
      </c>
      <c r="AE51" s="30" t="s">
        <v>1585</v>
      </c>
      <c r="AF51" s="30"/>
      <c r="AG51" s="30"/>
      <c r="AH51" s="30"/>
      <c r="AI51" s="30"/>
      <c r="AJ51" s="30"/>
      <c r="AK51" s="30"/>
      <c r="AL51" s="30"/>
      <c r="AM51" s="30"/>
      <c r="AN51" s="30"/>
      <c r="AO51" s="31"/>
      <c r="AP51" s="31"/>
      <c r="AQ51" s="31"/>
      <c r="AR51" s="31"/>
      <c r="AS51" s="32"/>
      <c r="AT51" s="33"/>
      <c r="AU51" s="51"/>
      <c r="AV51" s="51"/>
      <c r="AW51" s="51"/>
      <c r="AX51" s="51"/>
      <c r="AY51" s="51"/>
      <c r="AZ51" s="51"/>
      <c r="BA51" s="51"/>
      <c r="BB51" s="51"/>
      <c r="BC51" s="51"/>
      <c r="BD51" s="52"/>
    </row>
    <row r="52" spans="1:56" ht="14.4" customHeight="1">
      <c r="A52" s="37" t="str">
        <f>IF(B52="","",COUNTA($B$8:B52))</f>
        <v/>
      </c>
      <c r="B52" s="26"/>
      <c r="C52" s="34"/>
      <c r="D52" s="34"/>
      <c r="E52" s="34"/>
      <c r="F52" s="34"/>
      <c r="G52" s="34"/>
      <c r="H52" s="34"/>
      <c r="I52" s="19"/>
      <c r="J52" s="27"/>
      <c r="K52" s="27"/>
      <c r="L52" s="27"/>
      <c r="M52" s="27"/>
      <c r="N52" s="27"/>
      <c r="O52" s="27"/>
      <c r="P52" s="27"/>
      <c r="Q52" s="27"/>
      <c r="R52" s="26"/>
      <c r="S52" s="34"/>
      <c r="T52" s="34"/>
      <c r="U52" s="34"/>
      <c r="V52" s="34"/>
      <c r="W52" s="34"/>
      <c r="X52" s="34"/>
      <c r="Y52" s="589"/>
      <c r="Z52" s="590"/>
      <c r="AA52" s="591"/>
      <c r="AB52" s="592"/>
      <c r="AC52" s="593"/>
      <c r="AD52" s="38"/>
      <c r="AE52" s="25"/>
      <c r="AF52" s="25"/>
      <c r="AG52" s="25"/>
      <c r="AH52" s="25"/>
      <c r="AI52" s="25"/>
      <c r="AJ52" s="25"/>
      <c r="AK52" s="25"/>
      <c r="AL52" s="25"/>
      <c r="AM52" s="25"/>
      <c r="AN52" s="25"/>
      <c r="AO52" s="25"/>
      <c r="AP52" s="25"/>
      <c r="AQ52" s="25"/>
      <c r="AR52" s="25"/>
      <c r="AS52" s="26"/>
      <c r="AT52" s="51"/>
      <c r="AU52" s="51"/>
      <c r="AV52" s="51"/>
      <c r="AW52" s="51"/>
      <c r="AX52" s="51"/>
      <c r="AY52" s="51"/>
      <c r="AZ52" s="51"/>
      <c r="BA52" s="51"/>
      <c r="BB52" s="51"/>
      <c r="BC52" s="51"/>
      <c r="BD52" s="52"/>
    </row>
    <row r="53" spans="1:56" ht="14.4" customHeight="1">
      <c r="A53" s="37" t="str">
        <f>IF(B53="","",COUNTA($B$8:B53))</f>
        <v/>
      </c>
      <c r="B53" s="17"/>
      <c r="C53" s="18"/>
      <c r="D53" s="18"/>
      <c r="E53" s="18"/>
      <c r="F53" s="18"/>
      <c r="G53" s="18"/>
      <c r="H53" s="18"/>
      <c r="I53" s="19"/>
      <c r="J53" s="20"/>
      <c r="K53" s="20"/>
      <c r="L53" s="20"/>
      <c r="M53" s="20"/>
      <c r="N53" s="20"/>
      <c r="O53" s="20"/>
      <c r="P53" s="20"/>
      <c r="Q53" s="20"/>
      <c r="R53" s="17"/>
      <c r="S53" s="18"/>
      <c r="T53" s="18"/>
      <c r="U53" s="18"/>
      <c r="V53" s="18"/>
      <c r="W53" s="18"/>
      <c r="X53" s="18"/>
      <c r="Y53" s="17"/>
      <c r="Z53" s="28"/>
      <c r="AA53" s="591"/>
      <c r="AB53" s="592"/>
      <c r="AC53" s="593"/>
      <c r="AD53" s="53"/>
      <c r="AE53" s="24"/>
      <c r="AF53" s="24"/>
      <c r="AG53" s="24"/>
      <c r="AH53" s="24"/>
      <c r="AI53" s="24"/>
      <c r="AJ53" s="24"/>
      <c r="AK53" s="24"/>
      <c r="AL53" s="24"/>
      <c r="AM53" s="24"/>
      <c r="AN53" s="24"/>
      <c r="AO53" s="25"/>
      <c r="AP53" s="25"/>
      <c r="AQ53" s="25"/>
      <c r="AR53" s="25"/>
      <c r="AS53" s="35"/>
      <c r="AT53" s="36"/>
      <c r="AU53" s="36"/>
      <c r="AV53" s="36"/>
      <c r="AW53" s="36"/>
      <c r="AX53" s="36"/>
      <c r="AY53" s="36"/>
      <c r="AZ53" s="36"/>
      <c r="BA53" s="36"/>
      <c r="BB53" s="36"/>
      <c r="BC53" s="36"/>
      <c r="BD53" s="50"/>
    </row>
    <row r="54" spans="1:56" ht="14.4" customHeight="1">
      <c r="A54" s="37" t="str">
        <f>IF(B54="","",COUNTA($B$8:B54))</f>
        <v/>
      </c>
      <c r="B54" s="35"/>
      <c r="C54" s="34"/>
      <c r="D54" s="34"/>
      <c r="E54" s="34"/>
      <c r="F54" s="34"/>
      <c r="G54" s="34"/>
      <c r="H54" s="34"/>
      <c r="I54" s="35"/>
      <c r="J54" s="27"/>
      <c r="K54" s="27"/>
      <c r="L54" s="27"/>
      <c r="M54" s="27"/>
      <c r="N54" s="27"/>
      <c r="O54" s="27"/>
      <c r="P54" s="27"/>
      <c r="Q54" s="27"/>
      <c r="R54" s="35"/>
      <c r="S54" s="34"/>
      <c r="T54" s="34"/>
      <c r="U54" s="34"/>
      <c r="V54" s="34"/>
      <c r="W54" s="34"/>
      <c r="X54" s="34"/>
      <c r="Y54" s="589"/>
      <c r="Z54" s="636"/>
      <c r="AA54" s="591"/>
      <c r="AB54" s="592"/>
      <c r="AC54" s="593"/>
      <c r="AD54" s="53"/>
      <c r="AE54" s="25"/>
      <c r="AF54" s="25"/>
      <c r="AG54" s="25"/>
      <c r="AH54" s="25"/>
      <c r="AI54" s="25"/>
      <c r="AJ54" s="25"/>
      <c r="AK54" s="25"/>
      <c r="AL54" s="25"/>
      <c r="AM54" s="25"/>
      <c r="AN54" s="25"/>
      <c r="AO54" s="25"/>
      <c r="AP54" s="25"/>
      <c r="AQ54" s="25"/>
      <c r="AR54" s="25"/>
      <c r="AS54" s="35"/>
      <c r="AT54" s="36"/>
      <c r="AU54" s="36"/>
      <c r="AV54" s="36"/>
      <c r="AW54" s="36"/>
      <c r="AX54" s="36"/>
      <c r="AY54" s="36"/>
      <c r="AZ54" s="36"/>
      <c r="BA54" s="36"/>
      <c r="BB54" s="36"/>
      <c r="BC54" s="36"/>
      <c r="BD54" s="50"/>
    </row>
    <row r="55" spans="1:56" ht="14.4" customHeight="1">
      <c r="A55" s="37" t="str">
        <f>IF(B55="","",COUNTA($B$8:B55))</f>
        <v/>
      </c>
      <c r="B55" s="35"/>
      <c r="C55" s="34"/>
      <c r="D55" s="34"/>
      <c r="E55" s="34"/>
      <c r="F55" s="34"/>
      <c r="G55" s="34"/>
      <c r="H55" s="34"/>
      <c r="I55" s="35"/>
      <c r="J55" s="27"/>
      <c r="K55" s="27"/>
      <c r="L55" s="27"/>
      <c r="M55" s="27"/>
      <c r="N55" s="27"/>
      <c r="O55" s="27"/>
      <c r="P55" s="27"/>
      <c r="Q55" s="27"/>
      <c r="R55" s="35"/>
      <c r="S55" s="34"/>
      <c r="T55" s="34"/>
      <c r="U55" s="34"/>
      <c r="V55" s="34"/>
      <c r="W55" s="34"/>
      <c r="X55" s="34"/>
      <c r="Y55" s="589"/>
      <c r="Z55" s="636"/>
      <c r="AA55" s="591"/>
      <c r="AB55" s="592"/>
      <c r="AC55" s="593"/>
      <c r="AD55" s="53"/>
      <c r="AE55" s="25"/>
      <c r="AF55" s="25"/>
      <c r="AG55" s="25"/>
      <c r="AH55" s="25"/>
      <c r="AI55" s="25"/>
      <c r="AJ55" s="25"/>
      <c r="AK55" s="25"/>
      <c r="AL55" s="25"/>
      <c r="AM55" s="25"/>
      <c r="AN55" s="25"/>
      <c r="AO55" s="25"/>
      <c r="AP55" s="25"/>
      <c r="AQ55" s="25"/>
      <c r="AR55" s="25"/>
      <c r="AS55" s="35"/>
      <c r="AT55" s="36"/>
      <c r="AU55" s="36"/>
      <c r="AV55" s="36"/>
      <c r="AW55" s="36"/>
      <c r="AX55" s="36"/>
      <c r="AY55" s="36"/>
      <c r="AZ55" s="36"/>
      <c r="BA55" s="36"/>
      <c r="BB55" s="36"/>
      <c r="BC55" s="36"/>
      <c r="BD55" s="50"/>
    </row>
    <row r="56" spans="1:56" ht="14.4" customHeight="1">
      <c r="A56" s="37" t="str">
        <f>IF(B56="","",COUNTA($B$8:B56))</f>
        <v/>
      </c>
      <c r="B56" s="35"/>
      <c r="C56" s="34"/>
      <c r="D56" s="34"/>
      <c r="E56" s="34"/>
      <c r="F56" s="34"/>
      <c r="G56" s="34"/>
      <c r="H56" s="34"/>
      <c r="I56" s="35"/>
      <c r="J56" s="27"/>
      <c r="K56" s="27"/>
      <c r="L56" s="27"/>
      <c r="M56" s="27"/>
      <c r="N56" s="27"/>
      <c r="O56" s="27"/>
      <c r="P56" s="27"/>
      <c r="Q56" s="27"/>
      <c r="R56" s="35"/>
      <c r="S56" s="34"/>
      <c r="T56" s="34"/>
      <c r="U56" s="34"/>
      <c r="V56" s="34"/>
      <c r="W56" s="34"/>
      <c r="X56" s="34"/>
      <c r="Y56" s="589"/>
      <c r="Z56" s="636"/>
      <c r="AA56" s="591"/>
      <c r="AB56" s="592"/>
      <c r="AC56" s="593"/>
      <c r="AD56" s="53"/>
      <c r="AE56" s="25"/>
      <c r="AF56" s="25"/>
      <c r="AG56" s="25"/>
      <c r="AH56" s="25"/>
      <c r="AI56" s="25"/>
      <c r="AJ56" s="25"/>
      <c r="AK56" s="25"/>
      <c r="AL56" s="25"/>
      <c r="AM56" s="25"/>
      <c r="AN56" s="25"/>
      <c r="AO56" s="25"/>
      <c r="AP56" s="25"/>
      <c r="AQ56" s="25"/>
      <c r="AR56" s="25"/>
      <c r="AS56" s="35"/>
      <c r="AT56" s="36"/>
      <c r="AU56" s="36"/>
      <c r="AV56" s="36"/>
      <c r="AW56" s="36"/>
      <c r="AX56" s="36"/>
      <c r="AY56" s="36"/>
      <c r="AZ56" s="36"/>
      <c r="BA56" s="36"/>
      <c r="BB56" s="36"/>
      <c r="BC56" s="36"/>
      <c r="BD56" s="50"/>
    </row>
    <row r="57" spans="1:56" ht="14.4" customHeight="1">
      <c r="A57" s="37" t="str">
        <f>IF(B57="","",COUNTA($B$8:B57))</f>
        <v/>
      </c>
      <c r="B57" s="35"/>
      <c r="C57" s="34"/>
      <c r="D57" s="34"/>
      <c r="E57" s="34"/>
      <c r="F57" s="34"/>
      <c r="G57" s="34"/>
      <c r="H57" s="34"/>
      <c r="I57" s="35"/>
      <c r="J57" s="27"/>
      <c r="K57" s="27"/>
      <c r="L57" s="27"/>
      <c r="M57" s="27"/>
      <c r="N57" s="27"/>
      <c r="O57" s="27"/>
      <c r="P57" s="27"/>
      <c r="Q57" s="27"/>
      <c r="R57" s="35"/>
      <c r="S57" s="34"/>
      <c r="T57" s="34"/>
      <c r="U57" s="34"/>
      <c r="V57" s="34"/>
      <c r="W57" s="34"/>
      <c r="X57" s="34"/>
      <c r="Y57" s="589"/>
      <c r="Z57" s="590"/>
      <c r="AA57" s="591"/>
      <c r="AB57" s="592"/>
      <c r="AC57" s="593"/>
      <c r="AD57" s="53"/>
      <c r="AE57" s="25"/>
      <c r="AF57" s="25"/>
      <c r="AG57" s="25"/>
      <c r="AH57" s="25"/>
      <c r="AI57" s="25"/>
      <c r="AJ57" s="25"/>
      <c r="AK57" s="25"/>
      <c r="AL57" s="25"/>
      <c r="AM57" s="25"/>
      <c r="AN57" s="25"/>
      <c r="AO57" s="25"/>
      <c r="AP57" s="25"/>
      <c r="AQ57" s="25"/>
      <c r="AR57" s="25"/>
      <c r="AS57" s="35"/>
      <c r="AT57" s="36"/>
      <c r="AU57" s="36"/>
      <c r="AV57" s="36"/>
      <c r="AW57" s="36"/>
      <c r="AX57" s="36"/>
      <c r="AY57" s="36"/>
      <c r="AZ57" s="36"/>
      <c r="BA57" s="36"/>
      <c r="BB57" s="36"/>
      <c r="BC57" s="36"/>
      <c r="BD57" s="50"/>
    </row>
    <row r="58" spans="1:56" ht="14.4" customHeight="1">
      <c r="A58" s="37" t="str">
        <f>IF(B58="","",COUNTA($B$8:B58))</f>
        <v/>
      </c>
      <c r="B58" s="35"/>
      <c r="C58" s="34"/>
      <c r="D58" s="34"/>
      <c r="E58" s="34"/>
      <c r="F58" s="34"/>
      <c r="G58" s="34"/>
      <c r="H58" s="34"/>
      <c r="I58" s="35"/>
      <c r="J58" s="27"/>
      <c r="K58" s="27"/>
      <c r="L58" s="27"/>
      <c r="M58" s="27"/>
      <c r="N58" s="27"/>
      <c r="O58" s="27"/>
      <c r="P58" s="27"/>
      <c r="Q58" s="27"/>
      <c r="R58" s="35"/>
      <c r="S58" s="34"/>
      <c r="T58" s="34"/>
      <c r="U58" s="34"/>
      <c r="V58" s="34"/>
      <c r="W58" s="34"/>
      <c r="X58" s="34"/>
      <c r="Y58" s="589"/>
      <c r="Z58" s="590"/>
      <c r="AA58" s="591"/>
      <c r="AB58" s="592"/>
      <c r="AC58" s="593"/>
      <c r="AD58" s="53"/>
      <c r="AE58" s="25"/>
      <c r="AF58" s="25"/>
      <c r="AG58" s="25"/>
      <c r="AH58" s="25"/>
      <c r="AI58" s="25"/>
      <c r="AJ58" s="25"/>
      <c r="AK58" s="25"/>
      <c r="AL58" s="25"/>
      <c r="AM58" s="25"/>
      <c r="AN58" s="25"/>
      <c r="AO58" s="25"/>
      <c r="AP58" s="25"/>
      <c r="AQ58" s="25"/>
      <c r="AR58" s="25"/>
      <c r="AS58" s="35"/>
      <c r="AT58" s="36"/>
      <c r="AU58" s="36"/>
      <c r="AV58" s="36"/>
      <c r="AW58" s="36"/>
      <c r="AX58" s="36"/>
      <c r="AY58" s="36"/>
      <c r="AZ58" s="36"/>
      <c r="BA58" s="36"/>
      <c r="BB58" s="36"/>
      <c r="BC58" s="36"/>
      <c r="BD58" s="50"/>
    </row>
    <row r="59" spans="1:56" ht="14.4" customHeight="1">
      <c r="A59" s="37" t="str">
        <f>IF(B59="","",COUNTA($B$8:B59))</f>
        <v/>
      </c>
      <c r="B59" s="35"/>
      <c r="C59" s="34"/>
      <c r="D59" s="34"/>
      <c r="E59" s="34"/>
      <c r="F59" s="34"/>
      <c r="G59" s="34"/>
      <c r="H59" s="34"/>
      <c r="I59" s="35"/>
      <c r="J59" s="27"/>
      <c r="K59" s="27"/>
      <c r="L59" s="27"/>
      <c r="M59" s="27"/>
      <c r="N59" s="27"/>
      <c r="O59" s="27"/>
      <c r="P59" s="27"/>
      <c r="Q59" s="27"/>
      <c r="R59" s="35"/>
      <c r="S59" s="34"/>
      <c r="T59" s="34"/>
      <c r="U59" s="34"/>
      <c r="V59" s="34"/>
      <c r="W59" s="34"/>
      <c r="X59" s="34"/>
      <c r="Y59" s="589"/>
      <c r="Z59" s="590"/>
      <c r="AA59" s="591"/>
      <c r="AB59" s="592"/>
      <c r="AC59" s="593"/>
      <c r="AD59" s="53"/>
      <c r="AE59" s="25"/>
      <c r="AF59" s="25"/>
      <c r="AG59" s="25"/>
      <c r="AH59" s="25"/>
      <c r="AI59" s="25"/>
      <c r="AJ59" s="25"/>
      <c r="AK59" s="25"/>
      <c r="AL59" s="25"/>
      <c r="AM59" s="25"/>
      <c r="AN59" s="25"/>
      <c r="AO59" s="25"/>
      <c r="AP59" s="25"/>
      <c r="AQ59" s="25"/>
      <c r="AR59" s="25"/>
      <c r="AS59" s="35"/>
      <c r="AT59" s="36"/>
      <c r="AU59" s="36"/>
      <c r="AV59" s="36"/>
      <c r="AW59" s="36"/>
      <c r="AX59" s="36"/>
      <c r="AY59" s="36"/>
      <c r="AZ59" s="36"/>
      <c r="BA59" s="36"/>
      <c r="BB59" s="36"/>
      <c r="BC59" s="36"/>
      <c r="BD59" s="50"/>
    </row>
    <row r="60" spans="1:56" ht="14.4" customHeight="1">
      <c r="A60" s="37" t="str">
        <f>IF(B60="","",COUNTA($B$8:B60))</f>
        <v/>
      </c>
      <c r="B60" s="35"/>
      <c r="C60" s="34"/>
      <c r="D60" s="34"/>
      <c r="E60" s="34"/>
      <c r="F60" s="34"/>
      <c r="G60" s="34"/>
      <c r="H60" s="34"/>
      <c r="I60" s="35"/>
      <c r="J60" s="27"/>
      <c r="K60" s="27"/>
      <c r="L60" s="27"/>
      <c r="M60" s="27"/>
      <c r="N60" s="27"/>
      <c r="O60" s="27"/>
      <c r="P60" s="27"/>
      <c r="Q60" s="27"/>
      <c r="R60" s="35"/>
      <c r="S60" s="34"/>
      <c r="T60" s="34"/>
      <c r="U60" s="34"/>
      <c r="V60" s="34"/>
      <c r="W60" s="34"/>
      <c r="X60" s="34"/>
      <c r="Y60" s="589"/>
      <c r="Z60" s="590"/>
      <c r="AA60" s="591"/>
      <c r="AB60" s="592"/>
      <c r="AC60" s="593"/>
      <c r="AD60" s="53"/>
      <c r="AE60" s="25"/>
      <c r="AF60" s="25"/>
      <c r="AG60" s="25"/>
      <c r="AH60" s="25"/>
      <c r="AI60" s="25"/>
      <c r="AJ60" s="25"/>
      <c r="AK60" s="25"/>
      <c r="AL60" s="25"/>
      <c r="AM60" s="25"/>
      <c r="AN60" s="25"/>
      <c r="AO60" s="25"/>
      <c r="AP60" s="25"/>
      <c r="AQ60" s="25"/>
      <c r="AR60" s="25"/>
      <c r="AS60" s="35"/>
      <c r="AT60" s="36"/>
      <c r="AU60" s="36"/>
      <c r="AV60" s="36"/>
      <c r="AW60" s="36"/>
      <c r="AX60" s="36"/>
      <c r="AY60" s="36"/>
      <c r="AZ60" s="36"/>
      <c r="BA60" s="36"/>
      <c r="BB60" s="36"/>
      <c r="BC60" s="36"/>
      <c r="BD60" s="50"/>
    </row>
    <row r="61" spans="1:56" ht="14.4" customHeight="1">
      <c r="A61" s="37" t="str">
        <f>IF(B61="","",COUNTA($B$8:B61))</f>
        <v/>
      </c>
      <c r="B61" s="35"/>
      <c r="C61" s="34"/>
      <c r="D61" s="34"/>
      <c r="E61" s="34"/>
      <c r="F61" s="34"/>
      <c r="G61" s="34"/>
      <c r="H61" s="34"/>
      <c r="I61" s="35"/>
      <c r="J61" s="27"/>
      <c r="K61" s="27"/>
      <c r="L61" s="27"/>
      <c r="M61" s="27"/>
      <c r="N61" s="27"/>
      <c r="O61" s="27"/>
      <c r="P61" s="27"/>
      <c r="Q61" s="27"/>
      <c r="R61" s="35"/>
      <c r="S61" s="34"/>
      <c r="T61" s="34"/>
      <c r="U61" s="34"/>
      <c r="V61" s="34"/>
      <c r="W61" s="34"/>
      <c r="X61" s="34"/>
      <c r="Y61" s="589"/>
      <c r="Z61" s="590"/>
      <c r="AA61" s="591"/>
      <c r="AB61" s="592"/>
      <c r="AC61" s="593"/>
      <c r="AD61" s="53"/>
      <c r="AE61" s="25"/>
      <c r="AF61" s="25"/>
      <c r="AG61" s="25"/>
      <c r="AH61" s="25"/>
      <c r="AI61" s="25"/>
      <c r="AJ61" s="25"/>
      <c r="AK61" s="25"/>
      <c r="AL61" s="25"/>
      <c r="AM61" s="25"/>
      <c r="AN61" s="25"/>
      <c r="AO61" s="25"/>
      <c r="AP61" s="25"/>
      <c r="AQ61" s="25"/>
      <c r="AR61" s="25"/>
      <c r="AS61" s="35"/>
      <c r="AT61" s="36"/>
      <c r="AU61" s="36"/>
      <c r="AV61" s="36"/>
      <c r="AW61" s="36"/>
      <c r="AX61" s="36"/>
      <c r="AY61" s="36"/>
      <c r="AZ61" s="36"/>
      <c r="BA61" s="36"/>
      <c r="BB61" s="36"/>
      <c r="BC61" s="36"/>
      <c r="BD61" s="50"/>
    </row>
    <row r="62" spans="1:56" ht="14.4" customHeight="1">
      <c r="A62" s="37" t="str">
        <f>IF(B62="","",COUNTA($B$8:B62))</f>
        <v/>
      </c>
      <c r="B62" s="35"/>
      <c r="C62" s="34"/>
      <c r="D62" s="34"/>
      <c r="E62" s="34"/>
      <c r="F62" s="34"/>
      <c r="G62" s="34"/>
      <c r="H62" s="34"/>
      <c r="I62" s="35"/>
      <c r="J62" s="27"/>
      <c r="K62" s="27"/>
      <c r="L62" s="27"/>
      <c r="M62" s="27"/>
      <c r="N62" s="27"/>
      <c r="O62" s="27"/>
      <c r="P62" s="27"/>
      <c r="Q62" s="27"/>
      <c r="R62" s="35"/>
      <c r="S62" s="34"/>
      <c r="T62" s="34"/>
      <c r="U62" s="34"/>
      <c r="V62" s="34"/>
      <c r="W62" s="34"/>
      <c r="X62" s="34"/>
      <c r="Y62" s="589"/>
      <c r="Z62" s="590"/>
      <c r="AA62" s="591"/>
      <c r="AB62" s="592"/>
      <c r="AC62" s="593"/>
      <c r="AD62" s="53"/>
      <c r="AE62" s="25"/>
      <c r="AF62" s="25"/>
      <c r="AG62" s="25"/>
      <c r="AH62" s="25"/>
      <c r="AI62" s="25"/>
      <c r="AJ62" s="25"/>
      <c r="AK62" s="25"/>
      <c r="AL62" s="25"/>
      <c r="AM62" s="25"/>
      <c r="AN62" s="25"/>
      <c r="AO62" s="25"/>
      <c r="AP62" s="25"/>
      <c r="AQ62" s="25"/>
      <c r="AR62" s="25"/>
      <c r="AS62" s="35"/>
      <c r="AT62" s="36"/>
      <c r="AU62" s="36"/>
      <c r="AV62" s="36"/>
      <c r="AW62" s="36"/>
      <c r="AX62" s="36"/>
      <c r="AY62" s="36"/>
      <c r="AZ62" s="36"/>
      <c r="BA62" s="36"/>
      <c r="BB62" s="36"/>
      <c r="BC62" s="36"/>
      <c r="BD62" s="50"/>
    </row>
    <row r="63" spans="1:56" ht="14.4" customHeight="1">
      <c r="A63" s="37" t="str">
        <f>IF(B63="","",COUNTA($B$8:B63))</f>
        <v/>
      </c>
      <c r="B63" s="35"/>
      <c r="C63" s="34"/>
      <c r="D63" s="34"/>
      <c r="E63" s="34"/>
      <c r="F63" s="34"/>
      <c r="G63" s="34"/>
      <c r="H63" s="34"/>
      <c r="I63" s="35"/>
      <c r="J63" s="27"/>
      <c r="K63" s="27"/>
      <c r="L63" s="27"/>
      <c r="M63" s="27"/>
      <c r="N63" s="27"/>
      <c r="O63" s="27"/>
      <c r="P63" s="27"/>
      <c r="Q63" s="27"/>
      <c r="R63" s="35"/>
      <c r="S63" s="34"/>
      <c r="T63" s="34"/>
      <c r="U63" s="34"/>
      <c r="V63" s="34"/>
      <c r="W63" s="34"/>
      <c r="X63" s="34"/>
      <c r="Y63" s="589"/>
      <c r="Z63" s="590"/>
      <c r="AA63" s="591"/>
      <c r="AB63" s="592"/>
      <c r="AC63" s="593"/>
      <c r="AD63" s="53"/>
      <c r="AE63" s="25"/>
      <c r="AF63" s="25"/>
      <c r="AG63" s="25"/>
      <c r="AH63" s="25"/>
      <c r="AI63" s="25"/>
      <c r="AJ63" s="25"/>
      <c r="AK63" s="25"/>
      <c r="AL63" s="25"/>
      <c r="AM63" s="25"/>
      <c r="AN63" s="25"/>
      <c r="AO63" s="25"/>
      <c r="AP63" s="25"/>
      <c r="AQ63" s="25"/>
      <c r="AR63" s="25"/>
      <c r="AS63" s="35"/>
      <c r="AT63" s="36"/>
      <c r="AU63" s="36"/>
      <c r="AV63" s="36"/>
      <c r="AW63" s="36"/>
      <c r="AX63" s="36"/>
      <c r="AY63" s="36"/>
      <c r="AZ63" s="36"/>
      <c r="BA63" s="36"/>
      <c r="BB63" s="36"/>
      <c r="BC63" s="36"/>
      <c r="BD63" s="50"/>
    </row>
    <row r="64" spans="1:56" ht="14.4" customHeight="1">
      <c r="A64" s="37" t="str">
        <f>IF(B64="","",COUNTA($B$8:B64))</f>
        <v/>
      </c>
      <c r="B64" s="35"/>
      <c r="C64" s="34"/>
      <c r="D64" s="34"/>
      <c r="E64" s="34"/>
      <c r="F64" s="34"/>
      <c r="G64" s="34"/>
      <c r="H64" s="34"/>
      <c r="I64" s="35"/>
      <c r="J64" s="27"/>
      <c r="K64" s="27"/>
      <c r="L64" s="27"/>
      <c r="M64" s="27"/>
      <c r="N64" s="27"/>
      <c r="O64" s="27"/>
      <c r="P64" s="27"/>
      <c r="Q64" s="27"/>
      <c r="R64" s="35"/>
      <c r="S64" s="34"/>
      <c r="T64" s="34"/>
      <c r="U64" s="34"/>
      <c r="V64" s="34"/>
      <c r="W64" s="34"/>
      <c r="X64" s="34"/>
      <c r="Y64" s="589"/>
      <c r="Z64" s="590"/>
      <c r="AA64" s="591"/>
      <c r="AB64" s="592"/>
      <c r="AC64" s="593"/>
      <c r="AD64" s="53"/>
      <c r="AE64" s="25"/>
      <c r="AF64" s="25"/>
      <c r="AG64" s="25"/>
      <c r="AH64" s="25"/>
      <c r="AI64" s="25"/>
      <c r="AJ64" s="25"/>
      <c r="AK64" s="25"/>
      <c r="AL64" s="25"/>
      <c r="AM64" s="25"/>
      <c r="AN64" s="25"/>
      <c r="AO64" s="25"/>
      <c r="AP64" s="25"/>
      <c r="AQ64" s="25"/>
      <c r="AR64" s="25"/>
      <c r="AS64" s="35"/>
      <c r="AT64" s="36"/>
      <c r="AU64" s="36"/>
      <c r="AV64" s="36"/>
      <c r="AW64" s="36"/>
      <c r="AX64" s="36"/>
      <c r="AY64" s="36"/>
      <c r="AZ64" s="36"/>
      <c r="BA64" s="36"/>
      <c r="BB64" s="36"/>
      <c r="BC64" s="36"/>
      <c r="BD64" s="50"/>
    </row>
    <row r="65" spans="1:56" ht="14.4" customHeight="1">
      <c r="A65" s="37" t="str">
        <f>IF(B65="","",COUNTA($B$8:B65))</f>
        <v/>
      </c>
      <c r="B65" s="35"/>
      <c r="C65" s="34"/>
      <c r="D65" s="34"/>
      <c r="E65" s="34"/>
      <c r="F65" s="34"/>
      <c r="G65" s="34"/>
      <c r="H65" s="34"/>
      <c r="I65" s="35"/>
      <c r="J65" s="27"/>
      <c r="K65" s="27"/>
      <c r="L65" s="27"/>
      <c r="M65" s="27"/>
      <c r="N65" s="27"/>
      <c r="O65" s="27"/>
      <c r="P65" s="27"/>
      <c r="Q65" s="27"/>
      <c r="R65" s="35"/>
      <c r="S65" s="34"/>
      <c r="T65" s="34"/>
      <c r="U65" s="34"/>
      <c r="V65" s="34"/>
      <c r="W65" s="34"/>
      <c r="X65" s="34"/>
      <c r="Y65" s="589"/>
      <c r="Z65" s="590"/>
      <c r="AA65" s="591"/>
      <c r="AB65" s="592"/>
      <c r="AC65" s="593"/>
      <c r="AD65" s="53"/>
      <c r="AE65" s="25"/>
      <c r="AF65" s="25"/>
      <c r="AG65" s="25"/>
      <c r="AH65" s="25"/>
      <c r="AI65" s="25"/>
      <c r="AJ65" s="25"/>
      <c r="AK65" s="25"/>
      <c r="AL65" s="25"/>
      <c r="AM65" s="25"/>
      <c r="AN65" s="25"/>
      <c r="AO65" s="25"/>
      <c r="AP65" s="25"/>
      <c r="AQ65" s="25"/>
      <c r="AR65" s="25"/>
      <c r="AS65" s="35"/>
      <c r="AT65" s="36"/>
      <c r="AU65" s="36"/>
      <c r="AV65" s="36"/>
      <c r="AW65" s="36"/>
      <c r="AX65" s="36"/>
      <c r="AY65" s="36"/>
      <c r="AZ65" s="36"/>
      <c r="BA65" s="36"/>
      <c r="BB65" s="36"/>
      <c r="BC65" s="36"/>
      <c r="BD65" s="50"/>
    </row>
    <row r="66" spans="1:56" ht="14.4" customHeight="1">
      <c r="A66" s="37" t="str">
        <f>IF(B66="","",COUNTA($B$8:B66))</f>
        <v/>
      </c>
      <c r="B66" s="35"/>
      <c r="C66" s="34"/>
      <c r="D66" s="34"/>
      <c r="E66" s="34"/>
      <c r="F66" s="34"/>
      <c r="G66" s="34"/>
      <c r="H66" s="34"/>
      <c r="I66" s="35"/>
      <c r="J66" s="27"/>
      <c r="K66" s="27"/>
      <c r="L66" s="27"/>
      <c r="M66" s="27"/>
      <c r="N66" s="27"/>
      <c r="O66" s="27"/>
      <c r="P66" s="27"/>
      <c r="Q66" s="27"/>
      <c r="R66" s="35"/>
      <c r="S66" s="34"/>
      <c r="T66" s="34"/>
      <c r="U66" s="34"/>
      <c r="V66" s="34"/>
      <c r="W66" s="34"/>
      <c r="X66" s="34"/>
      <c r="Y66" s="589"/>
      <c r="Z66" s="590"/>
      <c r="AA66" s="591"/>
      <c r="AB66" s="592"/>
      <c r="AC66" s="593"/>
      <c r="AD66" s="53"/>
      <c r="AE66" s="25"/>
      <c r="AF66" s="25"/>
      <c r="AG66" s="25"/>
      <c r="AH66" s="25"/>
      <c r="AI66" s="25"/>
      <c r="AJ66" s="25"/>
      <c r="AK66" s="25"/>
      <c r="AL66" s="25"/>
      <c r="AM66" s="25"/>
      <c r="AN66" s="25"/>
      <c r="AO66" s="25"/>
      <c r="AP66" s="25"/>
      <c r="AQ66" s="25"/>
      <c r="AR66" s="25"/>
      <c r="AS66" s="35"/>
      <c r="AT66" s="36"/>
      <c r="AU66" s="36"/>
      <c r="AV66" s="36"/>
      <c r="AW66" s="36"/>
      <c r="AX66" s="36"/>
      <c r="AY66" s="36"/>
      <c r="AZ66" s="36"/>
      <c r="BA66" s="36"/>
      <c r="BB66" s="36"/>
      <c r="BC66" s="36"/>
      <c r="BD66" s="50"/>
    </row>
    <row r="67" spans="1:56" ht="14.4" customHeight="1">
      <c r="A67" s="37" t="str">
        <f>IF(B67="","",COUNTA($B$8:B67))</f>
        <v/>
      </c>
      <c r="B67" s="35"/>
      <c r="C67" s="34"/>
      <c r="D67" s="34"/>
      <c r="E67" s="34"/>
      <c r="F67" s="34"/>
      <c r="G67" s="34"/>
      <c r="H67" s="34"/>
      <c r="I67" s="35"/>
      <c r="J67" s="27"/>
      <c r="K67" s="27"/>
      <c r="L67" s="27"/>
      <c r="M67" s="27"/>
      <c r="N67" s="27"/>
      <c r="O67" s="27"/>
      <c r="P67" s="27"/>
      <c r="Q67" s="27"/>
      <c r="R67" s="17"/>
      <c r="S67" s="18"/>
      <c r="T67" s="18"/>
      <c r="U67" s="18"/>
      <c r="V67" s="18"/>
      <c r="W67" s="18"/>
      <c r="X67" s="18"/>
      <c r="Y67" s="589"/>
      <c r="Z67" s="590"/>
      <c r="AA67" s="591"/>
      <c r="AB67" s="592"/>
      <c r="AC67" s="593"/>
      <c r="AD67" s="23"/>
      <c r="AE67" s="25"/>
      <c r="AF67" s="25"/>
      <c r="AG67" s="25"/>
      <c r="AH67" s="25"/>
      <c r="AI67" s="25"/>
      <c r="AJ67" s="25"/>
      <c r="AK67" s="25"/>
      <c r="AL67" s="25"/>
      <c r="AM67" s="25"/>
      <c r="AN67" s="25"/>
      <c r="AO67" s="25"/>
      <c r="AP67" s="25"/>
      <c r="AQ67" s="25"/>
      <c r="AR67" s="25"/>
      <c r="AS67" s="35"/>
      <c r="AT67" s="36"/>
      <c r="AU67" s="36"/>
      <c r="AV67" s="36"/>
      <c r="AW67" s="36"/>
      <c r="AX67" s="36"/>
      <c r="AY67" s="36"/>
      <c r="AZ67" s="36"/>
      <c r="BA67" s="36"/>
      <c r="BB67" s="36"/>
      <c r="BC67" s="36"/>
      <c r="BD67" s="50"/>
    </row>
    <row r="68" spans="1:56" ht="14.4" customHeight="1">
      <c r="A68" s="37" t="str">
        <f>IF(B68="","",COUNTA($B$8:B68))</f>
        <v/>
      </c>
      <c r="B68" s="35"/>
      <c r="C68" s="34"/>
      <c r="D68" s="34"/>
      <c r="E68" s="34"/>
      <c r="F68" s="34"/>
      <c r="G68" s="34"/>
      <c r="H68" s="34"/>
      <c r="I68" s="35"/>
      <c r="J68" s="27"/>
      <c r="K68" s="27"/>
      <c r="L68" s="27"/>
      <c r="M68" s="27"/>
      <c r="N68" s="27"/>
      <c r="O68" s="27"/>
      <c r="P68" s="27"/>
      <c r="Q68" s="27"/>
      <c r="R68" s="35"/>
      <c r="S68" s="34"/>
      <c r="T68" s="34"/>
      <c r="U68" s="34"/>
      <c r="V68" s="34"/>
      <c r="W68" s="34"/>
      <c r="X68" s="34"/>
      <c r="Y68" s="17"/>
      <c r="Z68" s="28"/>
      <c r="AA68" s="591"/>
      <c r="AB68" s="592"/>
      <c r="AC68" s="593"/>
      <c r="AD68" s="53"/>
      <c r="AE68" s="25"/>
      <c r="AF68" s="25"/>
      <c r="AG68" s="25"/>
      <c r="AH68" s="25"/>
      <c r="AI68" s="25"/>
      <c r="AJ68" s="25"/>
      <c r="AK68" s="25"/>
      <c r="AL68" s="25"/>
      <c r="AM68" s="25"/>
      <c r="AN68" s="25"/>
      <c r="AO68" s="25"/>
      <c r="AP68" s="25"/>
      <c r="AQ68" s="25"/>
      <c r="AR68" s="25"/>
      <c r="AS68" s="35"/>
      <c r="AT68" s="36"/>
      <c r="AU68" s="36"/>
      <c r="AV68" s="36"/>
      <c r="AW68" s="36"/>
      <c r="AX68" s="36"/>
      <c r="AY68" s="36"/>
      <c r="AZ68" s="36"/>
      <c r="BA68" s="36"/>
      <c r="BB68" s="36"/>
      <c r="BC68" s="36"/>
      <c r="BD68" s="50"/>
    </row>
    <row r="69" spans="1:56" ht="14.4" customHeight="1">
      <c r="A69" s="37" t="str">
        <f>IF(B69="","",COUNTA($B$8:B69))</f>
        <v/>
      </c>
      <c r="B69" s="35"/>
      <c r="C69" s="34"/>
      <c r="D69" s="34"/>
      <c r="E69" s="34"/>
      <c r="F69" s="34"/>
      <c r="G69" s="34"/>
      <c r="H69" s="34"/>
      <c r="I69" s="35"/>
      <c r="J69" s="27"/>
      <c r="K69" s="27"/>
      <c r="L69" s="27"/>
      <c r="M69" s="27"/>
      <c r="N69" s="27"/>
      <c r="O69" s="27"/>
      <c r="P69" s="27"/>
      <c r="Q69" s="27"/>
      <c r="R69" s="35"/>
      <c r="S69" s="34"/>
      <c r="T69" s="34"/>
      <c r="U69" s="34"/>
      <c r="V69" s="34"/>
      <c r="W69" s="34"/>
      <c r="X69" s="34"/>
      <c r="Y69" s="17"/>
      <c r="Z69" s="28"/>
      <c r="AA69" s="591"/>
      <c r="AB69" s="592"/>
      <c r="AC69" s="593"/>
      <c r="AD69" s="53"/>
      <c r="AE69" s="25"/>
      <c r="AF69" s="25"/>
      <c r="AG69" s="25"/>
      <c r="AH69" s="25"/>
      <c r="AI69" s="25"/>
      <c r="AJ69" s="25"/>
      <c r="AK69" s="25"/>
      <c r="AL69" s="25"/>
      <c r="AM69" s="25"/>
      <c r="AN69" s="25"/>
      <c r="AO69" s="25"/>
      <c r="AP69" s="25"/>
      <c r="AQ69" s="25"/>
      <c r="AR69" s="25"/>
      <c r="AS69" s="35"/>
      <c r="AT69" s="36"/>
      <c r="AU69" s="36"/>
      <c r="AV69" s="36"/>
      <c r="AW69" s="36"/>
      <c r="AX69" s="36"/>
      <c r="AY69" s="36"/>
      <c r="AZ69" s="36"/>
      <c r="BA69" s="36"/>
      <c r="BB69" s="36"/>
      <c r="BC69" s="36"/>
      <c r="BD69" s="50"/>
    </row>
    <row r="70" spans="1:56" ht="14.4" customHeight="1">
      <c r="A70" s="37" t="str">
        <f>IF(B70="","",COUNTA($B$8:B70))</f>
        <v/>
      </c>
      <c r="B70" s="17"/>
      <c r="C70" s="34"/>
      <c r="D70" s="34"/>
      <c r="E70" s="34"/>
      <c r="F70" s="34"/>
      <c r="G70" s="34"/>
      <c r="H70" s="34"/>
      <c r="I70" s="19"/>
      <c r="J70" s="27"/>
      <c r="K70" s="27"/>
      <c r="L70" s="27"/>
      <c r="M70" s="27"/>
      <c r="N70" s="27"/>
      <c r="O70" s="27"/>
      <c r="P70" s="27"/>
      <c r="Q70" s="27"/>
      <c r="R70" s="17"/>
      <c r="S70" s="34"/>
      <c r="T70" s="34"/>
      <c r="U70" s="34"/>
      <c r="V70" s="34"/>
      <c r="W70" s="34"/>
      <c r="X70" s="34"/>
      <c r="Y70" s="589"/>
      <c r="Z70" s="590"/>
      <c r="AA70" s="591"/>
      <c r="AB70" s="592"/>
      <c r="AC70" s="593"/>
      <c r="AD70" s="23"/>
      <c r="AE70" s="25"/>
      <c r="AF70" s="25"/>
      <c r="AG70" s="25"/>
      <c r="AH70" s="25"/>
      <c r="AI70" s="25"/>
      <c r="AJ70" s="25"/>
      <c r="AK70" s="25"/>
      <c r="AL70" s="25"/>
      <c r="AM70" s="25"/>
      <c r="AN70" s="25"/>
      <c r="AO70" s="25"/>
      <c r="AP70" s="25"/>
      <c r="AQ70" s="25"/>
      <c r="AR70" s="25"/>
      <c r="AS70" s="26"/>
      <c r="AT70" s="51"/>
      <c r="AU70" s="51"/>
      <c r="AV70" s="51"/>
      <c r="AW70" s="51"/>
      <c r="AX70" s="51"/>
      <c r="AY70" s="51"/>
      <c r="AZ70" s="51"/>
      <c r="BA70" s="51"/>
      <c r="BB70" s="51"/>
      <c r="BC70" s="51"/>
      <c r="BD70" s="52"/>
    </row>
    <row r="71" spans="1:56" ht="14.4" customHeight="1">
      <c r="A71" s="37" t="str">
        <f>IF(B71="","",COUNTA($B$8:B71))</f>
        <v/>
      </c>
      <c r="B71" s="17"/>
      <c r="C71" s="34"/>
      <c r="D71" s="34"/>
      <c r="E71" s="34"/>
      <c r="F71" s="34"/>
      <c r="G71" s="34"/>
      <c r="H71" s="34"/>
      <c r="I71" s="19"/>
      <c r="J71" s="27"/>
      <c r="K71" s="27"/>
      <c r="L71" s="27"/>
      <c r="M71" s="27"/>
      <c r="N71" s="27"/>
      <c r="O71" s="27"/>
      <c r="P71" s="27"/>
      <c r="Q71" s="27"/>
      <c r="R71" s="17"/>
      <c r="S71" s="34"/>
      <c r="T71" s="34"/>
      <c r="U71" s="34"/>
      <c r="V71" s="34"/>
      <c r="W71" s="34"/>
      <c r="X71" s="34"/>
      <c r="Y71" s="589"/>
      <c r="Z71" s="590"/>
      <c r="AA71" s="591"/>
      <c r="AB71" s="592"/>
      <c r="AC71" s="593"/>
      <c r="AD71" s="23"/>
      <c r="AE71" s="25"/>
      <c r="AF71" s="25"/>
      <c r="AG71" s="25"/>
      <c r="AH71" s="25"/>
      <c r="AI71" s="25"/>
      <c r="AJ71" s="25"/>
      <c r="AK71" s="25"/>
      <c r="AL71" s="25"/>
      <c r="AM71" s="25"/>
      <c r="AN71" s="25"/>
      <c r="AO71" s="25"/>
      <c r="AP71" s="25"/>
      <c r="AQ71" s="25"/>
      <c r="AR71" s="25"/>
      <c r="AS71" s="26"/>
      <c r="AT71" s="51"/>
      <c r="AU71" s="51"/>
      <c r="AV71" s="51"/>
      <c r="AW71" s="51"/>
      <c r="AX71" s="51"/>
      <c r="AY71" s="51"/>
      <c r="AZ71" s="51"/>
      <c r="BA71" s="51"/>
      <c r="BB71" s="51"/>
      <c r="BC71" s="51"/>
      <c r="BD71" s="52"/>
    </row>
    <row r="72" spans="1:56" ht="14.4" customHeight="1">
      <c r="A72" s="37" t="str">
        <f>IF(B72="","",COUNTA($B$8:B72))</f>
        <v/>
      </c>
      <c r="B72" s="17"/>
      <c r="C72" s="34"/>
      <c r="D72" s="34"/>
      <c r="E72" s="34"/>
      <c r="F72" s="34"/>
      <c r="G72" s="34"/>
      <c r="H72" s="34"/>
      <c r="I72" s="19"/>
      <c r="J72" s="27"/>
      <c r="K72" s="27"/>
      <c r="L72" s="27"/>
      <c r="M72" s="27"/>
      <c r="N72" s="27"/>
      <c r="O72" s="27"/>
      <c r="P72" s="27"/>
      <c r="Q72" s="27"/>
      <c r="R72" s="17"/>
      <c r="S72" s="34"/>
      <c r="T72" s="34"/>
      <c r="U72" s="34"/>
      <c r="V72" s="34"/>
      <c r="W72" s="34"/>
      <c r="X72" s="34"/>
      <c r="Y72" s="589"/>
      <c r="Z72" s="590"/>
      <c r="AA72" s="591"/>
      <c r="AB72" s="592"/>
      <c r="AC72" s="593"/>
      <c r="AD72" s="38"/>
      <c r="AE72" s="25"/>
      <c r="AF72" s="25"/>
      <c r="AG72" s="25"/>
      <c r="AH72" s="25"/>
      <c r="AI72" s="25"/>
      <c r="AJ72" s="25"/>
      <c r="AK72" s="25"/>
      <c r="AL72" s="25"/>
      <c r="AM72" s="25"/>
      <c r="AN72" s="25"/>
      <c r="AO72" s="25"/>
      <c r="AP72" s="25"/>
      <c r="AQ72" s="25"/>
      <c r="AR72" s="25"/>
      <c r="AS72" s="26"/>
      <c r="AT72" s="51"/>
      <c r="AU72" s="51"/>
      <c r="AV72" s="51"/>
      <c r="AW72" s="51"/>
      <c r="AX72" s="51"/>
      <c r="AY72" s="51"/>
      <c r="AZ72" s="51"/>
      <c r="BA72" s="51"/>
      <c r="BB72" s="51"/>
      <c r="BC72" s="51"/>
      <c r="BD72" s="52"/>
    </row>
    <row r="73" spans="1:56" ht="14.4" customHeight="1">
      <c r="A73" s="37" t="str">
        <f>IF(B73="","",COUNTA($B$8:B73))</f>
        <v/>
      </c>
      <c r="B73" s="17"/>
      <c r="C73" s="34"/>
      <c r="D73" s="34"/>
      <c r="E73" s="34"/>
      <c r="F73" s="34"/>
      <c r="G73" s="34"/>
      <c r="H73" s="34"/>
      <c r="I73" s="19"/>
      <c r="J73" s="27"/>
      <c r="K73" s="27"/>
      <c r="L73" s="27"/>
      <c r="M73" s="27"/>
      <c r="N73" s="27"/>
      <c r="O73" s="27"/>
      <c r="P73" s="27"/>
      <c r="Q73" s="27"/>
      <c r="R73" s="17"/>
      <c r="S73" s="34"/>
      <c r="T73" s="34"/>
      <c r="U73" s="34"/>
      <c r="V73" s="34"/>
      <c r="W73" s="34"/>
      <c r="X73" s="34"/>
      <c r="Y73" s="589"/>
      <c r="Z73" s="590"/>
      <c r="AA73" s="591"/>
      <c r="AB73" s="592"/>
      <c r="AC73" s="593"/>
      <c r="AD73" s="23"/>
      <c r="AE73" s="25"/>
      <c r="AF73" s="25"/>
      <c r="AG73" s="25"/>
      <c r="AH73" s="25"/>
      <c r="AI73" s="25"/>
      <c r="AJ73" s="25"/>
      <c r="AK73" s="25"/>
      <c r="AL73" s="25"/>
      <c r="AM73" s="25"/>
      <c r="AN73" s="25"/>
      <c r="AO73" s="25"/>
      <c r="AP73" s="25"/>
      <c r="AQ73" s="25"/>
      <c r="AR73" s="25"/>
      <c r="AS73" s="26"/>
      <c r="AT73" s="51"/>
      <c r="AU73" s="51"/>
      <c r="AV73" s="51"/>
      <c r="AW73" s="51"/>
      <c r="AX73" s="51"/>
      <c r="AY73" s="51"/>
      <c r="AZ73" s="51"/>
      <c r="BA73" s="51"/>
      <c r="BB73" s="51"/>
      <c r="BC73" s="51"/>
      <c r="BD73" s="52"/>
    </row>
    <row r="74" spans="1:56" ht="14.4" customHeight="1">
      <c r="A74" s="37" t="str">
        <f>IF(B74="","",COUNTA($B$8:B74))</f>
        <v/>
      </c>
      <c r="B74" s="17"/>
      <c r="C74" s="18"/>
      <c r="D74" s="18"/>
      <c r="E74" s="18"/>
      <c r="F74" s="18"/>
      <c r="G74" s="18"/>
      <c r="H74" s="18"/>
      <c r="I74" s="19"/>
      <c r="J74" s="20"/>
      <c r="K74" s="20"/>
      <c r="L74" s="20"/>
      <c r="M74" s="20"/>
      <c r="N74" s="20"/>
      <c r="O74" s="20"/>
      <c r="P74" s="20"/>
      <c r="Q74" s="20"/>
      <c r="R74" s="17"/>
      <c r="S74" s="18"/>
      <c r="T74" s="18"/>
      <c r="U74" s="18"/>
      <c r="V74" s="18"/>
      <c r="W74" s="18"/>
      <c r="X74" s="18"/>
      <c r="Y74" s="589"/>
      <c r="Z74" s="590"/>
      <c r="AA74" s="591"/>
      <c r="AB74" s="592"/>
      <c r="AC74" s="593"/>
      <c r="AD74" s="38"/>
      <c r="AE74" s="30"/>
      <c r="AF74" s="30"/>
      <c r="AG74" s="30"/>
      <c r="AH74" s="30"/>
      <c r="AI74" s="30"/>
      <c r="AJ74" s="30"/>
      <c r="AK74" s="30"/>
      <c r="AL74" s="30"/>
      <c r="AM74" s="30"/>
      <c r="AN74" s="30"/>
      <c r="AO74" s="31"/>
      <c r="AP74" s="31"/>
      <c r="AQ74" s="31"/>
      <c r="AR74" s="31"/>
      <c r="AS74" s="32"/>
      <c r="AT74" s="33"/>
      <c r="AU74" s="51"/>
      <c r="AV74" s="51"/>
      <c r="AW74" s="51"/>
      <c r="AX74" s="51"/>
      <c r="AY74" s="51"/>
      <c r="AZ74" s="51"/>
      <c r="BA74" s="51"/>
      <c r="BB74" s="51"/>
      <c r="BC74" s="51"/>
      <c r="BD74" s="52"/>
    </row>
    <row r="75" spans="1:56" ht="14.4" customHeight="1">
      <c r="A75" s="37" t="str">
        <f>IF(B75="","",COUNTA($B$8:B75))</f>
        <v/>
      </c>
      <c r="B75" s="17"/>
      <c r="C75" s="18"/>
      <c r="D75" s="18"/>
      <c r="E75" s="18"/>
      <c r="F75" s="18"/>
      <c r="G75" s="18"/>
      <c r="H75" s="18"/>
      <c r="I75" s="19"/>
      <c r="J75" s="20"/>
      <c r="K75" s="20"/>
      <c r="L75" s="20"/>
      <c r="M75" s="20"/>
      <c r="N75" s="20"/>
      <c r="O75" s="20"/>
      <c r="P75" s="20"/>
      <c r="Q75" s="20"/>
      <c r="R75" s="17"/>
      <c r="S75" s="18"/>
      <c r="T75" s="18"/>
      <c r="U75" s="18"/>
      <c r="V75" s="18"/>
      <c r="W75" s="18"/>
      <c r="X75" s="18"/>
      <c r="Y75" s="589"/>
      <c r="Z75" s="590"/>
      <c r="AA75" s="591"/>
      <c r="AB75" s="592"/>
      <c r="AC75" s="593"/>
      <c r="AD75" s="38"/>
      <c r="AE75" s="30"/>
      <c r="AF75" s="30"/>
      <c r="AG75" s="30"/>
      <c r="AH75" s="30"/>
      <c r="AI75" s="30"/>
      <c r="AJ75" s="30"/>
      <c r="AK75" s="30"/>
      <c r="AL75" s="30"/>
      <c r="AM75" s="30"/>
      <c r="AN75" s="30"/>
      <c r="AO75" s="31"/>
      <c r="AP75" s="31"/>
      <c r="AQ75" s="31"/>
      <c r="AR75" s="31"/>
      <c r="AS75" s="32"/>
      <c r="AT75" s="33"/>
      <c r="AU75" s="51"/>
      <c r="AV75" s="51"/>
      <c r="AW75" s="51"/>
      <c r="AX75" s="51"/>
      <c r="AY75" s="51"/>
      <c r="AZ75" s="51"/>
      <c r="BA75" s="51"/>
      <c r="BB75" s="51"/>
      <c r="BC75" s="51"/>
      <c r="BD75" s="52"/>
    </row>
    <row r="76" spans="1:56" ht="14.4" customHeight="1">
      <c r="A76" s="37" t="str">
        <f>IF(B76="","",COUNTA($B$8:B76))</f>
        <v/>
      </c>
      <c r="B76" s="26"/>
      <c r="C76" s="34"/>
      <c r="D76" s="34"/>
      <c r="E76" s="34"/>
      <c r="F76" s="34"/>
      <c r="G76" s="34"/>
      <c r="H76" s="34"/>
      <c r="I76" s="19"/>
      <c r="J76" s="27"/>
      <c r="K76" s="27"/>
      <c r="L76" s="27"/>
      <c r="M76" s="27"/>
      <c r="N76" s="27"/>
      <c r="O76" s="27"/>
      <c r="P76" s="27"/>
      <c r="Q76" s="27"/>
      <c r="R76" s="26"/>
      <c r="S76" s="34"/>
      <c r="T76" s="34"/>
      <c r="U76" s="34"/>
      <c r="V76" s="34"/>
      <c r="W76" s="34"/>
      <c r="X76" s="34"/>
      <c r="Y76" s="589"/>
      <c r="Z76" s="590"/>
      <c r="AA76" s="591"/>
      <c r="AB76" s="592"/>
      <c r="AC76" s="593"/>
      <c r="AD76" s="38"/>
      <c r="AE76" s="25"/>
      <c r="AF76" s="25"/>
      <c r="AG76" s="25"/>
      <c r="AH76" s="25"/>
      <c r="AI76" s="25"/>
      <c r="AJ76" s="25"/>
      <c r="AK76" s="25"/>
      <c r="AL76" s="25"/>
      <c r="AM76" s="25"/>
      <c r="AN76" s="25"/>
      <c r="AO76" s="25"/>
      <c r="AP76" s="25"/>
      <c r="AQ76" s="25"/>
      <c r="AR76" s="25"/>
      <c r="AS76" s="26"/>
      <c r="AT76" s="51"/>
      <c r="AU76" s="51"/>
      <c r="AV76" s="51"/>
      <c r="AW76" s="51"/>
      <c r="AX76" s="51"/>
      <c r="AY76" s="51"/>
      <c r="AZ76" s="51"/>
      <c r="BA76" s="51"/>
      <c r="BB76" s="51"/>
      <c r="BC76" s="51"/>
      <c r="BD76" s="52"/>
    </row>
    <row r="77" spans="1:56" ht="14.4" customHeight="1">
      <c r="A77" s="37" t="str">
        <f>IF(B77="","",COUNTA($B$8:B77))</f>
        <v/>
      </c>
      <c r="B77" s="26"/>
      <c r="C77" s="34"/>
      <c r="D77" s="34"/>
      <c r="E77" s="34"/>
      <c r="F77" s="34"/>
      <c r="G77" s="34"/>
      <c r="H77" s="34"/>
      <c r="I77" s="19"/>
      <c r="J77" s="27"/>
      <c r="K77" s="27"/>
      <c r="L77" s="27"/>
      <c r="M77" s="27"/>
      <c r="N77" s="27"/>
      <c r="O77" s="27"/>
      <c r="P77" s="27"/>
      <c r="Q77" s="27"/>
      <c r="R77" s="26"/>
      <c r="S77" s="34"/>
      <c r="T77" s="34"/>
      <c r="U77" s="34"/>
      <c r="V77" s="34"/>
      <c r="W77" s="34"/>
      <c r="X77" s="34"/>
      <c r="Y77" s="589"/>
      <c r="Z77" s="590"/>
      <c r="AA77" s="591"/>
      <c r="AB77" s="592"/>
      <c r="AC77" s="593"/>
      <c r="AD77" s="38"/>
      <c r="AE77" s="25"/>
      <c r="AF77" s="25"/>
      <c r="AG77" s="25"/>
      <c r="AH77" s="25"/>
      <c r="AI77" s="25"/>
      <c r="AJ77" s="25"/>
      <c r="AK77" s="25"/>
      <c r="AL77" s="25"/>
      <c r="AM77" s="25"/>
      <c r="AN77" s="25"/>
      <c r="AO77" s="25"/>
      <c r="AP77" s="25"/>
      <c r="AQ77" s="25"/>
      <c r="AR77" s="25"/>
      <c r="AS77" s="26"/>
      <c r="AT77" s="51"/>
      <c r="AU77" s="51"/>
      <c r="AV77" s="51"/>
      <c r="AW77" s="51"/>
      <c r="AX77" s="51"/>
      <c r="AY77" s="51"/>
      <c r="AZ77" s="51"/>
      <c r="BA77" s="51"/>
      <c r="BB77" s="51"/>
      <c r="BC77" s="51"/>
      <c r="BD77" s="52"/>
    </row>
    <row r="78" spans="1:56" ht="14.4" customHeight="1">
      <c r="A78" s="37" t="str">
        <f>IF(B78="","",COUNTA($B$8:B78))</f>
        <v/>
      </c>
      <c r="B78" s="26"/>
      <c r="C78" s="34"/>
      <c r="D78" s="34"/>
      <c r="E78" s="34"/>
      <c r="F78" s="34"/>
      <c r="G78" s="34"/>
      <c r="H78" s="34"/>
      <c r="I78" s="19"/>
      <c r="J78" s="27"/>
      <c r="K78" s="27"/>
      <c r="L78" s="27"/>
      <c r="M78" s="27"/>
      <c r="N78" s="27"/>
      <c r="O78" s="27"/>
      <c r="P78" s="27"/>
      <c r="Q78" s="27"/>
      <c r="R78" s="26"/>
      <c r="S78" s="34"/>
      <c r="T78" s="34"/>
      <c r="U78" s="34"/>
      <c r="V78" s="34"/>
      <c r="W78" s="34"/>
      <c r="X78" s="34"/>
      <c r="Y78" s="589"/>
      <c r="Z78" s="590"/>
      <c r="AA78" s="591"/>
      <c r="AB78" s="592"/>
      <c r="AC78" s="593"/>
      <c r="AD78" s="38"/>
      <c r="AE78" s="25"/>
      <c r="AF78" s="25"/>
      <c r="AG78" s="25"/>
      <c r="AH78" s="25"/>
      <c r="AI78" s="25"/>
      <c r="AJ78" s="25"/>
      <c r="AK78" s="25"/>
      <c r="AL78" s="25"/>
      <c r="AM78" s="25"/>
      <c r="AN78" s="25"/>
      <c r="AO78" s="25"/>
      <c r="AP78" s="25"/>
      <c r="AQ78" s="25"/>
      <c r="AR78" s="25"/>
      <c r="AS78" s="26"/>
      <c r="AT78" s="51"/>
      <c r="AU78" s="51"/>
      <c r="AV78" s="51"/>
      <c r="AW78" s="51"/>
      <c r="AX78" s="51"/>
      <c r="AY78" s="51"/>
      <c r="AZ78" s="51"/>
      <c r="BA78" s="51"/>
      <c r="BB78" s="51"/>
      <c r="BC78" s="51"/>
      <c r="BD78" s="52"/>
    </row>
    <row r="79" spans="1:56" ht="14.4" customHeight="1">
      <c r="A79" s="37" t="str">
        <f>IF(B79="","",COUNTA($B$8:B79))</f>
        <v/>
      </c>
      <c r="B79" s="26"/>
      <c r="C79" s="34"/>
      <c r="D79" s="34"/>
      <c r="E79" s="34"/>
      <c r="F79" s="34"/>
      <c r="G79" s="34"/>
      <c r="H79" s="34"/>
      <c r="I79" s="19"/>
      <c r="J79" s="27"/>
      <c r="K79" s="27"/>
      <c r="L79" s="27"/>
      <c r="M79" s="27"/>
      <c r="N79" s="27"/>
      <c r="O79" s="27"/>
      <c r="P79" s="27"/>
      <c r="Q79" s="27"/>
      <c r="R79" s="26"/>
      <c r="S79" s="34"/>
      <c r="T79" s="34"/>
      <c r="U79" s="34"/>
      <c r="V79" s="34"/>
      <c r="W79" s="34"/>
      <c r="X79" s="34"/>
      <c r="Y79" s="589"/>
      <c r="Z79" s="590"/>
      <c r="AA79" s="591"/>
      <c r="AB79" s="592"/>
      <c r="AC79" s="593"/>
      <c r="AD79" s="38"/>
      <c r="AE79" s="25"/>
      <c r="AF79" s="25"/>
      <c r="AG79" s="25"/>
      <c r="AH79" s="25"/>
      <c r="AI79" s="25"/>
      <c r="AJ79" s="25"/>
      <c r="AK79" s="25"/>
      <c r="AL79" s="25"/>
      <c r="AM79" s="25"/>
      <c r="AN79" s="25"/>
      <c r="AO79" s="25"/>
      <c r="AP79" s="25"/>
      <c r="AQ79" s="25"/>
      <c r="AR79" s="25"/>
      <c r="AS79" s="26"/>
      <c r="AT79" s="51"/>
      <c r="AU79" s="51"/>
      <c r="AV79" s="51"/>
      <c r="AW79" s="51"/>
      <c r="AX79" s="51"/>
      <c r="AY79" s="51"/>
      <c r="AZ79" s="51"/>
      <c r="BA79" s="51"/>
      <c r="BB79" s="51"/>
      <c r="BC79" s="51"/>
      <c r="BD79" s="52"/>
    </row>
    <row r="80" spans="1:56" ht="14.4" customHeight="1">
      <c r="A80" s="37" t="str">
        <f>IF(B80="","",COUNTA($B$8:B80))</f>
        <v/>
      </c>
      <c r="B80" s="26"/>
      <c r="C80" s="34"/>
      <c r="D80" s="34"/>
      <c r="E80" s="34"/>
      <c r="F80" s="34"/>
      <c r="G80" s="34"/>
      <c r="H80" s="34"/>
      <c r="I80" s="19"/>
      <c r="J80" s="27"/>
      <c r="K80" s="27"/>
      <c r="L80" s="27"/>
      <c r="M80" s="27"/>
      <c r="N80" s="27"/>
      <c r="O80" s="27"/>
      <c r="P80" s="27"/>
      <c r="Q80" s="27"/>
      <c r="R80" s="26"/>
      <c r="S80" s="34"/>
      <c r="T80" s="34"/>
      <c r="U80" s="34"/>
      <c r="V80" s="34"/>
      <c r="W80" s="34"/>
      <c r="X80" s="34"/>
      <c r="Y80" s="589"/>
      <c r="Z80" s="590"/>
      <c r="AA80" s="591"/>
      <c r="AB80" s="592"/>
      <c r="AC80" s="593"/>
      <c r="AD80" s="38"/>
      <c r="AE80" s="25"/>
      <c r="AF80" s="25"/>
      <c r="AG80" s="25"/>
      <c r="AH80" s="25"/>
      <c r="AI80" s="25"/>
      <c r="AJ80" s="25"/>
      <c r="AK80" s="25"/>
      <c r="AL80" s="25"/>
      <c r="AM80" s="25"/>
      <c r="AN80" s="25"/>
      <c r="AO80" s="25"/>
      <c r="AP80" s="25"/>
      <c r="AQ80" s="25"/>
      <c r="AR80" s="25"/>
      <c r="AS80" s="26"/>
      <c r="AT80" s="51"/>
      <c r="AU80" s="51"/>
      <c r="AV80" s="51"/>
      <c r="AW80" s="51"/>
      <c r="AX80" s="51"/>
      <c r="AY80" s="51"/>
      <c r="AZ80" s="51"/>
      <c r="BA80" s="51"/>
      <c r="BB80" s="51"/>
      <c r="BC80" s="51"/>
      <c r="BD80" s="52"/>
    </row>
    <row r="81" spans="1:56" ht="14.4" customHeight="1">
      <c r="A81" s="37" t="str">
        <f>IF(B81="","",COUNTA($B$8:B81))</f>
        <v/>
      </c>
      <c r="B81" s="26"/>
      <c r="C81" s="34"/>
      <c r="D81" s="34"/>
      <c r="E81" s="34"/>
      <c r="F81" s="34"/>
      <c r="G81" s="34"/>
      <c r="H81" s="34"/>
      <c r="I81" s="19"/>
      <c r="J81" s="27"/>
      <c r="K81" s="27"/>
      <c r="L81" s="27"/>
      <c r="M81" s="27"/>
      <c r="N81" s="27"/>
      <c r="O81" s="27"/>
      <c r="P81" s="27"/>
      <c r="Q81" s="27"/>
      <c r="R81" s="26"/>
      <c r="S81" s="34"/>
      <c r="T81" s="34"/>
      <c r="U81" s="34"/>
      <c r="V81" s="34"/>
      <c r="W81" s="34"/>
      <c r="X81" s="34"/>
      <c r="Y81" s="589"/>
      <c r="Z81" s="590"/>
      <c r="AA81" s="591"/>
      <c r="AB81" s="592"/>
      <c r="AC81" s="593"/>
      <c r="AD81" s="38"/>
      <c r="AE81" s="25"/>
      <c r="AF81" s="25"/>
      <c r="AG81" s="25"/>
      <c r="AH81" s="25"/>
      <c r="AI81" s="25"/>
      <c r="AJ81" s="25"/>
      <c r="AK81" s="25"/>
      <c r="AL81" s="25"/>
      <c r="AM81" s="25"/>
      <c r="AN81" s="25"/>
      <c r="AO81" s="25"/>
      <c r="AP81" s="25"/>
      <c r="AQ81" s="25"/>
      <c r="AR81" s="25"/>
      <c r="AS81" s="26"/>
      <c r="AT81" s="51"/>
      <c r="AU81" s="51"/>
      <c r="AV81" s="51"/>
      <c r="AW81" s="51"/>
      <c r="AX81" s="51"/>
      <c r="AY81" s="51"/>
      <c r="AZ81" s="51"/>
      <c r="BA81" s="51"/>
      <c r="BB81" s="51"/>
      <c r="BC81" s="51"/>
      <c r="BD81" s="52"/>
    </row>
    <row r="82" spans="1:56" ht="14.4" customHeight="1">
      <c r="A82" s="37" t="str">
        <f>IF(B82="","",COUNTA($B$8:B82))</f>
        <v/>
      </c>
      <c r="B82" s="26"/>
      <c r="C82" s="34"/>
      <c r="D82" s="34"/>
      <c r="E82" s="34"/>
      <c r="F82" s="34"/>
      <c r="G82" s="34"/>
      <c r="H82" s="34"/>
      <c r="I82" s="19"/>
      <c r="J82" s="27"/>
      <c r="K82" s="27"/>
      <c r="L82" s="27"/>
      <c r="M82" s="27"/>
      <c r="N82" s="27"/>
      <c r="O82" s="27"/>
      <c r="P82" s="27"/>
      <c r="Q82" s="27"/>
      <c r="R82" s="26"/>
      <c r="S82" s="34"/>
      <c r="T82" s="34"/>
      <c r="U82" s="34"/>
      <c r="V82" s="34"/>
      <c r="W82" s="34"/>
      <c r="X82" s="34"/>
      <c r="Y82" s="589"/>
      <c r="Z82" s="590"/>
      <c r="AA82" s="591"/>
      <c r="AB82" s="592"/>
      <c r="AC82" s="593"/>
      <c r="AD82" s="38"/>
      <c r="AE82" s="25"/>
      <c r="AF82" s="25"/>
      <c r="AG82" s="25"/>
      <c r="AH82" s="25"/>
      <c r="AI82" s="25"/>
      <c r="AJ82" s="25"/>
      <c r="AK82" s="25"/>
      <c r="AL82" s="25"/>
      <c r="AM82" s="25"/>
      <c r="AN82" s="25"/>
      <c r="AO82" s="25"/>
      <c r="AP82" s="25"/>
      <c r="AQ82" s="25"/>
      <c r="AR82" s="25"/>
      <c r="AS82" s="26"/>
      <c r="AT82" s="51"/>
      <c r="AU82" s="51"/>
      <c r="AV82" s="51"/>
      <c r="AW82" s="51"/>
      <c r="AX82" s="51"/>
      <c r="AY82" s="51"/>
      <c r="AZ82" s="51"/>
      <c r="BA82" s="51"/>
      <c r="BB82" s="51"/>
      <c r="BC82" s="51"/>
      <c r="BD82" s="52"/>
    </row>
    <row r="83" spans="1:56" ht="14.4" customHeight="1">
      <c r="A83" s="37" t="str">
        <f>IF(B83="","",COUNTA($B$8:B83))</f>
        <v/>
      </c>
      <c r="B83" s="26"/>
      <c r="C83" s="34"/>
      <c r="D83" s="34"/>
      <c r="E83" s="34"/>
      <c r="F83" s="34"/>
      <c r="G83" s="34"/>
      <c r="H83" s="34"/>
      <c r="I83" s="19"/>
      <c r="J83" s="27"/>
      <c r="K83" s="27"/>
      <c r="L83" s="27"/>
      <c r="M83" s="27"/>
      <c r="N83" s="27"/>
      <c r="O83" s="27"/>
      <c r="P83" s="27"/>
      <c r="Q83" s="27"/>
      <c r="R83" s="26"/>
      <c r="S83" s="34"/>
      <c r="T83" s="34"/>
      <c r="U83" s="34"/>
      <c r="V83" s="34"/>
      <c r="W83" s="34"/>
      <c r="X83" s="34"/>
      <c r="Y83" s="589"/>
      <c r="Z83" s="590"/>
      <c r="AA83" s="591"/>
      <c r="AB83" s="592"/>
      <c r="AC83" s="593"/>
      <c r="AD83" s="38"/>
      <c r="AE83" s="25"/>
      <c r="AF83" s="25"/>
      <c r="AG83" s="25"/>
      <c r="AH83" s="25"/>
      <c r="AI83" s="25"/>
      <c r="AJ83" s="25"/>
      <c r="AK83" s="25"/>
      <c r="AL83" s="25"/>
      <c r="AM83" s="25"/>
      <c r="AN83" s="25"/>
      <c r="AO83" s="25"/>
      <c r="AP83" s="25"/>
      <c r="AQ83" s="25"/>
      <c r="AR83" s="25"/>
      <c r="AS83" s="26"/>
      <c r="AT83" s="51"/>
      <c r="AU83" s="51"/>
      <c r="AV83" s="51"/>
      <c r="AW83" s="51"/>
      <c r="AX83" s="51"/>
      <c r="AY83" s="51"/>
      <c r="AZ83" s="51"/>
      <c r="BA83" s="51"/>
      <c r="BB83" s="51"/>
      <c r="BC83" s="51"/>
      <c r="BD83" s="52"/>
    </row>
    <row r="84" spans="1:56" ht="14.4" customHeight="1">
      <c r="A84" s="37" t="str">
        <f>IF(B84="","",COUNTA($B$8:B84))</f>
        <v/>
      </c>
      <c r="B84" s="26"/>
      <c r="C84" s="34"/>
      <c r="D84" s="34"/>
      <c r="E84" s="34"/>
      <c r="F84" s="34"/>
      <c r="G84" s="34"/>
      <c r="H84" s="34"/>
      <c r="I84" s="19"/>
      <c r="J84" s="27"/>
      <c r="K84" s="27"/>
      <c r="L84" s="27"/>
      <c r="M84" s="27"/>
      <c r="N84" s="27"/>
      <c r="O84" s="27"/>
      <c r="P84" s="27"/>
      <c r="Q84" s="27"/>
      <c r="R84" s="26"/>
      <c r="S84" s="34"/>
      <c r="T84" s="34"/>
      <c r="U84" s="34"/>
      <c r="V84" s="34"/>
      <c r="W84" s="34"/>
      <c r="X84" s="34"/>
      <c r="Y84" s="589"/>
      <c r="Z84" s="590"/>
      <c r="AA84" s="591"/>
      <c r="AB84" s="592"/>
      <c r="AC84" s="593"/>
      <c r="AD84" s="38"/>
      <c r="AE84" s="25"/>
      <c r="AF84" s="25"/>
      <c r="AG84" s="25"/>
      <c r="AH84" s="25"/>
      <c r="AI84" s="25"/>
      <c r="AJ84" s="25"/>
      <c r="AK84" s="25"/>
      <c r="AL84" s="25"/>
      <c r="AM84" s="25"/>
      <c r="AN84" s="25"/>
      <c r="AO84" s="25"/>
      <c r="AP84" s="25"/>
      <c r="AQ84" s="25"/>
      <c r="AR84" s="25"/>
      <c r="AS84" s="26"/>
      <c r="AT84" s="51"/>
      <c r="AU84" s="51"/>
      <c r="AV84" s="51"/>
      <c r="AW84" s="51"/>
      <c r="AX84" s="51"/>
      <c r="AY84" s="51"/>
      <c r="AZ84" s="51"/>
      <c r="BA84" s="51"/>
      <c r="BB84" s="51"/>
      <c r="BC84" s="51"/>
      <c r="BD84" s="52"/>
    </row>
    <row r="85" spans="1:56" ht="14.4" customHeight="1">
      <c r="A85" s="37" t="str">
        <f>IF(B85="","",COUNTA($B$8:B85))</f>
        <v/>
      </c>
      <c r="B85" s="26"/>
      <c r="C85" s="34"/>
      <c r="D85" s="34"/>
      <c r="E85" s="34"/>
      <c r="F85" s="34"/>
      <c r="G85" s="34"/>
      <c r="H85" s="34"/>
      <c r="I85" s="19"/>
      <c r="J85" s="27"/>
      <c r="K85" s="27"/>
      <c r="L85" s="27"/>
      <c r="M85" s="27"/>
      <c r="N85" s="27"/>
      <c r="O85" s="27"/>
      <c r="P85" s="27"/>
      <c r="Q85" s="27"/>
      <c r="R85" s="26"/>
      <c r="S85" s="34"/>
      <c r="T85" s="34"/>
      <c r="U85" s="34"/>
      <c r="V85" s="34"/>
      <c r="W85" s="34"/>
      <c r="X85" s="34"/>
      <c r="Y85" s="589"/>
      <c r="Z85" s="590"/>
      <c r="AA85" s="591"/>
      <c r="AB85" s="592"/>
      <c r="AC85" s="593"/>
      <c r="AD85" s="38"/>
      <c r="AE85" s="25"/>
      <c r="AF85" s="25"/>
      <c r="AG85" s="25"/>
      <c r="AH85" s="25"/>
      <c r="AI85" s="25"/>
      <c r="AJ85" s="25"/>
      <c r="AK85" s="25"/>
      <c r="AL85" s="25"/>
      <c r="AM85" s="25"/>
      <c r="AN85" s="25"/>
      <c r="AO85" s="25"/>
      <c r="AP85" s="25"/>
      <c r="AQ85" s="25"/>
      <c r="AR85" s="25"/>
      <c r="AS85" s="26"/>
      <c r="AT85" s="51"/>
      <c r="AU85" s="51"/>
      <c r="AV85" s="51"/>
      <c r="AW85" s="51"/>
      <c r="AX85" s="51"/>
      <c r="AY85" s="51"/>
      <c r="AZ85" s="51"/>
      <c r="BA85" s="51"/>
      <c r="BB85" s="51"/>
      <c r="BC85" s="51"/>
      <c r="BD85" s="52"/>
    </row>
  </sheetData>
  <mergeCells count="180">
    <mergeCell ref="A6:A7"/>
    <mergeCell ref="B6:H7"/>
    <mergeCell ref="I6:Q7"/>
    <mergeCell ref="R6:X7"/>
    <mergeCell ref="R2:X4"/>
    <mergeCell ref="AZ4:BD4"/>
    <mergeCell ref="AP4:AT4"/>
    <mergeCell ref="AU4:AY4"/>
    <mergeCell ref="A1:H4"/>
    <mergeCell ref="I1:Q1"/>
    <mergeCell ref="R1:X1"/>
    <mergeCell ref="Y1:AO1"/>
    <mergeCell ref="AP1:AT1"/>
    <mergeCell ref="AU1:AY1"/>
    <mergeCell ref="AU3:AY3"/>
    <mergeCell ref="AZ3:BD3"/>
    <mergeCell ref="AA8:AC8"/>
    <mergeCell ref="Y10:Z10"/>
    <mergeCell ref="AA10:AC10"/>
    <mergeCell ref="Y9:Z9"/>
    <mergeCell ref="AA9:AC9"/>
    <mergeCell ref="AG6:AG7"/>
    <mergeCell ref="AZ1:BD1"/>
    <mergeCell ref="I2:Q4"/>
    <mergeCell ref="AH6:AH7"/>
    <mergeCell ref="AI6:AR6"/>
    <mergeCell ref="AS6:BD7"/>
    <mergeCell ref="AA6:AC7"/>
    <mergeCell ref="AD6:AD7"/>
    <mergeCell ref="AE6:AE7"/>
    <mergeCell ref="AF6:AF7"/>
    <mergeCell ref="Y6:Z7"/>
    <mergeCell ref="Y2:AO3"/>
    <mergeCell ref="AP2:AT2"/>
    <mergeCell ref="AZ2:BD2"/>
    <mergeCell ref="AP3:AT3"/>
    <mergeCell ref="Y4:AO4"/>
    <mergeCell ref="Y14:Z14"/>
    <mergeCell ref="AA14:AC14"/>
    <mergeCell ref="Y15:Z15"/>
    <mergeCell ref="AA15:AC15"/>
    <mergeCell ref="Y16:Z16"/>
    <mergeCell ref="AA16:AC16"/>
    <mergeCell ref="Y11:Z11"/>
    <mergeCell ref="AA11:AC11"/>
    <mergeCell ref="Y12:Z12"/>
    <mergeCell ref="AA12:AC12"/>
    <mergeCell ref="Y13:Z13"/>
    <mergeCell ref="AA13:AC13"/>
    <mergeCell ref="Y20:Z20"/>
    <mergeCell ref="AA20:AC20"/>
    <mergeCell ref="Y21:Z21"/>
    <mergeCell ref="AA21:AC21"/>
    <mergeCell ref="Y22:Z22"/>
    <mergeCell ref="AA22:AC22"/>
    <mergeCell ref="Y17:Z17"/>
    <mergeCell ref="AA17:AC17"/>
    <mergeCell ref="Y18:Z18"/>
    <mergeCell ref="AA18:AC18"/>
    <mergeCell ref="Y19:Z19"/>
    <mergeCell ref="AA19:AC19"/>
    <mergeCell ref="Y27:Z27"/>
    <mergeCell ref="AA27:AC27"/>
    <mergeCell ref="Y28:Z28"/>
    <mergeCell ref="AA28:AC28"/>
    <mergeCell ref="AA23:AC23"/>
    <mergeCell ref="AA24:AC24"/>
    <mergeCell ref="Y25:Z25"/>
    <mergeCell ref="AA25:AC25"/>
    <mergeCell ref="Y26:Z26"/>
    <mergeCell ref="AA26:AC26"/>
    <mergeCell ref="Y32:Z32"/>
    <mergeCell ref="AA32:AC32"/>
    <mergeCell ref="Y33:Z33"/>
    <mergeCell ref="AA33:AC33"/>
    <mergeCell ref="Y34:Z34"/>
    <mergeCell ref="AA34:AC34"/>
    <mergeCell ref="Y31:Z31"/>
    <mergeCell ref="AA31:AC31"/>
    <mergeCell ref="Y29:Z29"/>
    <mergeCell ref="AA29:AC29"/>
    <mergeCell ref="Y30:Z30"/>
    <mergeCell ref="AA30:AC30"/>
    <mergeCell ref="Y38:Z38"/>
    <mergeCell ref="AA38:AC38"/>
    <mergeCell ref="Y39:Z39"/>
    <mergeCell ref="AA39:AC39"/>
    <mergeCell ref="Y40:Z40"/>
    <mergeCell ref="AA40:AC40"/>
    <mergeCell ref="Y35:Z35"/>
    <mergeCell ref="AA35:AC35"/>
    <mergeCell ref="Y36:Z36"/>
    <mergeCell ref="AA36:AC36"/>
    <mergeCell ref="Y37:Z37"/>
    <mergeCell ref="AA37:AC37"/>
    <mergeCell ref="AA44:AC44"/>
    <mergeCell ref="AA45:AC45"/>
    <mergeCell ref="Y46:Z46"/>
    <mergeCell ref="AA46:AC46"/>
    <mergeCell ref="Y47:Z47"/>
    <mergeCell ref="AA47:AC47"/>
    <mergeCell ref="Y41:Z41"/>
    <mergeCell ref="AA41:AC41"/>
    <mergeCell ref="Y42:Z42"/>
    <mergeCell ref="AA42:AC42"/>
    <mergeCell ref="Y43:Z43"/>
    <mergeCell ref="AA43:AC43"/>
    <mergeCell ref="Y51:Z51"/>
    <mergeCell ref="AA51:AC51"/>
    <mergeCell ref="Y52:Z52"/>
    <mergeCell ref="AA52:AC52"/>
    <mergeCell ref="AA53:AC53"/>
    <mergeCell ref="Y48:Z48"/>
    <mergeCell ref="AA48:AC48"/>
    <mergeCell ref="Y49:Z49"/>
    <mergeCell ref="AA49:AC49"/>
    <mergeCell ref="Y50:Z50"/>
    <mergeCell ref="AA50:AC50"/>
    <mergeCell ref="Y57:Z57"/>
    <mergeCell ref="AA57:AC57"/>
    <mergeCell ref="Y58:Z58"/>
    <mergeCell ref="AA58:AC58"/>
    <mergeCell ref="Y59:Z59"/>
    <mergeCell ref="AA59:AC59"/>
    <mergeCell ref="Y54:Z54"/>
    <mergeCell ref="AA54:AC54"/>
    <mergeCell ref="Y55:Z55"/>
    <mergeCell ref="AA55:AC55"/>
    <mergeCell ref="Y56:Z56"/>
    <mergeCell ref="AA56:AC56"/>
    <mergeCell ref="Y63:Z63"/>
    <mergeCell ref="AA63:AC63"/>
    <mergeCell ref="Y64:Z64"/>
    <mergeCell ref="AA64:AC64"/>
    <mergeCell ref="Y65:Z65"/>
    <mergeCell ref="AA65:AC65"/>
    <mergeCell ref="Y60:Z60"/>
    <mergeCell ref="AA60:AC60"/>
    <mergeCell ref="Y61:Z61"/>
    <mergeCell ref="AA61:AC61"/>
    <mergeCell ref="Y62:Z62"/>
    <mergeCell ref="AA62:AC62"/>
    <mergeCell ref="AA69:AC69"/>
    <mergeCell ref="Y70:Z70"/>
    <mergeCell ref="AA70:AC70"/>
    <mergeCell ref="Y71:Z71"/>
    <mergeCell ref="AA71:AC71"/>
    <mergeCell ref="Y66:Z66"/>
    <mergeCell ref="AA66:AC66"/>
    <mergeCell ref="Y67:Z67"/>
    <mergeCell ref="AA67:AC67"/>
    <mergeCell ref="AA68:AC68"/>
    <mergeCell ref="Y75:Z75"/>
    <mergeCell ref="AA75:AC75"/>
    <mergeCell ref="Y76:Z76"/>
    <mergeCell ref="AA76:AC76"/>
    <mergeCell ref="Y72:Z72"/>
    <mergeCell ref="AA72:AC72"/>
    <mergeCell ref="Y73:Z73"/>
    <mergeCell ref="AA73:AC73"/>
    <mergeCell ref="Y74:Z74"/>
    <mergeCell ref="AA74:AC74"/>
    <mergeCell ref="Y82:Z82"/>
    <mergeCell ref="AA82:AC82"/>
    <mergeCell ref="Y83:Z83"/>
    <mergeCell ref="AA83:AC83"/>
    <mergeCell ref="Y84:Z84"/>
    <mergeCell ref="AA84:AC84"/>
    <mergeCell ref="Y85:Z85"/>
    <mergeCell ref="AA85:AC85"/>
    <mergeCell ref="Y77:Z77"/>
    <mergeCell ref="AA77:AC77"/>
    <mergeCell ref="Y78:Z78"/>
    <mergeCell ref="AA78:AC78"/>
    <mergeCell ref="Y79:Z79"/>
    <mergeCell ref="AA79:AC79"/>
    <mergeCell ref="Y80:Z80"/>
    <mergeCell ref="AA80:AC80"/>
    <mergeCell ref="Y81:Z81"/>
    <mergeCell ref="AA81:AC81"/>
  </mergeCells>
  <phoneticPr fontId="12"/>
  <dataValidations count="3">
    <dataValidation imeMode="hiragana" allowBlank="1" showInputMessage="1" showErrorMessage="1" sqref="JG65503:JR65505 TC65503:TN65505 ACY65503:ADJ65505 AMU65503:ANF65505 AWQ65503:AXB65505 BGM65503:BGX65505 BQI65503:BQT65505 CAE65503:CAP65505 CKA65503:CKL65505 CTW65503:CUH65505 DDS65503:DED65505 DNO65503:DNZ65505 DXK65503:DXV65505 EHG65503:EHR65505 ERC65503:ERN65505 FAY65503:FBJ65505 FKU65503:FLF65505 FUQ65503:FVB65505 GEM65503:GEX65505 GOI65503:GOT65505 GYE65503:GYP65505 HIA65503:HIL65505 HRW65503:HSH65505 IBS65503:ICD65505 ILO65503:ILZ65505 IVK65503:IVV65505 JFG65503:JFR65505 JPC65503:JPN65505 JYY65503:JZJ65505 KIU65503:KJF65505 KSQ65503:KTB65505 LCM65503:LCX65505 LMI65503:LMT65505 LWE65503:LWP65505 MGA65503:MGL65505 MPW65503:MQH65505 MZS65503:NAD65505 NJO65503:NJZ65505 NTK65503:NTV65505 ODG65503:ODR65505 ONC65503:ONN65505 OWY65503:OXJ65505 PGU65503:PHF65505 PQQ65503:PRB65505 QAM65503:QAX65505 QKI65503:QKT65505 QUE65503:QUP65505 REA65503:REL65505 RNW65503:ROH65505 RXS65503:RYD65505 SHO65503:SHZ65505 SRK65503:SRV65505 TBG65503:TBR65505 TLC65503:TLN65505 TUY65503:TVJ65505 UEU65503:UFF65505 UOQ65503:UPB65505 UYM65503:UYX65505 VII65503:VIT65505 VSE65503:VSP65505 WCA65503:WCL65505 WLW65503:WMH65505 WVS65503:WWD65505 JG131039:JR131041 TC131039:TN131041 ACY131039:ADJ131041 AMU131039:ANF131041 AWQ131039:AXB131041 BGM131039:BGX131041 BQI131039:BQT131041 CAE131039:CAP131041 CKA131039:CKL131041 CTW131039:CUH131041 DDS131039:DED131041 DNO131039:DNZ131041 DXK131039:DXV131041 EHG131039:EHR131041 ERC131039:ERN131041 FAY131039:FBJ131041 FKU131039:FLF131041 FUQ131039:FVB131041 GEM131039:GEX131041 GOI131039:GOT131041 GYE131039:GYP131041 HIA131039:HIL131041 HRW131039:HSH131041 IBS131039:ICD131041 ILO131039:ILZ131041 IVK131039:IVV131041 JFG131039:JFR131041 JPC131039:JPN131041 JYY131039:JZJ131041 KIU131039:KJF131041 KSQ131039:KTB131041 LCM131039:LCX131041 LMI131039:LMT131041 LWE131039:LWP131041 MGA131039:MGL131041 MPW131039:MQH131041 MZS131039:NAD131041 NJO131039:NJZ131041 NTK131039:NTV131041 ODG131039:ODR131041 ONC131039:ONN131041 OWY131039:OXJ131041 PGU131039:PHF131041 PQQ131039:PRB131041 QAM131039:QAX131041 QKI131039:QKT131041 QUE131039:QUP131041 REA131039:REL131041 RNW131039:ROH131041 RXS131039:RYD131041 SHO131039:SHZ131041 SRK131039:SRV131041 TBG131039:TBR131041 TLC131039:TLN131041 TUY131039:TVJ131041 UEU131039:UFF131041 UOQ131039:UPB131041 UYM131039:UYX131041 VII131039:VIT131041 VSE131039:VSP131041 WCA131039:WCL131041 WLW131039:WMH131041 WVS131039:WWD131041 JG196575:JR196577 TC196575:TN196577 ACY196575:ADJ196577 AMU196575:ANF196577 AWQ196575:AXB196577 BGM196575:BGX196577 BQI196575:BQT196577 CAE196575:CAP196577 CKA196575:CKL196577 CTW196575:CUH196577 DDS196575:DED196577 DNO196575:DNZ196577 DXK196575:DXV196577 EHG196575:EHR196577 ERC196575:ERN196577 FAY196575:FBJ196577 FKU196575:FLF196577 FUQ196575:FVB196577 GEM196575:GEX196577 GOI196575:GOT196577 GYE196575:GYP196577 HIA196575:HIL196577 HRW196575:HSH196577 IBS196575:ICD196577 ILO196575:ILZ196577 IVK196575:IVV196577 JFG196575:JFR196577 JPC196575:JPN196577 JYY196575:JZJ196577 KIU196575:KJF196577 KSQ196575:KTB196577 LCM196575:LCX196577 LMI196575:LMT196577 LWE196575:LWP196577 MGA196575:MGL196577 MPW196575:MQH196577 MZS196575:NAD196577 NJO196575:NJZ196577 NTK196575:NTV196577 ODG196575:ODR196577 ONC196575:ONN196577 OWY196575:OXJ196577 PGU196575:PHF196577 PQQ196575:PRB196577 QAM196575:QAX196577 QKI196575:QKT196577 QUE196575:QUP196577 REA196575:REL196577 RNW196575:ROH196577 RXS196575:RYD196577 SHO196575:SHZ196577 SRK196575:SRV196577 TBG196575:TBR196577 TLC196575:TLN196577 TUY196575:TVJ196577 UEU196575:UFF196577 UOQ196575:UPB196577 UYM196575:UYX196577 VII196575:VIT196577 VSE196575:VSP196577 WCA196575:WCL196577 WLW196575:WMH196577 WVS196575:WWD196577 JG262111:JR262113 TC262111:TN262113 ACY262111:ADJ262113 AMU262111:ANF262113 AWQ262111:AXB262113 BGM262111:BGX262113 BQI262111:BQT262113 CAE262111:CAP262113 CKA262111:CKL262113 CTW262111:CUH262113 DDS262111:DED262113 DNO262111:DNZ262113 DXK262111:DXV262113 EHG262111:EHR262113 ERC262111:ERN262113 FAY262111:FBJ262113 FKU262111:FLF262113 FUQ262111:FVB262113 GEM262111:GEX262113 GOI262111:GOT262113 GYE262111:GYP262113 HIA262111:HIL262113 HRW262111:HSH262113 IBS262111:ICD262113 ILO262111:ILZ262113 IVK262111:IVV262113 JFG262111:JFR262113 JPC262111:JPN262113 JYY262111:JZJ262113 KIU262111:KJF262113 KSQ262111:KTB262113 LCM262111:LCX262113 LMI262111:LMT262113 LWE262111:LWP262113 MGA262111:MGL262113 MPW262111:MQH262113 MZS262111:NAD262113 NJO262111:NJZ262113 NTK262111:NTV262113 ODG262111:ODR262113 ONC262111:ONN262113 OWY262111:OXJ262113 PGU262111:PHF262113 PQQ262111:PRB262113 QAM262111:QAX262113 QKI262111:QKT262113 QUE262111:QUP262113 REA262111:REL262113 RNW262111:ROH262113 RXS262111:RYD262113 SHO262111:SHZ262113 SRK262111:SRV262113 TBG262111:TBR262113 TLC262111:TLN262113 TUY262111:TVJ262113 UEU262111:UFF262113 UOQ262111:UPB262113 UYM262111:UYX262113 VII262111:VIT262113 VSE262111:VSP262113 WCA262111:WCL262113 WLW262111:WMH262113 WVS262111:WWD262113 JG327647:JR327649 TC327647:TN327649 ACY327647:ADJ327649 AMU327647:ANF327649 AWQ327647:AXB327649 BGM327647:BGX327649 BQI327647:BQT327649 CAE327647:CAP327649 CKA327647:CKL327649 CTW327647:CUH327649 DDS327647:DED327649 DNO327647:DNZ327649 DXK327647:DXV327649 EHG327647:EHR327649 ERC327647:ERN327649 FAY327647:FBJ327649 FKU327647:FLF327649 FUQ327647:FVB327649 GEM327647:GEX327649 GOI327647:GOT327649 GYE327647:GYP327649 HIA327647:HIL327649 HRW327647:HSH327649 IBS327647:ICD327649 ILO327647:ILZ327649 IVK327647:IVV327649 JFG327647:JFR327649 JPC327647:JPN327649 JYY327647:JZJ327649 KIU327647:KJF327649 KSQ327647:KTB327649 LCM327647:LCX327649 LMI327647:LMT327649 LWE327647:LWP327649 MGA327647:MGL327649 MPW327647:MQH327649 MZS327647:NAD327649 NJO327647:NJZ327649 NTK327647:NTV327649 ODG327647:ODR327649 ONC327647:ONN327649 OWY327647:OXJ327649 PGU327647:PHF327649 PQQ327647:PRB327649 QAM327647:QAX327649 QKI327647:QKT327649 QUE327647:QUP327649 REA327647:REL327649 RNW327647:ROH327649 RXS327647:RYD327649 SHO327647:SHZ327649 SRK327647:SRV327649 TBG327647:TBR327649 TLC327647:TLN327649 TUY327647:TVJ327649 UEU327647:UFF327649 UOQ327647:UPB327649 UYM327647:UYX327649 VII327647:VIT327649 VSE327647:VSP327649 WCA327647:WCL327649 WLW327647:WMH327649 WVS327647:WWD327649 JG393183:JR393185 TC393183:TN393185 ACY393183:ADJ393185 AMU393183:ANF393185 AWQ393183:AXB393185 BGM393183:BGX393185 BQI393183:BQT393185 CAE393183:CAP393185 CKA393183:CKL393185 CTW393183:CUH393185 DDS393183:DED393185 DNO393183:DNZ393185 DXK393183:DXV393185 EHG393183:EHR393185 ERC393183:ERN393185 FAY393183:FBJ393185 FKU393183:FLF393185 FUQ393183:FVB393185 GEM393183:GEX393185 GOI393183:GOT393185 GYE393183:GYP393185 HIA393183:HIL393185 HRW393183:HSH393185 IBS393183:ICD393185 ILO393183:ILZ393185 IVK393183:IVV393185 JFG393183:JFR393185 JPC393183:JPN393185 JYY393183:JZJ393185 KIU393183:KJF393185 KSQ393183:KTB393185 LCM393183:LCX393185 LMI393183:LMT393185 LWE393183:LWP393185 MGA393183:MGL393185 MPW393183:MQH393185 MZS393183:NAD393185 NJO393183:NJZ393185 NTK393183:NTV393185 ODG393183:ODR393185 ONC393183:ONN393185 OWY393183:OXJ393185 PGU393183:PHF393185 PQQ393183:PRB393185 QAM393183:QAX393185 QKI393183:QKT393185 QUE393183:QUP393185 REA393183:REL393185 RNW393183:ROH393185 RXS393183:RYD393185 SHO393183:SHZ393185 SRK393183:SRV393185 TBG393183:TBR393185 TLC393183:TLN393185 TUY393183:TVJ393185 UEU393183:UFF393185 UOQ393183:UPB393185 UYM393183:UYX393185 VII393183:VIT393185 VSE393183:VSP393185 WCA393183:WCL393185 WLW393183:WMH393185 WVS393183:WWD393185 JG458719:JR458721 TC458719:TN458721 ACY458719:ADJ458721 AMU458719:ANF458721 AWQ458719:AXB458721 BGM458719:BGX458721 BQI458719:BQT458721 CAE458719:CAP458721 CKA458719:CKL458721 CTW458719:CUH458721 DDS458719:DED458721 DNO458719:DNZ458721 DXK458719:DXV458721 EHG458719:EHR458721 ERC458719:ERN458721 FAY458719:FBJ458721 FKU458719:FLF458721 FUQ458719:FVB458721 GEM458719:GEX458721 GOI458719:GOT458721 GYE458719:GYP458721 HIA458719:HIL458721 HRW458719:HSH458721 IBS458719:ICD458721 ILO458719:ILZ458721 IVK458719:IVV458721 JFG458719:JFR458721 JPC458719:JPN458721 JYY458719:JZJ458721 KIU458719:KJF458721 KSQ458719:KTB458721 LCM458719:LCX458721 LMI458719:LMT458721 LWE458719:LWP458721 MGA458719:MGL458721 MPW458719:MQH458721 MZS458719:NAD458721 NJO458719:NJZ458721 NTK458719:NTV458721 ODG458719:ODR458721 ONC458719:ONN458721 OWY458719:OXJ458721 PGU458719:PHF458721 PQQ458719:PRB458721 QAM458719:QAX458721 QKI458719:QKT458721 QUE458719:QUP458721 REA458719:REL458721 RNW458719:ROH458721 RXS458719:RYD458721 SHO458719:SHZ458721 SRK458719:SRV458721 TBG458719:TBR458721 TLC458719:TLN458721 TUY458719:TVJ458721 UEU458719:UFF458721 UOQ458719:UPB458721 UYM458719:UYX458721 VII458719:VIT458721 VSE458719:VSP458721 WCA458719:WCL458721 WLW458719:WMH458721 WVS458719:WWD458721 JG524255:JR524257 TC524255:TN524257 ACY524255:ADJ524257 AMU524255:ANF524257 AWQ524255:AXB524257 BGM524255:BGX524257 BQI524255:BQT524257 CAE524255:CAP524257 CKA524255:CKL524257 CTW524255:CUH524257 DDS524255:DED524257 DNO524255:DNZ524257 DXK524255:DXV524257 EHG524255:EHR524257 ERC524255:ERN524257 FAY524255:FBJ524257 FKU524255:FLF524257 FUQ524255:FVB524257 GEM524255:GEX524257 GOI524255:GOT524257 GYE524255:GYP524257 HIA524255:HIL524257 HRW524255:HSH524257 IBS524255:ICD524257 ILO524255:ILZ524257 IVK524255:IVV524257 JFG524255:JFR524257 JPC524255:JPN524257 JYY524255:JZJ524257 KIU524255:KJF524257 KSQ524255:KTB524257 LCM524255:LCX524257 LMI524255:LMT524257 LWE524255:LWP524257 MGA524255:MGL524257 MPW524255:MQH524257 MZS524255:NAD524257 NJO524255:NJZ524257 NTK524255:NTV524257 ODG524255:ODR524257 ONC524255:ONN524257 OWY524255:OXJ524257 PGU524255:PHF524257 PQQ524255:PRB524257 QAM524255:QAX524257 QKI524255:QKT524257 QUE524255:QUP524257 REA524255:REL524257 RNW524255:ROH524257 RXS524255:RYD524257 SHO524255:SHZ524257 SRK524255:SRV524257 TBG524255:TBR524257 TLC524255:TLN524257 TUY524255:TVJ524257 UEU524255:UFF524257 UOQ524255:UPB524257 UYM524255:UYX524257 VII524255:VIT524257 VSE524255:VSP524257 WCA524255:WCL524257 WLW524255:WMH524257 WVS524255:WWD524257 JG589791:JR589793 TC589791:TN589793 ACY589791:ADJ589793 AMU589791:ANF589793 AWQ589791:AXB589793 BGM589791:BGX589793 BQI589791:BQT589793 CAE589791:CAP589793 CKA589791:CKL589793 CTW589791:CUH589793 DDS589791:DED589793 DNO589791:DNZ589793 DXK589791:DXV589793 EHG589791:EHR589793 ERC589791:ERN589793 FAY589791:FBJ589793 FKU589791:FLF589793 FUQ589791:FVB589793 GEM589791:GEX589793 GOI589791:GOT589793 GYE589791:GYP589793 HIA589791:HIL589793 HRW589791:HSH589793 IBS589791:ICD589793 ILO589791:ILZ589793 IVK589791:IVV589793 JFG589791:JFR589793 JPC589791:JPN589793 JYY589791:JZJ589793 KIU589791:KJF589793 KSQ589791:KTB589793 LCM589791:LCX589793 LMI589791:LMT589793 LWE589791:LWP589793 MGA589791:MGL589793 MPW589791:MQH589793 MZS589791:NAD589793 NJO589791:NJZ589793 NTK589791:NTV589793 ODG589791:ODR589793 ONC589791:ONN589793 OWY589791:OXJ589793 PGU589791:PHF589793 PQQ589791:PRB589793 QAM589791:QAX589793 QKI589791:QKT589793 QUE589791:QUP589793 REA589791:REL589793 RNW589791:ROH589793 RXS589791:RYD589793 SHO589791:SHZ589793 SRK589791:SRV589793 TBG589791:TBR589793 TLC589791:TLN589793 TUY589791:TVJ589793 UEU589791:UFF589793 UOQ589791:UPB589793 UYM589791:UYX589793 VII589791:VIT589793 VSE589791:VSP589793 WCA589791:WCL589793 WLW589791:WMH589793 WVS589791:WWD589793 JG655327:JR655329 TC655327:TN655329 ACY655327:ADJ655329 AMU655327:ANF655329 AWQ655327:AXB655329 BGM655327:BGX655329 BQI655327:BQT655329 CAE655327:CAP655329 CKA655327:CKL655329 CTW655327:CUH655329 DDS655327:DED655329 DNO655327:DNZ655329 DXK655327:DXV655329 EHG655327:EHR655329 ERC655327:ERN655329 FAY655327:FBJ655329 FKU655327:FLF655329 FUQ655327:FVB655329 GEM655327:GEX655329 GOI655327:GOT655329 GYE655327:GYP655329 HIA655327:HIL655329 HRW655327:HSH655329 IBS655327:ICD655329 ILO655327:ILZ655329 IVK655327:IVV655329 JFG655327:JFR655329 JPC655327:JPN655329 JYY655327:JZJ655329 KIU655327:KJF655329 KSQ655327:KTB655329 LCM655327:LCX655329 LMI655327:LMT655329 LWE655327:LWP655329 MGA655327:MGL655329 MPW655327:MQH655329 MZS655327:NAD655329 NJO655327:NJZ655329 NTK655327:NTV655329 ODG655327:ODR655329 ONC655327:ONN655329 OWY655327:OXJ655329 PGU655327:PHF655329 PQQ655327:PRB655329 QAM655327:QAX655329 QKI655327:QKT655329 QUE655327:QUP655329 REA655327:REL655329 RNW655327:ROH655329 RXS655327:RYD655329 SHO655327:SHZ655329 SRK655327:SRV655329 TBG655327:TBR655329 TLC655327:TLN655329 TUY655327:TVJ655329 UEU655327:UFF655329 UOQ655327:UPB655329 UYM655327:UYX655329 VII655327:VIT655329 VSE655327:VSP655329 WCA655327:WCL655329 WLW655327:WMH655329 WVS655327:WWD655329 JG720863:JR720865 TC720863:TN720865 ACY720863:ADJ720865 AMU720863:ANF720865 AWQ720863:AXB720865 BGM720863:BGX720865 BQI720863:BQT720865 CAE720863:CAP720865 CKA720863:CKL720865 CTW720863:CUH720865 DDS720863:DED720865 DNO720863:DNZ720865 DXK720863:DXV720865 EHG720863:EHR720865 ERC720863:ERN720865 FAY720863:FBJ720865 FKU720863:FLF720865 FUQ720863:FVB720865 GEM720863:GEX720865 GOI720863:GOT720865 GYE720863:GYP720865 HIA720863:HIL720865 HRW720863:HSH720865 IBS720863:ICD720865 ILO720863:ILZ720865 IVK720863:IVV720865 JFG720863:JFR720865 JPC720863:JPN720865 JYY720863:JZJ720865 KIU720863:KJF720865 KSQ720863:KTB720865 LCM720863:LCX720865 LMI720863:LMT720865 LWE720863:LWP720865 MGA720863:MGL720865 MPW720863:MQH720865 MZS720863:NAD720865 NJO720863:NJZ720865 NTK720863:NTV720865 ODG720863:ODR720865 ONC720863:ONN720865 OWY720863:OXJ720865 PGU720863:PHF720865 PQQ720863:PRB720865 QAM720863:QAX720865 QKI720863:QKT720865 QUE720863:QUP720865 REA720863:REL720865 RNW720863:ROH720865 RXS720863:RYD720865 SHO720863:SHZ720865 SRK720863:SRV720865 TBG720863:TBR720865 TLC720863:TLN720865 TUY720863:TVJ720865 UEU720863:UFF720865 UOQ720863:UPB720865 UYM720863:UYX720865 VII720863:VIT720865 VSE720863:VSP720865 WCA720863:WCL720865 WLW720863:WMH720865 WVS720863:WWD720865 JG786399:JR786401 TC786399:TN786401 ACY786399:ADJ786401 AMU786399:ANF786401 AWQ786399:AXB786401 BGM786399:BGX786401 BQI786399:BQT786401 CAE786399:CAP786401 CKA786399:CKL786401 CTW786399:CUH786401 DDS786399:DED786401 DNO786399:DNZ786401 DXK786399:DXV786401 EHG786399:EHR786401 ERC786399:ERN786401 FAY786399:FBJ786401 FKU786399:FLF786401 FUQ786399:FVB786401 GEM786399:GEX786401 GOI786399:GOT786401 GYE786399:GYP786401 HIA786399:HIL786401 HRW786399:HSH786401 IBS786399:ICD786401 ILO786399:ILZ786401 IVK786399:IVV786401 JFG786399:JFR786401 JPC786399:JPN786401 JYY786399:JZJ786401 KIU786399:KJF786401 KSQ786399:KTB786401 LCM786399:LCX786401 LMI786399:LMT786401 LWE786399:LWP786401 MGA786399:MGL786401 MPW786399:MQH786401 MZS786399:NAD786401 NJO786399:NJZ786401 NTK786399:NTV786401 ODG786399:ODR786401 ONC786399:ONN786401 OWY786399:OXJ786401 PGU786399:PHF786401 PQQ786399:PRB786401 QAM786399:QAX786401 QKI786399:QKT786401 QUE786399:QUP786401 REA786399:REL786401 RNW786399:ROH786401 RXS786399:RYD786401 SHO786399:SHZ786401 SRK786399:SRV786401 TBG786399:TBR786401 TLC786399:TLN786401 TUY786399:TVJ786401 UEU786399:UFF786401 UOQ786399:UPB786401 UYM786399:UYX786401 VII786399:VIT786401 VSE786399:VSP786401 WCA786399:WCL786401 WLW786399:WMH786401 WVS786399:WWD786401 JG851935:JR851937 TC851935:TN851937 ACY851935:ADJ851937 AMU851935:ANF851937 AWQ851935:AXB851937 BGM851935:BGX851937 BQI851935:BQT851937 CAE851935:CAP851937 CKA851935:CKL851937 CTW851935:CUH851937 DDS851935:DED851937 DNO851935:DNZ851937 DXK851935:DXV851937 EHG851935:EHR851937 ERC851935:ERN851937 FAY851935:FBJ851937 FKU851935:FLF851937 FUQ851935:FVB851937 GEM851935:GEX851937 GOI851935:GOT851937 GYE851935:GYP851937 HIA851935:HIL851937 HRW851935:HSH851937 IBS851935:ICD851937 ILO851935:ILZ851937 IVK851935:IVV851937 JFG851935:JFR851937 JPC851935:JPN851937 JYY851935:JZJ851937 KIU851935:KJF851937 KSQ851935:KTB851937 LCM851935:LCX851937 LMI851935:LMT851937 LWE851935:LWP851937 MGA851935:MGL851937 MPW851935:MQH851937 MZS851935:NAD851937 NJO851935:NJZ851937 NTK851935:NTV851937 ODG851935:ODR851937 ONC851935:ONN851937 OWY851935:OXJ851937 PGU851935:PHF851937 PQQ851935:PRB851937 QAM851935:QAX851937 QKI851935:QKT851937 QUE851935:QUP851937 REA851935:REL851937 RNW851935:ROH851937 RXS851935:RYD851937 SHO851935:SHZ851937 SRK851935:SRV851937 TBG851935:TBR851937 TLC851935:TLN851937 TUY851935:TVJ851937 UEU851935:UFF851937 UOQ851935:UPB851937 UYM851935:UYX851937 VII851935:VIT851937 VSE851935:VSP851937 WCA851935:WCL851937 WLW851935:WMH851937 WVS851935:WWD851937 JG917471:JR917473 TC917471:TN917473 ACY917471:ADJ917473 AMU917471:ANF917473 AWQ917471:AXB917473 BGM917471:BGX917473 BQI917471:BQT917473 CAE917471:CAP917473 CKA917471:CKL917473 CTW917471:CUH917473 DDS917471:DED917473 DNO917471:DNZ917473 DXK917471:DXV917473 EHG917471:EHR917473 ERC917471:ERN917473 FAY917471:FBJ917473 FKU917471:FLF917473 FUQ917471:FVB917473 GEM917471:GEX917473 GOI917471:GOT917473 GYE917471:GYP917473 HIA917471:HIL917473 HRW917471:HSH917473 IBS917471:ICD917473 ILO917471:ILZ917473 IVK917471:IVV917473 JFG917471:JFR917473 JPC917471:JPN917473 JYY917471:JZJ917473 KIU917471:KJF917473 KSQ917471:KTB917473 LCM917471:LCX917473 LMI917471:LMT917473 LWE917471:LWP917473 MGA917471:MGL917473 MPW917471:MQH917473 MZS917471:NAD917473 NJO917471:NJZ917473 NTK917471:NTV917473 ODG917471:ODR917473 ONC917471:ONN917473 OWY917471:OXJ917473 PGU917471:PHF917473 PQQ917471:PRB917473 QAM917471:QAX917473 QKI917471:QKT917473 QUE917471:QUP917473 REA917471:REL917473 RNW917471:ROH917473 RXS917471:RYD917473 SHO917471:SHZ917473 SRK917471:SRV917473 TBG917471:TBR917473 TLC917471:TLN917473 TUY917471:TVJ917473 UEU917471:UFF917473 UOQ917471:UPB917473 UYM917471:UYX917473 VII917471:VIT917473 VSE917471:VSP917473 WCA917471:WCL917473 WLW917471:WMH917473 WVS917471:WWD917473 JG983007:JR983009 TC983007:TN983009 ACY983007:ADJ983009 AMU983007:ANF983009 AWQ983007:AXB983009 BGM983007:BGX983009 BQI983007:BQT983009 CAE983007:CAP983009 CKA983007:CKL983009 CTW983007:CUH983009 DDS983007:DED983009 DNO983007:DNZ983009 DXK983007:DXV983009 EHG983007:EHR983009 ERC983007:ERN983009 FAY983007:FBJ983009 FKU983007:FLF983009 FUQ983007:FVB983009 GEM983007:GEX983009 GOI983007:GOT983009 GYE983007:GYP983009 HIA983007:HIL983009 HRW983007:HSH983009 IBS983007:ICD983009 ILO983007:ILZ983009 IVK983007:IVV983009 JFG983007:JFR983009 JPC983007:JPN983009 JYY983007:JZJ983009 KIU983007:KJF983009 KSQ983007:KTB983009 LCM983007:LCX983009 LMI983007:LMT983009 LWE983007:LWP983009 MGA983007:MGL983009 MPW983007:MQH983009 MZS983007:NAD983009 NJO983007:NJZ983009 NTK983007:NTV983009 ODG983007:ODR983009 ONC983007:ONN983009 OWY983007:OXJ983009 PGU983007:PHF983009 PQQ983007:PRB983009 QAM983007:QAX983009 QKI983007:QKT983009 QUE983007:QUP983009 REA983007:REL983009 RNW983007:ROH983009 RXS983007:RYD983009 SHO983007:SHZ983009 SRK983007:SRV983009 TBG983007:TBR983009 TLC983007:TLN983009 TUY983007:TVJ983009 UEU983007:UFF983009 UOQ983007:UPB983009 UYM983007:UYX983009 VII983007:VIT983009 VSE983007:VSP983009 WCA983007:WCL983009 WLW983007:WMH983009 WVS983007:WWD983009 WVS983012:WWD983014 JG65508:JR65510 TC65508:TN65510 ACY65508:ADJ65510 AMU65508:ANF65510 AWQ65508:AXB65510 BGM65508:BGX65510 BQI65508:BQT65510 CAE65508:CAP65510 CKA65508:CKL65510 CTW65508:CUH65510 DDS65508:DED65510 DNO65508:DNZ65510 DXK65508:DXV65510 EHG65508:EHR65510 ERC65508:ERN65510 FAY65508:FBJ65510 FKU65508:FLF65510 FUQ65508:FVB65510 GEM65508:GEX65510 GOI65508:GOT65510 GYE65508:GYP65510 HIA65508:HIL65510 HRW65508:HSH65510 IBS65508:ICD65510 ILO65508:ILZ65510 IVK65508:IVV65510 JFG65508:JFR65510 JPC65508:JPN65510 JYY65508:JZJ65510 KIU65508:KJF65510 KSQ65508:KTB65510 LCM65508:LCX65510 LMI65508:LMT65510 LWE65508:LWP65510 MGA65508:MGL65510 MPW65508:MQH65510 MZS65508:NAD65510 NJO65508:NJZ65510 NTK65508:NTV65510 ODG65508:ODR65510 ONC65508:ONN65510 OWY65508:OXJ65510 PGU65508:PHF65510 PQQ65508:PRB65510 QAM65508:QAX65510 QKI65508:QKT65510 QUE65508:QUP65510 REA65508:REL65510 RNW65508:ROH65510 RXS65508:RYD65510 SHO65508:SHZ65510 SRK65508:SRV65510 TBG65508:TBR65510 TLC65508:TLN65510 TUY65508:TVJ65510 UEU65508:UFF65510 UOQ65508:UPB65510 UYM65508:UYX65510 VII65508:VIT65510 VSE65508:VSP65510 WCA65508:WCL65510 WLW65508:WMH65510 WVS65508:WWD65510 JG131044:JR131046 TC131044:TN131046 ACY131044:ADJ131046 AMU131044:ANF131046 AWQ131044:AXB131046 BGM131044:BGX131046 BQI131044:BQT131046 CAE131044:CAP131046 CKA131044:CKL131046 CTW131044:CUH131046 DDS131044:DED131046 DNO131044:DNZ131046 DXK131044:DXV131046 EHG131044:EHR131046 ERC131044:ERN131046 FAY131044:FBJ131046 FKU131044:FLF131046 FUQ131044:FVB131046 GEM131044:GEX131046 GOI131044:GOT131046 GYE131044:GYP131046 HIA131044:HIL131046 HRW131044:HSH131046 IBS131044:ICD131046 ILO131044:ILZ131046 IVK131044:IVV131046 JFG131044:JFR131046 JPC131044:JPN131046 JYY131044:JZJ131046 KIU131044:KJF131046 KSQ131044:KTB131046 LCM131044:LCX131046 LMI131044:LMT131046 LWE131044:LWP131046 MGA131044:MGL131046 MPW131044:MQH131046 MZS131044:NAD131046 NJO131044:NJZ131046 NTK131044:NTV131046 ODG131044:ODR131046 ONC131044:ONN131046 OWY131044:OXJ131046 PGU131044:PHF131046 PQQ131044:PRB131046 QAM131044:QAX131046 QKI131044:QKT131046 QUE131044:QUP131046 REA131044:REL131046 RNW131044:ROH131046 RXS131044:RYD131046 SHO131044:SHZ131046 SRK131044:SRV131046 TBG131044:TBR131046 TLC131044:TLN131046 TUY131044:TVJ131046 UEU131044:UFF131046 UOQ131044:UPB131046 UYM131044:UYX131046 VII131044:VIT131046 VSE131044:VSP131046 WCA131044:WCL131046 WLW131044:WMH131046 WVS131044:WWD131046 JG196580:JR196582 TC196580:TN196582 ACY196580:ADJ196582 AMU196580:ANF196582 AWQ196580:AXB196582 BGM196580:BGX196582 BQI196580:BQT196582 CAE196580:CAP196582 CKA196580:CKL196582 CTW196580:CUH196582 DDS196580:DED196582 DNO196580:DNZ196582 DXK196580:DXV196582 EHG196580:EHR196582 ERC196580:ERN196582 FAY196580:FBJ196582 FKU196580:FLF196582 FUQ196580:FVB196582 GEM196580:GEX196582 GOI196580:GOT196582 GYE196580:GYP196582 HIA196580:HIL196582 HRW196580:HSH196582 IBS196580:ICD196582 ILO196580:ILZ196582 IVK196580:IVV196582 JFG196580:JFR196582 JPC196580:JPN196582 JYY196580:JZJ196582 KIU196580:KJF196582 KSQ196580:KTB196582 LCM196580:LCX196582 LMI196580:LMT196582 LWE196580:LWP196582 MGA196580:MGL196582 MPW196580:MQH196582 MZS196580:NAD196582 NJO196580:NJZ196582 NTK196580:NTV196582 ODG196580:ODR196582 ONC196580:ONN196582 OWY196580:OXJ196582 PGU196580:PHF196582 PQQ196580:PRB196582 QAM196580:QAX196582 QKI196580:QKT196582 QUE196580:QUP196582 REA196580:REL196582 RNW196580:ROH196582 RXS196580:RYD196582 SHO196580:SHZ196582 SRK196580:SRV196582 TBG196580:TBR196582 TLC196580:TLN196582 TUY196580:TVJ196582 UEU196580:UFF196582 UOQ196580:UPB196582 UYM196580:UYX196582 VII196580:VIT196582 VSE196580:VSP196582 WCA196580:WCL196582 WLW196580:WMH196582 WVS196580:WWD196582 JG262116:JR262118 TC262116:TN262118 ACY262116:ADJ262118 AMU262116:ANF262118 AWQ262116:AXB262118 BGM262116:BGX262118 BQI262116:BQT262118 CAE262116:CAP262118 CKA262116:CKL262118 CTW262116:CUH262118 DDS262116:DED262118 DNO262116:DNZ262118 DXK262116:DXV262118 EHG262116:EHR262118 ERC262116:ERN262118 FAY262116:FBJ262118 FKU262116:FLF262118 FUQ262116:FVB262118 GEM262116:GEX262118 GOI262116:GOT262118 GYE262116:GYP262118 HIA262116:HIL262118 HRW262116:HSH262118 IBS262116:ICD262118 ILO262116:ILZ262118 IVK262116:IVV262118 JFG262116:JFR262118 JPC262116:JPN262118 JYY262116:JZJ262118 KIU262116:KJF262118 KSQ262116:KTB262118 LCM262116:LCX262118 LMI262116:LMT262118 LWE262116:LWP262118 MGA262116:MGL262118 MPW262116:MQH262118 MZS262116:NAD262118 NJO262116:NJZ262118 NTK262116:NTV262118 ODG262116:ODR262118 ONC262116:ONN262118 OWY262116:OXJ262118 PGU262116:PHF262118 PQQ262116:PRB262118 QAM262116:QAX262118 QKI262116:QKT262118 QUE262116:QUP262118 REA262116:REL262118 RNW262116:ROH262118 RXS262116:RYD262118 SHO262116:SHZ262118 SRK262116:SRV262118 TBG262116:TBR262118 TLC262116:TLN262118 TUY262116:TVJ262118 UEU262116:UFF262118 UOQ262116:UPB262118 UYM262116:UYX262118 VII262116:VIT262118 VSE262116:VSP262118 WCA262116:WCL262118 WLW262116:WMH262118 WVS262116:WWD262118 JG327652:JR327654 TC327652:TN327654 ACY327652:ADJ327654 AMU327652:ANF327654 AWQ327652:AXB327654 BGM327652:BGX327654 BQI327652:BQT327654 CAE327652:CAP327654 CKA327652:CKL327654 CTW327652:CUH327654 DDS327652:DED327654 DNO327652:DNZ327654 DXK327652:DXV327654 EHG327652:EHR327654 ERC327652:ERN327654 FAY327652:FBJ327654 FKU327652:FLF327654 FUQ327652:FVB327654 GEM327652:GEX327654 GOI327652:GOT327654 GYE327652:GYP327654 HIA327652:HIL327654 HRW327652:HSH327654 IBS327652:ICD327654 ILO327652:ILZ327654 IVK327652:IVV327654 JFG327652:JFR327654 JPC327652:JPN327654 JYY327652:JZJ327654 KIU327652:KJF327654 KSQ327652:KTB327654 LCM327652:LCX327654 LMI327652:LMT327654 LWE327652:LWP327654 MGA327652:MGL327654 MPW327652:MQH327654 MZS327652:NAD327654 NJO327652:NJZ327654 NTK327652:NTV327654 ODG327652:ODR327654 ONC327652:ONN327654 OWY327652:OXJ327654 PGU327652:PHF327654 PQQ327652:PRB327654 QAM327652:QAX327654 QKI327652:QKT327654 QUE327652:QUP327654 REA327652:REL327654 RNW327652:ROH327654 RXS327652:RYD327654 SHO327652:SHZ327654 SRK327652:SRV327654 TBG327652:TBR327654 TLC327652:TLN327654 TUY327652:TVJ327654 UEU327652:UFF327654 UOQ327652:UPB327654 UYM327652:UYX327654 VII327652:VIT327654 VSE327652:VSP327654 WCA327652:WCL327654 WLW327652:WMH327654 WVS327652:WWD327654 JG393188:JR393190 TC393188:TN393190 ACY393188:ADJ393190 AMU393188:ANF393190 AWQ393188:AXB393190 BGM393188:BGX393190 BQI393188:BQT393190 CAE393188:CAP393190 CKA393188:CKL393190 CTW393188:CUH393190 DDS393188:DED393190 DNO393188:DNZ393190 DXK393188:DXV393190 EHG393188:EHR393190 ERC393188:ERN393190 FAY393188:FBJ393190 FKU393188:FLF393190 FUQ393188:FVB393190 GEM393188:GEX393190 GOI393188:GOT393190 GYE393188:GYP393190 HIA393188:HIL393190 HRW393188:HSH393190 IBS393188:ICD393190 ILO393188:ILZ393190 IVK393188:IVV393190 JFG393188:JFR393190 JPC393188:JPN393190 JYY393188:JZJ393190 KIU393188:KJF393190 KSQ393188:KTB393190 LCM393188:LCX393190 LMI393188:LMT393190 LWE393188:LWP393190 MGA393188:MGL393190 MPW393188:MQH393190 MZS393188:NAD393190 NJO393188:NJZ393190 NTK393188:NTV393190 ODG393188:ODR393190 ONC393188:ONN393190 OWY393188:OXJ393190 PGU393188:PHF393190 PQQ393188:PRB393190 QAM393188:QAX393190 QKI393188:QKT393190 QUE393188:QUP393190 REA393188:REL393190 RNW393188:ROH393190 RXS393188:RYD393190 SHO393188:SHZ393190 SRK393188:SRV393190 TBG393188:TBR393190 TLC393188:TLN393190 TUY393188:TVJ393190 UEU393188:UFF393190 UOQ393188:UPB393190 UYM393188:UYX393190 VII393188:VIT393190 VSE393188:VSP393190 WCA393188:WCL393190 WLW393188:WMH393190 WVS393188:WWD393190 JG458724:JR458726 TC458724:TN458726 ACY458724:ADJ458726 AMU458724:ANF458726 AWQ458724:AXB458726 BGM458724:BGX458726 BQI458724:BQT458726 CAE458724:CAP458726 CKA458724:CKL458726 CTW458724:CUH458726 DDS458724:DED458726 DNO458724:DNZ458726 DXK458724:DXV458726 EHG458724:EHR458726 ERC458724:ERN458726 FAY458724:FBJ458726 FKU458724:FLF458726 FUQ458724:FVB458726 GEM458724:GEX458726 GOI458724:GOT458726 GYE458724:GYP458726 HIA458724:HIL458726 HRW458724:HSH458726 IBS458724:ICD458726 ILO458724:ILZ458726 IVK458724:IVV458726 JFG458724:JFR458726 JPC458724:JPN458726 JYY458724:JZJ458726 KIU458724:KJF458726 KSQ458724:KTB458726 LCM458724:LCX458726 LMI458724:LMT458726 LWE458724:LWP458726 MGA458724:MGL458726 MPW458724:MQH458726 MZS458724:NAD458726 NJO458724:NJZ458726 NTK458724:NTV458726 ODG458724:ODR458726 ONC458724:ONN458726 OWY458724:OXJ458726 PGU458724:PHF458726 PQQ458724:PRB458726 QAM458724:QAX458726 QKI458724:QKT458726 QUE458724:QUP458726 REA458724:REL458726 RNW458724:ROH458726 RXS458724:RYD458726 SHO458724:SHZ458726 SRK458724:SRV458726 TBG458724:TBR458726 TLC458724:TLN458726 TUY458724:TVJ458726 UEU458724:UFF458726 UOQ458724:UPB458726 UYM458724:UYX458726 VII458724:VIT458726 VSE458724:VSP458726 WCA458724:WCL458726 WLW458724:WMH458726 WVS458724:WWD458726 JG524260:JR524262 TC524260:TN524262 ACY524260:ADJ524262 AMU524260:ANF524262 AWQ524260:AXB524262 BGM524260:BGX524262 BQI524260:BQT524262 CAE524260:CAP524262 CKA524260:CKL524262 CTW524260:CUH524262 DDS524260:DED524262 DNO524260:DNZ524262 DXK524260:DXV524262 EHG524260:EHR524262 ERC524260:ERN524262 FAY524260:FBJ524262 FKU524260:FLF524262 FUQ524260:FVB524262 GEM524260:GEX524262 GOI524260:GOT524262 GYE524260:GYP524262 HIA524260:HIL524262 HRW524260:HSH524262 IBS524260:ICD524262 ILO524260:ILZ524262 IVK524260:IVV524262 JFG524260:JFR524262 JPC524260:JPN524262 JYY524260:JZJ524262 KIU524260:KJF524262 KSQ524260:KTB524262 LCM524260:LCX524262 LMI524260:LMT524262 LWE524260:LWP524262 MGA524260:MGL524262 MPW524260:MQH524262 MZS524260:NAD524262 NJO524260:NJZ524262 NTK524260:NTV524262 ODG524260:ODR524262 ONC524260:ONN524262 OWY524260:OXJ524262 PGU524260:PHF524262 PQQ524260:PRB524262 QAM524260:QAX524262 QKI524260:QKT524262 QUE524260:QUP524262 REA524260:REL524262 RNW524260:ROH524262 RXS524260:RYD524262 SHO524260:SHZ524262 SRK524260:SRV524262 TBG524260:TBR524262 TLC524260:TLN524262 TUY524260:TVJ524262 UEU524260:UFF524262 UOQ524260:UPB524262 UYM524260:UYX524262 VII524260:VIT524262 VSE524260:VSP524262 WCA524260:WCL524262 WLW524260:WMH524262 WVS524260:WWD524262 JG589796:JR589798 TC589796:TN589798 ACY589796:ADJ589798 AMU589796:ANF589798 AWQ589796:AXB589798 BGM589796:BGX589798 BQI589796:BQT589798 CAE589796:CAP589798 CKA589796:CKL589798 CTW589796:CUH589798 DDS589796:DED589798 DNO589796:DNZ589798 DXK589796:DXV589798 EHG589796:EHR589798 ERC589796:ERN589798 FAY589796:FBJ589798 FKU589796:FLF589798 FUQ589796:FVB589798 GEM589796:GEX589798 GOI589796:GOT589798 GYE589796:GYP589798 HIA589796:HIL589798 HRW589796:HSH589798 IBS589796:ICD589798 ILO589796:ILZ589798 IVK589796:IVV589798 JFG589796:JFR589798 JPC589796:JPN589798 JYY589796:JZJ589798 KIU589796:KJF589798 KSQ589796:KTB589798 LCM589796:LCX589798 LMI589796:LMT589798 LWE589796:LWP589798 MGA589796:MGL589798 MPW589796:MQH589798 MZS589796:NAD589798 NJO589796:NJZ589798 NTK589796:NTV589798 ODG589796:ODR589798 ONC589796:ONN589798 OWY589796:OXJ589798 PGU589796:PHF589798 PQQ589796:PRB589798 QAM589796:QAX589798 QKI589796:QKT589798 QUE589796:QUP589798 REA589796:REL589798 RNW589796:ROH589798 RXS589796:RYD589798 SHO589796:SHZ589798 SRK589796:SRV589798 TBG589796:TBR589798 TLC589796:TLN589798 TUY589796:TVJ589798 UEU589796:UFF589798 UOQ589796:UPB589798 UYM589796:UYX589798 VII589796:VIT589798 VSE589796:VSP589798 WCA589796:WCL589798 WLW589796:WMH589798 WVS589796:WWD589798 JG655332:JR655334 TC655332:TN655334 ACY655332:ADJ655334 AMU655332:ANF655334 AWQ655332:AXB655334 BGM655332:BGX655334 BQI655332:BQT655334 CAE655332:CAP655334 CKA655332:CKL655334 CTW655332:CUH655334 DDS655332:DED655334 DNO655332:DNZ655334 DXK655332:DXV655334 EHG655332:EHR655334 ERC655332:ERN655334 FAY655332:FBJ655334 FKU655332:FLF655334 FUQ655332:FVB655334 GEM655332:GEX655334 GOI655332:GOT655334 GYE655332:GYP655334 HIA655332:HIL655334 HRW655332:HSH655334 IBS655332:ICD655334 ILO655332:ILZ655334 IVK655332:IVV655334 JFG655332:JFR655334 JPC655332:JPN655334 JYY655332:JZJ655334 KIU655332:KJF655334 KSQ655332:KTB655334 LCM655332:LCX655334 LMI655332:LMT655334 LWE655332:LWP655334 MGA655332:MGL655334 MPW655332:MQH655334 MZS655332:NAD655334 NJO655332:NJZ655334 NTK655332:NTV655334 ODG655332:ODR655334 ONC655332:ONN655334 OWY655332:OXJ655334 PGU655332:PHF655334 PQQ655332:PRB655334 QAM655332:QAX655334 QKI655332:QKT655334 QUE655332:QUP655334 REA655332:REL655334 RNW655332:ROH655334 RXS655332:RYD655334 SHO655332:SHZ655334 SRK655332:SRV655334 TBG655332:TBR655334 TLC655332:TLN655334 TUY655332:TVJ655334 UEU655332:UFF655334 UOQ655332:UPB655334 UYM655332:UYX655334 VII655332:VIT655334 VSE655332:VSP655334 WCA655332:WCL655334 WLW655332:WMH655334 WVS655332:WWD655334 JG720868:JR720870 TC720868:TN720870 ACY720868:ADJ720870 AMU720868:ANF720870 AWQ720868:AXB720870 BGM720868:BGX720870 BQI720868:BQT720870 CAE720868:CAP720870 CKA720868:CKL720870 CTW720868:CUH720870 DDS720868:DED720870 DNO720868:DNZ720870 DXK720868:DXV720870 EHG720868:EHR720870 ERC720868:ERN720870 FAY720868:FBJ720870 FKU720868:FLF720870 FUQ720868:FVB720870 GEM720868:GEX720870 GOI720868:GOT720870 GYE720868:GYP720870 HIA720868:HIL720870 HRW720868:HSH720870 IBS720868:ICD720870 ILO720868:ILZ720870 IVK720868:IVV720870 JFG720868:JFR720870 JPC720868:JPN720870 JYY720868:JZJ720870 KIU720868:KJF720870 KSQ720868:KTB720870 LCM720868:LCX720870 LMI720868:LMT720870 LWE720868:LWP720870 MGA720868:MGL720870 MPW720868:MQH720870 MZS720868:NAD720870 NJO720868:NJZ720870 NTK720868:NTV720870 ODG720868:ODR720870 ONC720868:ONN720870 OWY720868:OXJ720870 PGU720868:PHF720870 PQQ720868:PRB720870 QAM720868:QAX720870 QKI720868:QKT720870 QUE720868:QUP720870 REA720868:REL720870 RNW720868:ROH720870 RXS720868:RYD720870 SHO720868:SHZ720870 SRK720868:SRV720870 TBG720868:TBR720870 TLC720868:TLN720870 TUY720868:TVJ720870 UEU720868:UFF720870 UOQ720868:UPB720870 UYM720868:UYX720870 VII720868:VIT720870 VSE720868:VSP720870 WCA720868:WCL720870 WLW720868:WMH720870 WVS720868:WWD720870 JG786404:JR786406 TC786404:TN786406 ACY786404:ADJ786406 AMU786404:ANF786406 AWQ786404:AXB786406 BGM786404:BGX786406 BQI786404:BQT786406 CAE786404:CAP786406 CKA786404:CKL786406 CTW786404:CUH786406 DDS786404:DED786406 DNO786404:DNZ786406 DXK786404:DXV786406 EHG786404:EHR786406 ERC786404:ERN786406 FAY786404:FBJ786406 FKU786404:FLF786406 FUQ786404:FVB786406 GEM786404:GEX786406 GOI786404:GOT786406 GYE786404:GYP786406 HIA786404:HIL786406 HRW786404:HSH786406 IBS786404:ICD786406 ILO786404:ILZ786406 IVK786404:IVV786406 JFG786404:JFR786406 JPC786404:JPN786406 JYY786404:JZJ786406 KIU786404:KJF786406 KSQ786404:KTB786406 LCM786404:LCX786406 LMI786404:LMT786406 LWE786404:LWP786406 MGA786404:MGL786406 MPW786404:MQH786406 MZS786404:NAD786406 NJO786404:NJZ786406 NTK786404:NTV786406 ODG786404:ODR786406 ONC786404:ONN786406 OWY786404:OXJ786406 PGU786404:PHF786406 PQQ786404:PRB786406 QAM786404:QAX786406 QKI786404:QKT786406 QUE786404:QUP786406 REA786404:REL786406 RNW786404:ROH786406 RXS786404:RYD786406 SHO786404:SHZ786406 SRK786404:SRV786406 TBG786404:TBR786406 TLC786404:TLN786406 TUY786404:TVJ786406 UEU786404:UFF786406 UOQ786404:UPB786406 UYM786404:UYX786406 VII786404:VIT786406 VSE786404:VSP786406 WCA786404:WCL786406 WLW786404:WMH786406 WVS786404:WWD786406 JG851940:JR851942 TC851940:TN851942 ACY851940:ADJ851942 AMU851940:ANF851942 AWQ851940:AXB851942 BGM851940:BGX851942 BQI851940:BQT851942 CAE851940:CAP851942 CKA851940:CKL851942 CTW851940:CUH851942 DDS851940:DED851942 DNO851940:DNZ851942 DXK851940:DXV851942 EHG851940:EHR851942 ERC851940:ERN851942 FAY851940:FBJ851942 FKU851940:FLF851942 FUQ851940:FVB851942 GEM851940:GEX851942 GOI851940:GOT851942 GYE851940:GYP851942 HIA851940:HIL851942 HRW851940:HSH851942 IBS851940:ICD851942 ILO851940:ILZ851942 IVK851940:IVV851942 JFG851940:JFR851942 JPC851940:JPN851942 JYY851940:JZJ851942 KIU851940:KJF851942 KSQ851940:KTB851942 LCM851940:LCX851942 LMI851940:LMT851942 LWE851940:LWP851942 MGA851940:MGL851942 MPW851940:MQH851942 MZS851940:NAD851942 NJO851940:NJZ851942 NTK851940:NTV851942 ODG851940:ODR851942 ONC851940:ONN851942 OWY851940:OXJ851942 PGU851940:PHF851942 PQQ851940:PRB851942 QAM851940:QAX851942 QKI851940:QKT851942 QUE851940:QUP851942 REA851940:REL851942 RNW851940:ROH851942 RXS851940:RYD851942 SHO851940:SHZ851942 SRK851940:SRV851942 TBG851940:TBR851942 TLC851940:TLN851942 TUY851940:TVJ851942 UEU851940:UFF851942 UOQ851940:UPB851942 UYM851940:UYX851942 VII851940:VIT851942 VSE851940:VSP851942 WCA851940:WCL851942 WLW851940:WMH851942 WVS851940:WWD851942 JG917476:JR917478 TC917476:TN917478 ACY917476:ADJ917478 AMU917476:ANF917478 AWQ917476:AXB917478 BGM917476:BGX917478 BQI917476:BQT917478 CAE917476:CAP917478 CKA917476:CKL917478 CTW917476:CUH917478 DDS917476:DED917478 DNO917476:DNZ917478 DXK917476:DXV917478 EHG917476:EHR917478 ERC917476:ERN917478 FAY917476:FBJ917478 FKU917476:FLF917478 FUQ917476:FVB917478 GEM917476:GEX917478 GOI917476:GOT917478 GYE917476:GYP917478 HIA917476:HIL917478 HRW917476:HSH917478 IBS917476:ICD917478 ILO917476:ILZ917478 IVK917476:IVV917478 JFG917476:JFR917478 JPC917476:JPN917478 JYY917476:JZJ917478 KIU917476:KJF917478 KSQ917476:KTB917478 LCM917476:LCX917478 LMI917476:LMT917478 LWE917476:LWP917478 MGA917476:MGL917478 MPW917476:MQH917478 MZS917476:NAD917478 NJO917476:NJZ917478 NTK917476:NTV917478 ODG917476:ODR917478 ONC917476:ONN917478 OWY917476:OXJ917478 PGU917476:PHF917478 PQQ917476:PRB917478 QAM917476:QAX917478 QKI917476:QKT917478 QUE917476:QUP917478 REA917476:REL917478 RNW917476:ROH917478 RXS917476:RYD917478 SHO917476:SHZ917478 SRK917476:SRV917478 TBG917476:TBR917478 TLC917476:TLN917478 TUY917476:TVJ917478 UEU917476:UFF917478 UOQ917476:UPB917478 UYM917476:UYX917478 VII917476:VIT917478 VSE917476:VSP917478 WCA917476:WCL917478 WLW917476:WMH917478 WVS917476:WWD917478 JG983012:JR983014 TC983012:TN983014 ACY983012:ADJ983014 AMU983012:ANF983014 AWQ983012:AXB983014 BGM983012:BGX983014 BQI983012:BQT983014 CAE983012:CAP983014 CKA983012:CKL983014 CTW983012:CUH983014 DDS983012:DED983014 DNO983012:DNZ983014 DXK983012:DXV983014 EHG983012:EHR983014 ERC983012:ERN983014 FAY983012:FBJ983014 FKU983012:FLF983014 FUQ983012:FVB983014 GEM983012:GEX983014 GOI983012:GOT983014 GYE983012:GYP983014 HIA983012:HIL983014 HRW983012:HSH983014 IBS983012:ICD983014 ILO983012:ILZ983014 IVK983012:IVV983014 JFG983012:JFR983014 JPC983012:JPN983014 JYY983012:JZJ983014 KIU983012:KJF983014 KSQ983012:KTB983014 LCM983012:LCX983014 LMI983012:LMT983014 LWE983012:LWP983014 MGA983012:MGL983014 MPW983012:MQH983014 MZS983012:NAD983014 NJO983012:NJZ983014 NTK983012:NTV983014 ODG983012:ODR983014 ONC983012:ONN983014 OWY983012:OXJ983014 PGU983012:PHF983014 PQQ983012:PRB983014 QAM983012:QAX983014 QKI983012:QKT983014 QUE983012:QUP983014 REA983012:REL983014 RNW983012:ROH983014 RXS983012:RYD983014 SHO983012:SHZ983014 SRK983012:SRV983014 TBG983012:TBR983014 TLC983012:TLN983014 TUY983012:TVJ983014 UEU983012:UFF983014 UOQ983012:UPB983014 UYM983012:UYX983014 VII983012:VIT983014 VSE983012:VSP983014 WCA983012:WCL983014 WLW983012:WMH983014 Z262111:AJ262113 Z196575:AJ196577 Z131039:AJ131041 Z65503:AJ65505 Z983012:AJ983014 Z917476:AJ917478 Z851940:AJ851942 Z786404:AJ786406 Z720868:AJ720870 Z655332:AJ655334 Z589796:AJ589798 Z524260:AJ524262 Z458724:AJ458726 Z393188:AJ393190 Z327652:AJ327654 Z262116:AJ262118 Z196580:AJ196582 Z131044:AJ131046 Z65508:AJ65510 Z983007:AJ983009 Z917471:AJ917473 Z851935:AJ851937 Z786399:AJ786401 Z720863:AJ720865 Z655327:AJ655329 Z589791:AJ589793 Z524255:AJ524257 Z458719:AJ458721 Z393183:AJ393185 Z327647:AJ327649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Y8:Z85">
      <formula1>"文字,数値,日付,時間"</formula1>
    </dataValidation>
    <dataValidation type="list" allowBlank="1" showInputMessage="1" showErrorMessage="1" sqref="AA8:AA85">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pageSetUpPr autoPageBreaks="0"/>
  </sheetPr>
  <dimension ref="A1:BE46"/>
  <sheetViews>
    <sheetView showGridLines="0" zoomScaleNormal="100" zoomScaleSheetLayoutView="85"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7"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7"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資材在庫情報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7"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7"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t_shizai_zaiko</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7"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7"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7" ht="14.4" customHeight="1">
      <c r="A8" s="37">
        <f>IF(B8="","",COUNTA($B8:B$8))</f>
        <v>1</v>
      </c>
      <c r="B8" s="35" t="s">
        <v>1514</v>
      </c>
      <c r="C8" s="34"/>
      <c r="D8" s="34"/>
      <c r="E8" s="34"/>
      <c r="F8" s="34"/>
      <c r="G8" s="34"/>
      <c r="H8" s="34"/>
      <c r="I8" s="35" t="s">
        <v>568</v>
      </c>
      <c r="J8" s="27"/>
      <c r="K8" s="27"/>
      <c r="L8" s="27"/>
      <c r="M8" s="27"/>
      <c r="N8" s="27"/>
      <c r="O8" s="27"/>
      <c r="P8" s="27"/>
      <c r="Q8" s="27"/>
      <c r="R8" s="35" t="s">
        <v>1514</v>
      </c>
      <c r="S8" s="34"/>
      <c r="T8" s="34"/>
      <c r="U8" s="34"/>
      <c r="V8" s="34"/>
      <c r="W8" s="34"/>
      <c r="X8" s="34"/>
      <c r="Y8" s="589" t="s">
        <v>1504</v>
      </c>
      <c r="Z8" s="590"/>
      <c r="AA8" s="591" t="s">
        <v>1505</v>
      </c>
      <c r="AB8" s="592"/>
      <c r="AC8" s="593"/>
      <c r="AD8" s="53">
        <v>20</v>
      </c>
      <c r="AE8" s="25"/>
      <c r="AF8" s="25">
        <v>1</v>
      </c>
      <c r="AG8" s="24" t="s">
        <v>84</v>
      </c>
      <c r="AH8" s="25"/>
      <c r="AI8" s="25"/>
      <c r="AJ8" s="25"/>
      <c r="AK8" s="25"/>
      <c r="AL8" s="25"/>
      <c r="AM8" s="25"/>
      <c r="AN8" s="25"/>
      <c r="AO8" s="25"/>
      <c r="AP8" s="25"/>
      <c r="AQ8" s="25"/>
      <c r="AR8" s="25"/>
      <c r="AS8" s="35"/>
      <c r="AT8" s="36"/>
      <c r="AU8" s="36"/>
      <c r="AV8" s="36"/>
      <c r="AW8" s="36"/>
      <c r="AX8" s="36"/>
      <c r="AY8" s="36"/>
      <c r="AZ8" s="36"/>
      <c r="BA8" s="36"/>
      <c r="BB8" s="36"/>
      <c r="BC8" s="36"/>
      <c r="BD8" s="50"/>
    </row>
    <row r="9" spans="1:57" ht="14.4" customHeight="1">
      <c r="A9" s="37">
        <f>IF(B9="","",COUNTA($B$8:B9))</f>
        <v>2</v>
      </c>
      <c r="B9" s="35" t="s">
        <v>1506</v>
      </c>
      <c r="C9" s="34"/>
      <c r="D9" s="34"/>
      <c r="E9" s="34"/>
      <c r="F9" s="34"/>
      <c r="G9" s="34"/>
      <c r="H9" s="34"/>
      <c r="I9" s="35" t="s">
        <v>1395</v>
      </c>
      <c r="J9" s="27"/>
      <c r="K9" s="27"/>
      <c r="L9" s="27"/>
      <c r="M9" s="27"/>
      <c r="N9" s="27"/>
      <c r="O9" s="27"/>
      <c r="P9" s="27"/>
      <c r="Q9" s="27"/>
      <c r="R9" s="35" t="s">
        <v>1506</v>
      </c>
      <c r="S9" s="34"/>
      <c r="T9" s="34"/>
      <c r="U9" s="34"/>
      <c r="V9" s="34"/>
      <c r="W9" s="34"/>
      <c r="X9" s="34"/>
      <c r="Y9" s="589" t="s">
        <v>1504</v>
      </c>
      <c r="Z9" s="590"/>
      <c r="AA9" s="591" t="s">
        <v>1505</v>
      </c>
      <c r="AB9" s="592"/>
      <c r="AC9" s="593"/>
      <c r="AD9" s="53">
        <v>3</v>
      </c>
      <c r="AE9" s="25"/>
      <c r="AF9" s="25">
        <v>2</v>
      </c>
      <c r="AG9" s="24" t="s">
        <v>84</v>
      </c>
      <c r="AH9" s="25"/>
      <c r="AI9" s="25"/>
      <c r="AJ9" s="25"/>
      <c r="AK9" s="25"/>
      <c r="AL9" s="25"/>
      <c r="AM9" s="25"/>
      <c r="AN9" s="25"/>
      <c r="AO9" s="25"/>
      <c r="AP9" s="25"/>
      <c r="AQ9" s="25"/>
      <c r="AR9" s="25"/>
      <c r="AS9" s="35"/>
      <c r="AT9" s="36"/>
      <c r="AU9" s="36"/>
      <c r="AV9" s="36"/>
      <c r="AW9" s="36"/>
      <c r="AX9" s="36"/>
      <c r="AY9" s="36"/>
      <c r="AZ9" s="36"/>
      <c r="BA9" s="36"/>
      <c r="BB9" s="36"/>
      <c r="BC9" s="36"/>
      <c r="BD9" s="50"/>
    </row>
    <row r="10" spans="1:57" ht="14.4" customHeight="1">
      <c r="A10" s="37">
        <f>IF(B10="","",COUNTA($B$8:B10))</f>
        <v>3</v>
      </c>
      <c r="B10" s="232" t="s">
        <v>1529</v>
      </c>
      <c r="C10" s="233"/>
      <c r="D10" s="233"/>
      <c r="E10" s="233"/>
      <c r="F10" s="233"/>
      <c r="G10" s="233"/>
      <c r="H10" s="233"/>
      <c r="I10" s="232" t="s">
        <v>457</v>
      </c>
      <c r="J10" s="234"/>
      <c r="K10" s="234"/>
      <c r="L10" s="234"/>
      <c r="M10" s="234"/>
      <c r="N10" s="234"/>
      <c r="O10" s="234"/>
      <c r="P10" s="234"/>
      <c r="Q10" s="234"/>
      <c r="R10" s="232" t="s">
        <v>1529</v>
      </c>
      <c r="S10" s="233"/>
      <c r="T10" s="233"/>
      <c r="U10" s="233"/>
      <c r="V10" s="233"/>
      <c r="W10" s="233"/>
      <c r="X10" s="233"/>
      <c r="Y10" s="235" t="s">
        <v>1504</v>
      </c>
      <c r="Z10" s="243"/>
      <c r="AA10" s="236" t="s">
        <v>1505</v>
      </c>
      <c r="AB10" s="237"/>
      <c r="AC10" s="238"/>
      <c r="AD10" s="239">
        <v>5</v>
      </c>
      <c r="AE10" s="240"/>
      <c r="AF10" s="240"/>
      <c r="AG10" s="244"/>
      <c r="AH10" s="240"/>
      <c r="AI10" s="240"/>
      <c r="AJ10" s="240"/>
      <c r="AK10" s="240"/>
      <c r="AL10" s="240"/>
      <c r="AM10" s="240"/>
      <c r="AN10" s="240"/>
      <c r="AO10" s="240"/>
      <c r="AP10" s="240"/>
      <c r="AQ10" s="240"/>
      <c r="AR10" s="240"/>
      <c r="AS10" s="232"/>
      <c r="AT10" s="241"/>
      <c r="AU10" s="241"/>
      <c r="AV10" s="241"/>
      <c r="AW10" s="241"/>
      <c r="AX10" s="241"/>
      <c r="AY10" s="241"/>
      <c r="AZ10" s="241"/>
      <c r="BA10" s="241"/>
      <c r="BB10" s="241"/>
      <c r="BC10" s="241"/>
      <c r="BD10" s="242"/>
      <c r="BE10" s="16" t="s">
        <v>1361</v>
      </c>
    </row>
    <row r="11" spans="1:57" ht="14.4" customHeight="1">
      <c r="A11" s="37">
        <f>IF(B11="","",COUNTA($B$8:B11))</f>
        <v>4</v>
      </c>
      <c r="B11" s="232" t="s">
        <v>1344</v>
      </c>
      <c r="C11" s="233"/>
      <c r="D11" s="233"/>
      <c r="E11" s="233"/>
      <c r="F11" s="233"/>
      <c r="G11" s="233"/>
      <c r="H11" s="233"/>
      <c r="I11" s="232" t="s">
        <v>1444</v>
      </c>
      <c r="J11" s="234"/>
      <c r="K11" s="234"/>
      <c r="L11" s="234"/>
      <c r="M11" s="234"/>
      <c r="N11" s="234"/>
      <c r="O11" s="234"/>
      <c r="P11" s="234"/>
      <c r="Q11" s="234"/>
      <c r="R11" s="232" t="s">
        <v>1344</v>
      </c>
      <c r="S11" s="233"/>
      <c r="T11" s="233"/>
      <c r="U11" s="233"/>
      <c r="V11" s="233"/>
      <c r="W11" s="233"/>
      <c r="X11" s="233"/>
      <c r="Y11" s="235" t="s">
        <v>1504</v>
      </c>
      <c r="Z11" s="243"/>
      <c r="AA11" s="236" t="s">
        <v>1505</v>
      </c>
      <c r="AB11" s="237"/>
      <c r="AC11" s="238"/>
      <c r="AD11" s="239">
        <v>4</v>
      </c>
      <c r="AE11" s="240"/>
      <c r="AF11" s="240"/>
      <c r="AG11" s="240"/>
      <c r="AH11" s="240"/>
      <c r="AI11" s="240"/>
      <c r="AJ11" s="240"/>
      <c r="AK11" s="240"/>
      <c r="AL11" s="240"/>
      <c r="AM11" s="240"/>
      <c r="AN11" s="240"/>
      <c r="AO11" s="240"/>
      <c r="AP11" s="240"/>
      <c r="AQ11" s="240"/>
      <c r="AR11" s="240"/>
      <c r="AS11" s="232" t="s">
        <v>1358</v>
      </c>
      <c r="AT11" s="241"/>
      <c r="AU11" s="241"/>
      <c r="AV11" s="241"/>
      <c r="AW11" s="241"/>
      <c r="AX11" s="241"/>
      <c r="AY11" s="241"/>
      <c r="AZ11" s="241"/>
      <c r="BA11" s="241"/>
      <c r="BB11" s="241"/>
      <c r="BC11" s="241"/>
      <c r="BD11" s="242"/>
      <c r="BE11" s="16" t="s">
        <v>1364</v>
      </c>
    </row>
    <row r="12" spans="1:57" ht="14.4" customHeight="1">
      <c r="A12" s="37">
        <f>IF(B12="","",COUNTA($B$8:B12))</f>
        <v>5</v>
      </c>
      <c r="B12" s="232" t="s">
        <v>1716</v>
      </c>
      <c r="C12" s="233"/>
      <c r="D12" s="233"/>
      <c r="E12" s="233"/>
      <c r="F12" s="233"/>
      <c r="G12" s="233"/>
      <c r="H12" s="233"/>
      <c r="I12" s="232" t="s">
        <v>570</v>
      </c>
      <c r="J12" s="234"/>
      <c r="K12" s="234"/>
      <c r="L12" s="234"/>
      <c r="M12" s="234"/>
      <c r="N12" s="234"/>
      <c r="O12" s="234"/>
      <c r="P12" s="234"/>
      <c r="Q12" s="234"/>
      <c r="R12" s="232" t="s">
        <v>1716</v>
      </c>
      <c r="S12" s="233"/>
      <c r="T12" s="233"/>
      <c r="U12" s="233"/>
      <c r="V12" s="233"/>
      <c r="W12" s="233"/>
      <c r="X12" s="233"/>
      <c r="Y12" s="235" t="s">
        <v>1504</v>
      </c>
      <c r="Z12" s="243"/>
      <c r="AA12" s="236" t="s">
        <v>1505</v>
      </c>
      <c r="AB12" s="237"/>
      <c r="AC12" s="238"/>
      <c r="AD12" s="239">
        <v>2</v>
      </c>
      <c r="AE12" s="240"/>
      <c r="AF12" s="240"/>
      <c r="AG12" s="240"/>
      <c r="AH12" s="240"/>
      <c r="AI12" s="240"/>
      <c r="AJ12" s="240"/>
      <c r="AK12" s="240"/>
      <c r="AL12" s="240"/>
      <c r="AM12" s="240"/>
      <c r="AN12" s="240"/>
      <c r="AO12" s="240"/>
      <c r="AP12" s="240"/>
      <c r="AQ12" s="240"/>
      <c r="AR12" s="240"/>
      <c r="AS12" s="232"/>
      <c r="AT12" s="241"/>
      <c r="AU12" s="241"/>
      <c r="AV12" s="241"/>
      <c r="AW12" s="241"/>
      <c r="AX12" s="241"/>
      <c r="AY12" s="241"/>
      <c r="AZ12" s="241"/>
      <c r="BA12" s="241"/>
      <c r="BB12" s="241"/>
      <c r="BC12" s="241"/>
      <c r="BD12" s="242"/>
      <c r="BE12" s="16" t="s">
        <v>1361</v>
      </c>
    </row>
    <row r="13" spans="1:57" ht="14.4" customHeight="1">
      <c r="A13" s="37">
        <f>IF(B13="","",COUNTA($B$8:B13))</f>
        <v>6</v>
      </c>
      <c r="B13" s="232" t="s">
        <v>1718</v>
      </c>
      <c r="C13" s="233"/>
      <c r="D13" s="233"/>
      <c r="E13" s="233"/>
      <c r="F13" s="233"/>
      <c r="G13" s="233"/>
      <c r="H13" s="233"/>
      <c r="I13" s="232" t="s">
        <v>572</v>
      </c>
      <c r="J13" s="234"/>
      <c r="K13" s="234"/>
      <c r="L13" s="234"/>
      <c r="M13" s="234"/>
      <c r="N13" s="234"/>
      <c r="O13" s="234"/>
      <c r="P13" s="234"/>
      <c r="Q13" s="234"/>
      <c r="R13" s="232" t="s">
        <v>1718</v>
      </c>
      <c r="S13" s="233"/>
      <c r="T13" s="233"/>
      <c r="U13" s="233"/>
      <c r="V13" s="233"/>
      <c r="W13" s="233"/>
      <c r="X13" s="233"/>
      <c r="Y13" s="235" t="s">
        <v>1504</v>
      </c>
      <c r="Z13" s="243"/>
      <c r="AA13" s="236" t="s">
        <v>1505</v>
      </c>
      <c r="AB13" s="237"/>
      <c r="AC13" s="238"/>
      <c r="AD13" s="239">
        <v>2</v>
      </c>
      <c r="AE13" s="240"/>
      <c r="AF13" s="240"/>
      <c r="AG13" s="240"/>
      <c r="AH13" s="240"/>
      <c r="AI13" s="240"/>
      <c r="AJ13" s="240"/>
      <c r="AK13" s="240"/>
      <c r="AL13" s="240"/>
      <c r="AM13" s="240"/>
      <c r="AN13" s="240"/>
      <c r="AO13" s="240"/>
      <c r="AP13" s="240"/>
      <c r="AQ13" s="240"/>
      <c r="AR13" s="240"/>
      <c r="AS13" s="232"/>
      <c r="AT13" s="241"/>
      <c r="AU13" s="241"/>
      <c r="AV13" s="241"/>
      <c r="AW13" s="241"/>
      <c r="AX13" s="241"/>
      <c r="AY13" s="241"/>
      <c r="AZ13" s="241"/>
      <c r="BA13" s="241"/>
      <c r="BB13" s="241"/>
      <c r="BC13" s="241"/>
      <c r="BD13" s="242"/>
      <c r="BE13" s="16" t="s">
        <v>1361</v>
      </c>
    </row>
    <row r="14" spans="1:57" ht="14.4" customHeight="1">
      <c r="A14" s="37">
        <f>IF(B14="","",COUNTA($B$8:B14))</f>
        <v>7</v>
      </c>
      <c r="B14" s="35" t="s">
        <v>431</v>
      </c>
      <c r="C14" s="34"/>
      <c r="D14" s="34"/>
      <c r="E14" s="34"/>
      <c r="F14" s="34"/>
      <c r="G14" s="34"/>
      <c r="H14" s="34"/>
      <c r="I14" s="35" t="s">
        <v>432</v>
      </c>
      <c r="J14" s="27"/>
      <c r="K14" s="27"/>
      <c r="L14" s="27"/>
      <c r="M14" s="27"/>
      <c r="N14" s="27"/>
      <c r="O14" s="27"/>
      <c r="P14" s="27"/>
      <c r="Q14" s="27"/>
      <c r="R14" s="35" t="s">
        <v>431</v>
      </c>
      <c r="S14" s="34"/>
      <c r="T14" s="34"/>
      <c r="U14" s="34"/>
      <c r="V14" s="34"/>
      <c r="W14" s="34"/>
      <c r="X14" s="34"/>
      <c r="Y14" s="17" t="s">
        <v>1516</v>
      </c>
      <c r="Z14" s="187"/>
      <c r="AA14" s="21" t="s">
        <v>1517</v>
      </c>
      <c r="AB14" s="22"/>
      <c r="AC14" s="29"/>
      <c r="AD14" s="53">
        <v>7</v>
      </c>
      <c r="AE14" s="25">
        <v>3</v>
      </c>
      <c r="AF14" s="25"/>
      <c r="AG14" s="25"/>
      <c r="AH14" s="25"/>
      <c r="AI14" s="25"/>
      <c r="AJ14" s="25"/>
      <c r="AK14" s="25"/>
      <c r="AL14" s="25"/>
      <c r="AM14" s="25"/>
      <c r="AN14" s="25"/>
      <c r="AO14" s="25"/>
      <c r="AP14" s="25"/>
      <c r="AQ14" s="25"/>
      <c r="AR14" s="25"/>
      <c r="AS14" s="35" t="s">
        <v>265</v>
      </c>
      <c r="AT14" s="36"/>
      <c r="AU14" s="36"/>
      <c r="AV14" s="36"/>
      <c r="AW14" s="36"/>
      <c r="AX14" s="36"/>
      <c r="AY14" s="36"/>
      <c r="AZ14" s="36"/>
      <c r="BA14" s="36"/>
      <c r="BB14" s="36"/>
      <c r="BC14" s="36"/>
      <c r="BD14" s="50"/>
    </row>
    <row r="15" spans="1:57" ht="14.4" customHeight="1">
      <c r="A15" s="37">
        <f>IF(B15="","",COUNTA($B$8:B15))</f>
        <v>8</v>
      </c>
      <c r="B15" s="54" t="s">
        <v>1646</v>
      </c>
      <c r="C15" s="55"/>
      <c r="D15" s="55"/>
      <c r="E15" s="55"/>
      <c r="F15" s="55"/>
      <c r="G15" s="55"/>
      <c r="H15" s="55"/>
      <c r="I15" s="54" t="s">
        <v>1478</v>
      </c>
      <c r="J15" s="56"/>
      <c r="K15" s="56"/>
      <c r="L15" s="56"/>
      <c r="M15" s="56"/>
      <c r="N15" s="56"/>
      <c r="O15" s="56"/>
      <c r="P15" s="56"/>
      <c r="Q15" s="56"/>
      <c r="R15" s="54" t="s">
        <v>1646</v>
      </c>
      <c r="S15" s="55"/>
      <c r="T15" s="55"/>
      <c r="U15" s="55"/>
      <c r="V15" s="55"/>
      <c r="W15" s="55"/>
      <c r="X15" s="55"/>
      <c r="Y15" s="219" t="s">
        <v>1510</v>
      </c>
      <c r="Z15" s="263"/>
      <c r="AA15" s="260" t="s">
        <v>1511</v>
      </c>
      <c r="AB15" s="261"/>
      <c r="AC15" s="262"/>
      <c r="AD15" s="57"/>
      <c r="AE15" s="58"/>
      <c r="AF15" s="58"/>
      <c r="AG15" s="58"/>
      <c r="AH15" s="58"/>
      <c r="AI15" s="58"/>
      <c r="AJ15" s="58"/>
      <c r="AK15" s="58"/>
      <c r="AL15" s="58"/>
      <c r="AM15" s="58"/>
      <c r="AN15" s="58"/>
      <c r="AO15" s="58"/>
      <c r="AP15" s="58"/>
      <c r="AQ15" s="58"/>
      <c r="AR15" s="58"/>
      <c r="AS15" s="54"/>
      <c r="AT15" s="59"/>
      <c r="AU15" s="59"/>
      <c r="AV15" s="59"/>
      <c r="AW15" s="59"/>
      <c r="AX15" s="59"/>
      <c r="AY15" s="59"/>
      <c r="AZ15" s="59"/>
      <c r="BA15" s="59"/>
      <c r="BB15" s="59"/>
      <c r="BC15" s="59"/>
      <c r="BD15" s="60"/>
      <c r="BE15" s="16" t="s">
        <v>1381</v>
      </c>
    </row>
    <row r="16" spans="1:57" ht="14.4" customHeight="1">
      <c r="A16" s="37">
        <f>IF(B16="","",COUNTA($B$8:B16))</f>
        <v>9</v>
      </c>
      <c r="B16" s="17" t="s">
        <v>1302</v>
      </c>
      <c r="C16" s="34"/>
      <c r="D16" s="34"/>
      <c r="E16" s="34"/>
      <c r="F16" s="34"/>
      <c r="G16" s="34"/>
      <c r="H16" s="34"/>
      <c r="I16" s="35" t="s">
        <v>624</v>
      </c>
      <c r="J16" s="27"/>
      <c r="K16" s="27"/>
      <c r="L16" s="27"/>
      <c r="M16" s="27"/>
      <c r="N16" s="27"/>
      <c r="O16" s="27"/>
      <c r="P16" s="27"/>
      <c r="Q16" s="27"/>
      <c r="R16" s="17" t="s">
        <v>1704</v>
      </c>
      <c r="S16" s="34"/>
      <c r="T16" s="34"/>
      <c r="U16" s="34"/>
      <c r="V16" s="34"/>
      <c r="W16" s="34"/>
      <c r="X16" s="34"/>
      <c r="Y16" s="17" t="s">
        <v>1504</v>
      </c>
      <c r="Z16" s="28"/>
      <c r="AA16" s="21" t="s">
        <v>1505</v>
      </c>
      <c r="AB16" s="22"/>
      <c r="AC16" s="29"/>
      <c r="AD16" s="23">
        <v>10</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6" ht="14.4" customHeight="1">
      <c r="A17" s="37">
        <f>IF(B17="","",COUNTA($B$8:B17))</f>
        <v>10</v>
      </c>
      <c r="B17" s="17" t="s">
        <v>1508</v>
      </c>
      <c r="C17" s="34"/>
      <c r="D17" s="34"/>
      <c r="E17" s="34"/>
      <c r="F17" s="34"/>
      <c r="G17" s="34"/>
      <c r="H17" s="34"/>
      <c r="I17" s="35" t="s">
        <v>624</v>
      </c>
      <c r="J17" s="27"/>
      <c r="K17" s="27"/>
      <c r="L17" s="27"/>
      <c r="M17" s="27"/>
      <c r="N17" s="27"/>
      <c r="O17" s="27"/>
      <c r="P17" s="27"/>
      <c r="Q17" s="27"/>
      <c r="R17" s="17" t="s">
        <v>1508</v>
      </c>
      <c r="S17" s="34"/>
      <c r="T17" s="34"/>
      <c r="U17" s="34"/>
      <c r="V17" s="34"/>
      <c r="W17" s="34"/>
      <c r="X17" s="34"/>
      <c r="Y17" s="17" t="s">
        <v>1504</v>
      </c>
      <c r="Z17" s="28"/>
      <c r="AA17" s="21" t="s">
        <v>1505</v>
      </c>
      <c r="AB17" s="22"/>
      <c r="AC17" s="29"/>
      <c r="AD17" s="23">
        <v>10</v>
      </c>
      <c r="AE17" s="25"/>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6" ht="14.4" customHeight="1">
      <c r="A18" s="37">
        <f>IF(B18="","",COUNTA($B$8:B18))</f>
        <v>11</v>
      </c>
      <c r="B18" s="17" t="s">
        <v>1509</v>
      </c>
      <c r="C18" s="34"/>
      <c r="D18" s="34"/>
      <c r="E18" s="34"/>
      <c r="F18" s="34"/>
      <c r="G18" s="34"/>
      <c r="H18" s="34"/>
      <c r="I18" s="35" t="s">
        <v>548</v>
      </c>
      <c r="J18" s="27"/>
      <c r="K18" s="27"/>
      <c r="L18" s="27"/>
      <c r="M18" s="27"/>
      <c r="N18" s="27"/>
      <c r="O18" s="27"/>
      <c r="P18" s="27"/>
      <c r="Q18" s="27"/>
      <c r="R18" s="17" t="s">
        <v>1509</v>
      </c>
      <c r="S18" s="34"/>
      <c r="T18" s="34"/>
      <c r="U18" s="34"/>
      <c r="V18" s="34"/>
      <c r="W18" s="34"/>
      <c r="X18" s="34"/>
      <c r="Y18" s="17" t="s">
        <v>1510</v>
      </c>
      <c r="Z18" s="28"/>
      <c r="AA18" s="21" t="s">
        <v>1511</v>
      </c>
      <c r="AB18" s="22"/>
      <c r="AC18" s="29"/>
      <c r="AD18" s="38"/>
      <c r="AE18" s="25"/>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6" ht="14.4" customHeight="1">
      <c r="A19" s="37">
        <f>IF(B19="","",COUNTA($B$8:B19))</f>
        <v>12</v>
      </c>
      <c r="B19" s="17" t="s">
        <v>1306</v>
      </c>
      <c r="C19" s="34"/>
      <c r="D19" s="34"/>
      <c r="E19" s="34"/>
      <c r="F19" s="34"/>
      <c r="G19" s="34"/>
      <c r="H19" s="34"/>
      <c r="I19" s="35" t="s">
        <v>626</v>
      </c>
      <c r="J19" s="27"/>
      <c r="K19" s="27"/>
      <c r="L19" s="27"/>
      <c r="M19" s="27"/>
      <c r="N19" s="27"/>
      <c r="O19" s="27"/>
      <c r="P19" s="27"/>
      <c r="Q19" s="27"/>
      <c r="R19" s="17" t="s">
        <v>1634</v>
      </c>
      <c r="S19" s="34"/>
      <c r="T19" s="34"/>
      <c r="U19" s="34"/>
      <c r="V19" s="34"/>
      <c r="W19" s="34"/>
      <c r="X19" s="34"/>
      <c r="Y19" s="17" t="s">
        <v>1504</v>
      </c>
      <c r="Z19" s="28"/>
      <c r="AA19" s="21" t="s">
        <v>1505</v>
      </c>
      <c r="AB19" s="22"/>
      <c r="AC19" s="29"/>
      <c r="AD19" s="23">
        <v>10</v>
      </c>
      <c r="AE19" s="25"/>
      <c r="AF19" s="25"/>
      <c r="AG19" s="25"/>
      <c r="AH19" s="25"/>
      <c r="AI19" s="25"/>
      <c r="AJ19" s="25"/>
      <c r="AK19" s="25"/>
      <c r="AL19" s="25"/>
      <c r="AM19" s="25"/>
      <c r="AN19" s="25"/>
      <c r="AO19" s="25"/>
      <c r="AP19" s="25"/>
      <c r="AQ19" s="25"/>
      <c r="AR19" s="25"/>
      <c r="AS19" s="26"/>
      <c r="AT19" s="51"/>
      <c r="AU19" s="51"/>
      <c r="AV19" s="51"/>
      <c r="AW19" s="51"/>
      <c r="AX19" s="51"/>
      <c r="AY19" s="51"/>
      <c r="AZ19" s="51"/>
      <c r="BA19" s="51"/>
      <c r="BB19" s="51"/>
      <c r="BC19" s="51"/>
      <c r="BD19" s="52"/>
    </row>
    <row r="20" spans="1:56" ht="14.4" customHeight="1">
      <c r="A20" s="37">
        <f>IF(B20="","",COUNTA($B$8:B20))</f>
        <v>13</v>
      </c>
      <c r="B20" s="17" t="s">
        <v>1512</v>
      </c>
      <c r="C20" s="18"/>
      <c r="D20" s="18"/>
      <c r="E20" s="18"/>
      <c r="F20" s="18"/>
      <c r="G20" s="18"/>
      <c r="H20" s="18"/>
      <c r="I20" s="35" t="s">
        <v>390</v>
      </c>
      <c r="J20" s="20"/>
      <c r="K20" s="20"/>
      <c r="L20" s="20"/>
      <c r="M20" s="20"/>
      <c r="N20" s="20"/>
      <c r="O20" s="20"/>
      <c r="P20" s="20"/>
      <c r="Q20" s="20"/>
      <c r="R20" s="17" t="s">
        <v>1512</v>
      </c>
      <c r="S20" s="18"/>
      <c r="T20" s="18"/>
      <c r="U20" s="18"/>
      <c r="V20" s="18"/>
      <c r="W20" s="18"/>
      <c r="X20" s="18"/>
      <c r="Y20" s="17" t="s">
        <v>1504</v>
      </c>
      <c r="Z20" s="28"/>
      <c r="AA20" s="21" t="s">
        <v>1505</v>
      </c>
      <c r="AB20" s="22"/>
      <c r="AC20" s="29"/>
      <c r="AD20" s="38">
        <v>10</v>
      </c>
      <c r="AE20" s="30" t="s">
        <v>1585</v>
      </c>
      <c r="AF20" s="25"/>
      <c r="AG20" s="25"/>
      <c r="AH20" s="25"/>
      <c r="AI20" s="25"/>
      <c r="AJ20" s="25"/>
      <c r="AK20" s="25"/>
      <c r="AL20" s="25"/>
      <c r="AM20" s="25"/>
      <c r="AN20" s="25"/>
      <c r="AO20" s="25"/>
      <c r="AP20" s="25"/>
      <c r="AQ20" s="25"/>
      <c r="AR20" s="25"/>
      <c r="AS20" s="26"/>
      <c r="AT20" s="51"/>
      <c r="AU20" s="51"/>
      <c r="AV20" s="51"/>
      <c r="AW20" s="51"/>
      <c r="AX20" s="51"/>
      <c r="AY20" s="51"/>
      <c r="AZ20" s="51"/>
      <c r="BA20" s="51"/>
      <c r="BB20" s="51"/>
      <c r="BC20" s="51"/>
      <c r="BD20" s="52"/>
    </row>
    <row r="21" spans="1:56" ht="14.4" customHeight="1">
      <c r="A21" s="37">
        <f>IF(B21="","",COUNTA($B$8:B21))</f>
        <v>14</v>
      </c>
      <c r="B21" s="17" t="s">
        <v>1513</v>
      </c>
      <c r="C21" s="18"/>
      <c r="D21" s="18"/>
      <c r="E21" s="18"/>
      <c r="F21" s="18"/>
      <c r="G21" s="18"/>
      <c r="H21" s="18"/>
      <c r="I21" s="35" t="s">
        <v>394</v>
      </c>
      <c r="J21" s="20"/>
      <c r="K21" s="20"/>
      <c r="L21" s="20"/>
      <c r="M21" s="20"/>
      <c r="N21" s="20"/>
      <c r="O21" s="20"/>
      <c r="P21" s="20"/>
      <c r="Q21" s="20"/>
      <c r="R21" s="17" t="s">
        <v>1513</v>
      </c>
      <c r="S21" s="18"/>
      <c r="T21" s="18"/>
      <c r="U21" s="18"/>
      <c r="V21" s="18"/>
      <c r="W21" s="18"/>
      <c r="X21" s="18"/>
      <c r="Y21" s="589" t="s">
        <v>1510</v>
      </c>
      <c r="Z21" s="590"/>
      <c r="AA21" s="591" t="s">
        <v>1511</v>
      </c>
      <c r="AB21" s="592"/>
      <c r="AC21" s="593"/>
      <c r="AD21" s="38"/>
      <c r="AE21" s="30" t="s">
        <v>1585</v>
      </c>
      <c r="AF21" s="25"/>
      <c r="AG21" s="25"/>
      <c r="AH21" s="25"/>
      <c r="AI21" s="25"/>
      <c r="AJ21" s="25"/>
      <c r="AK21" s="25"/>
      <c r="AL21" s="25"/>
      <c r="AM21" s="25"/>
      <c r="AN21" s="25"/>
      <c r="AO21" s="25"/>
      <c r="AP21" s="25"/>
      <c r="AQ21" s="25"/>
      <c r="AR21" s="25"/>
      <c r="AS21" s="26"/>
      <c r="AT21" s="51"/>
      <c r="AU21" s="51"/>
      <c r="AV21" s="51"/>
      <c r="AW21" s="51"/>
      <c r="AX21" s="51"/>
      <c r="AY21" s="51"/>
      <c r="AZ21" s="51"/>
      <c r="BA21" s="51"/>
      <c r="BB21" s="51"/>
      <c r="BC21" s="51"/>
      <c r="BD21" s="52"/>
    </row>
    <row r="22" spans="1:56" ht="14.4" customHeight="1">
      <c r="A22" s="37" t="str">
        <f>IF(B22="","",COUNTA($B$8:B22))</f>
        <v/>
      </c>
      <c r="B22" s="17"/>
      <c r="C22" s="18"/>
      <c r="D22" s="18"/>
      <c r="E22" s="18"/>
      <c r="F22" s="18"/>
      <c r="G22" s="18"/>
      <c r="H22" s="18"/>
      <c r="I22" s="35"/>
      <c r="J22" s="20"/>
      <c r="K22" s="20"/>
      <c r="L22" s="20"/>
      <c r="M22" s="20"/>
      <c r="N22" s="20"/>
      <c r="O22" s="20"/>
      <c r="P22" s="20"/>
      <c r="Q22" s="20"/>
      <c r="R22" s="17"/>
      <c r="S22" s="18"/>
      <c r="T22" s="18"/>
      <c r="U22" s="18"/>
      <c r="V22" s="18"/>
      <c r="W22" s="18"/>
      <c r="X22" s="18"/>
      <c r="Y22" s="589"/>
      <c r="Z22" s="590"/>
      <c r="AA22" s="591"/>
      <c r="AB22" s="592"/>
      <c r="AC22" s="593"/>
      <c r="AD22" s="38"/>
      <c r="AE22" s="30"/>
      <c r="AF22" s="25"/>
      <c r="AG22" s="25"/>
      <c r="AH22" s="25"/>
      <c r="AI22" s="25"/>
      <c r="AJ22" s="25"/>
      <c r="AK22" s="25"/>
      <c r="AL22" s="25"/>
      <c r="AM22" s="25"/>
      <c r="AN22" s="25"/>
      <c r="AO22" s="25"/>
      <c r="AP22" s="25"/>
      <c r="AQ22" s="25"/>
      <c r="AR22" s="25"/>
      <c r="AS22" s="26"/>
      <c r="AT22" s="51"/>
      <c r="AU22" s="51"/>
      <c r="AV22" s="51"/>
      <c r="AW22" s="51"/>
      <c r="AX22" s="51"/>
      <c r="AY22" s="51"/>
      <c r="AZ22" s="51"/>
      <c r="BA22" s="51"/>
      <c r="BB22" s="51"/>
      <c r="BC22" s="51"/>
      <c r="BD22" s="52"/>
    </row>
    <row r="23" spans="1:56" ht="14.4" customHeight="1">
      <c r="A23" s="37" t="str">
        <f>IF(B23="","",COUNTA($B$8:B23))</f>
        <v/>
      </c>
      <c r="B23" s="17"/>
      <c r="C23" s="18"/>
      <c r="D23" s="18"/>
      <c r="E23" s="18"/>
      <c r="F23" s="18"/>
      <c r="G23" s="18"/>
      <c r="H23" s="18"/>
      <c r="I23" s="35"/>
      <c r="J23" s="20"/>
      <c r="K23" s="20"/>
      <c r="L23" s="20"/>
      <c r="M23" s="20"/>
      <c r="N23" s="20"/>
      <c r="O23" s="20"/>
      <c r="P23" s="20"/>
      <c r="Q23" s="20"/>
      <c r="R23" s="17"/>
      <c r="S23" s="18"/>
      <c r="T23" s="18"/>
      <c r="U23" s="18"/>
      <c r="V23" s="18"/>
      <c r="W23" s="18"/>
      <c r="X23" s="18"/>
      <c r="Y23" s="589"/>
      <c r="Z23" s="590"/>
      <c r="AA23" s="591"/>
      <c r="AB23" s="592"/>
      <c r="AC23" s="593"/>
      <c r="AD23" s="38"/>
      <c r="AE23" s="30"/>
      <c r="AF23" s="30"/>
      <c r="AG23" s="30"/>
      <c r="AH23" s="30"/>
      <c r="AI23" s="30"/>
      <c r="AJ23" s="30"/>
      <c r="AK23" s="30"/>
      <c r="AL23" s="30"/>
      <c r="AM23" s="30"/>
      <c r="AN23" s="30"/>
      <c r="AO23" s="31"/>
      <c r="AP23" s="31"/>
      <c r="AQ23" s="31"/>
      <c r="AR23" s="31"/>
      <c r="AS23" s="32"/>
      <c r="AT23" s="33"/>
      <c r="AU23" s="51"/>
      <c r="AV23" s="51"/>
      <c r="AW23" s="51"/>
      <c r="AX23" s="51"/>
      <c r="AY23" s="51"/>
      <c r="AZ23" s="51"/>
      <c r="BA23" s="51"/>
      <c r="BB23" s="51"/>
      <c r="BC23" s="51"/>
      <c r="BD23" s="52"/>
    </row>
    <row r="24" spans="1:56" ht="14.4" customHeight="1">
      <c r="A24" s="37" t="str">
        <f>IF(B24="","",COUNTA($B$8:B24))</f>
        <v/>
      </c>
      <c r="B24" s="17"/>
      <c r="C24" s="18"/>
      <c r="D24" s="18"/>
      <c r="E24" s="18"/>
      <c r="F24" s="18"/>
      <c r="G24" s="18"/>
      <c r="H24" s="18"/>
      <c r="I24" s="35"/>
      <c r="J24" s="20"/>
      <c r="K24" s="20"/>
      <c r="L24" s="20"/>
      <c r="M24" s="20"/>
      <c r="N24" s="20"/>
      <c r="O24" s="20"/>
      <c r="P24" s="20"/>
      <c r="Q24" s="20"/>
      <c r="R24" s="17"/>
      <c r="S24" s="18"/>
      <c r="T24" s="18"/>
      <c r="U24" s="18"/>
      <c r="V24" s="18"/>
      <c r="W24" s="18"/>
      <c r="X24" s="18"/>
      <c r="Y24" s="589"/>
      <c r="Z24" s="590"/>
      <c r="AA24" s="591"/>
      <c r="AB24" s="592"/>
      <c r="AC24" s="593"/>
      <c r="AD24" s="38"/>
      <c r="AE24" s="30"/>
      <c r="AF24" s="30"/>
      <c r="AG24" s="30"/>
      <c r="AH24" s="30"/>
      <c r="AI24" s="30"/>
      <c r="AJ24" s="30"/>
      <c r="AK24" s="30"/>
      <c r="AL24" s="30"/>
      <c r="AM24" s="30"/>
      <c r="AN24" s="30"/>
      <c r="AO24" s="31"/>
      <c r="AP24" s="31"/>
      <c r="AQ24" s="31"/>
      <c r="AR24" s="31"/>
      <c r="AS24" s="32"/>
      <c r="AT24" s="33"/>
      <c r="AU24" s="51"/>
      <c r="AV24" s="51"/>
      <c r="AW24" s="51"/>
      <c r="AX24" s="51"/>
      <c r="AY24" s="51"/>
      <c r="AZ24" s="51"/>
      <c r="BA24" s="51"/>
      <c r="BB24" s="51"/>
      <c r="BC24" s="51"/>
      <c r="BD24" s="52"/>
    </row>
    <row r="25" spans="1:56" ht="14.4" customHeight="1">
      <c r="A25" s="37" t="str">
        <f>IF(B25="","",COUNTA($B$8:B25))</f>
        <v/>
      </c>
      <c r="B25" s="17"/>
      <c r="C25" s="18"/>
      <c r="D25" s="18"/>
      <c r="E25" s="18"/>
      <c r="F25" s="18"/>
      <c r="G25" s="18"/>
      <c r="H25" s="18"/>
      <c r="I25" s="35"/>
      <c r="J25" s="20"/>
      <c r="K25" s="20"/>
      <c r="L25" s="20"/>
      <c r="M25" s="20"/>
      <c r="N25" s="20"/>
      <c r="O25" s="20"/>
      <c r="P25" s="20"/>
      <c r="Q25" s="20"/>
      <c r="R25" s="17"/>
      <c r="S25" s="18"/>
      <c r="T25" s="18"/>
      <c r="U25" s="18"/>
      <c r="V25" s="18"/>
      <c r="W25" s="18"/>
      <c r="X25" s="18"/>
      <c r="Y25" s="17"/>
      <c r="Z25" s="28"/>
      <c r="AA25" s="21"/>
      <c r="AB25" s="22"/>
      <c r="AC25" s="29"/>
      <c r="AD25" s="38"/>
      <c r="AE25" s="30"/>
      <c r="AF25" s="30"/>
      <c r="AG25" s="30"/>
      <c r="AH25" s="30"/>
      <c r="AI25" s="30"/>
      <c r="AJ25" s="30"/>
      <c r="AK25" s="30"/>
      <c r="AL25" s="30"/>
      <c r="AM25" s="30"/>
      <c r="AN25" s="30"/>
      <c r="AO25" s="31"/>
      <c r="AP25" s="31"/>
      <c r="AQ25" s="31"/>
      <c r="AR25" s="31"/>
      <c r="AS25" s="32"/>
      <c r="AT25" s="33"/>
      <c r="AU25" s="51"/>
      <c r="AV25" s="51"/>
      <c r="AW25" s="51"/>
      <c r="AX25" s="51"/>
      <c r="AY25" s="51"/>
      <c r="AZ25" s="51"/>
      <c r="BA25" s="51"/>
      <c r="BB25" s="51"/>
      <c r="BC25" s="51"/>
      <c r="BD25" s="52"/>
    </row>
    <row r="26" spans="1:56" ht="14.4" customHeight="1">
      <c r="A26" s="37" t="str">
        <f>IF(B26="","",COUNTA($B$8:B26))</f>
        <v/>
      </c>
      <c r="B26" s="17"/>
      <c r="C26" s="18"/>
      <c r="D26" s="18"/>
      <c r="E26" s="18"/>
      <c r="F26" s="18"/>
      <c r="G26" s="18"/>
      <c r="H26" s="18"/>
      <c r="I26" s="35"/>
      <c r="J26" s="20"/>
      <c r="K26" s="20"/>
      <c r="L26" s="20"/>
      <c r="M26" s="20"/>
      <c r="N26" s="20"/>
      <c r="O26" s="20"/>
      <c r="P26" s="20"/>
      <c r="Q26" s="20"/>
      <c r="R26" s="17"/>
      <c r="S26" s="18"/>
      <c r="T26" s="18"/>
      <c r="U26" s="18"/>
      <c r="V26" s="18"/>
      <c r="W26" s="18"/>
      <c r="X26" s="18"/>
      <c r="Y26" s="17"/>
      <c r="Z26" s="28"/>
      <c r="AA26" s="21"/>
      <c r="AB26" s="22"/>
      <c r="AC26" s="29"/>
      <c r="AD26" s="38"/>
      <c r="AE26" s="30"/>
      <c r="AF26" s="30"/>
      <c r="AG26" s="30"/>
      <c r="AH26" s="30"/>
      <c r="AI26" s="30"/>
      <c r="AJ26" s="30"/>
      <c r="AK26" s="30"/>
      <c r="AL26" s="30"/>
      <c r="AM26" s="30"/>
      <c r="AN26" s="30"/>
      <c r="AO26" s="31"/>
      <c r="AP26" s="31"/>
      <c r="AQ26" s="31"/>
      <c r="AR26" s="31"/>
      <c r="AS26" s="32"/>
      <c r="AT26" s="33"/>
      <c r="AU26" s="51"/>
      <c r="AV26" s="51"/>
      <c r="AW26" s="51"/>
      <c r="AX26" s="51"/>
      <c r="AY26" s="51"/>
      <c r="AZ26" s="51"/>
      <c r="BA26" s="51"/>
      <c r="BB26" s="51"/>
      <c r="BC26" s="51"/>
      <c r="BD26" s="52"/>
    </row>
    <row r="27" spans="1:56" ht="14.4" customHeight="1">
      <c r="A27" s="37" t="str">
        <f>IF(B27="","",COUNTA($B$8:B27))</f>
        <v/>
      </c>
      <c r="B27" s="17"/>
      <c r="C27" s="18"/>
      <c r="D27" s="18"/>
      <c r="E27" s="18"/>
      <c r="F27" s="18"/>
      <c r="G27" s="18"/>
      <c r="H27" s="18"/>
      <c r="I27" s="35"/>
      <c r="J27" s="20"/>
      <c r="K27" s="20"/>
      <c r="L27" s="20"/>
      <c r="M27" s="20"/>
      <c r="N27" s="20"/>
      <c r="O27" s="20"/>
      <c r="P27" s="20"/>
      <c r="Q27" s="20"/>
      <c r="R27" s="17"/>
      <c r="S27" s="18"/>
      <c r="T27" s="18"/>
      <c r="U27" s="18"/>
      <c r="V27" s="18"/>
      <c r="W27" s="18"/>
      <c r="X27" s="18"/>
      <c r="Y27" s="17"/>
      <c r="Z27" s="28"/>
      <c r="AA27" s="21"/>
      <c r="AB27" s="22"/>
      <c r="AC27" s="29"/>
      <c r="AD27" s="38"/>
      <c r="AE27" s="30"/>
      <c r="AF27" s="30"/>
      <c r="AG27" s="30"/>
      <c r="AH27" s="30"/>
      <c r="AI27" s="30"/>
      <c r="AJ27" s="30"/>
      <c r="AK27" s="30"/>
      <c r="AL27" s="30"/>
      <c r="AM27" s="30"/>
      <c r="AN27" s="30"/>
      <c r="AO27" s="31"/>
      <c r="AP27" s="31"/>
      <c r="AQ27" s="31"/>
      <c r="AR27" s="31"/>
      <c r="AS27" s="32"/>
      <c r="AT27" s="33"/>
      <c r="AU27" s="51"/>
      <c r="AV27" s="51"/>
      <c r="AW27" s="51"/>
      <c r="AX27" s="51"/>
      <c r="AY27" s="51"/>
      <c r="AZ27" s="51"/>
      <c r="BA27" s="51"/>
      <c r="BB27" s="51"/>
      <c r="BC27" s="51"/>
      <c r="BD27" s="52"/>
    </row>
    <row r="28" spans="1:56" ht="14.4" customHeight="1">
      <c r="A28" s="37" t="str">
        <f>IF(B28="","",COUNTA($B$8:B28))</f>
        <v/>
      </c>
      <c r="B28" s="17"/>
      <c r="C28" s="18"/>
      <c r="D28" s="18"/>
      <c r="E28" s="18"/>
      <c r="F28" s="18"/>
      <c r="G28" s="18"/>
      <c r="H28" s="18"/>
      <c r="I28" s="35"/>
      <c r="J28" s="20"/>
      <c r="K28" s="20"/>
      <c r="L28" s="20"/>
      <c r="M28" s="20"/>
      <c r="N28" s="20"/>
      <c r="O28" s="20"/>
      <c r="P28" s="20"/>
      <c r="Q28" s="20"/>
      <c r="R28" s="17"/>
      <c r="S28" s="18"/>
      <c r="T28" s="18"/>
      <c r="U28" s="18"/>
      <c r="V28" s="18"/>
      <c r="W28" s="18"/>
      <c r="X28" s="18"/>
      <c r="Y28" s="17"/>
      <c r="Z28" s="28"/>
      <c r="AA28" s="21"/>
      <c r="AB28" s="22"/>
      <c r="AC28" s="29"/>
      <c r="AD28" s="38"/>
      <c r="AE28" s="30"/>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6" ht="14.4" customHeight="1">
      <c r="A29" s="37" t="str">
        <f>IF(B29="","",COUNTA($B$8:B29))</f>
        <v/>
      </c>
      <c r="B29" s="17"/>
      <c r="C29" s="18"/>
      <c r="D29" s="18"/>
      <c r="E29" s="18"/>
      <c r="F29" s="18"/>
      <c r="G29" s="18"/>
      <c r="H29" s="18"/>
      <c r="I29" s="35"/>
      <c r="J29" s="20"/>
      <c r="K29" s="20"/>
      <c r="L29" s="20"/>
      <c r="M29" s="20"/>
      <c r="N29" s="20"/>
      <c r="O29" s="20"/>
      <c r="P29" s="20"/>
      <c r="Q29" s="20"/>
      <c r="R29" s="17"/>
      <c r="S29" s="18"/>
      <c r="T29" s="18"/>
      <c r="U29" s="18"/>
      <c r="V29" s="18"/>
      <c r="W29" s="18"/>
      <c r="X29" s="18"/>
      <c r="Y29" s="17"/>
      <c r="Z29" s="28"/>
      <c r="AA29" s="21"/>
      <c r="AB29" s="22"/>
      <c r="AC29" s="29"/>
      <c r="AD29" s="38"/>
      <c r="AE29" s="30"/>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6" ht="14.4" customHeight="1">
      <c r="A30" s="37" t="str">
        <f>IF(B30="","",COUNTA($B$8:B30))</f>
        <v/>
      </c>
      <c r="B30" s="17"/>
      <c r="C30" s="18"/>
      <c r="D30" s="18"/>
      <c r="E30" s="18"/>
      <c r="F30" s="18"/>
      <c r="G30" s="18"/>
      <c r="H30" s="18"/>
      <c r="I30" s="35"/>
      <c r="J30" s="20"/>
      <c r="K30" s="20"/>
      <c r="L30" s="20"/>
      <c r="M30" s="20"/>
      <c r="N30" s="20"/>
      <c r="O30" s="20"/>
      <c r="P30" s="20"/>
      <c r="Q30" s="20"/>
      <c r="R30" s="17"/>
      <c r="S30" s="18"/>
      <c r="T30" s="18"/>
      <c r="U30" s="18"/>
      <c r="V30" s="18"/>
      <c r="W30" s="18"/>
      <c r="X30" s="18"/>
      <c r="Y30" s="17"/>
      <c r="Z30" s="28"/>
      <c r="AA30" s="21"/>
      <c r="AB30" s="22"/>
      <c r="AC30" s="29"/>
      <c r="AD30" s="38"/>
      <c r="AE30" s="30"/>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6" ht="14.4" customHeight="1">
      <c r="A31" s="37" t="str">
        <f>IF(B31="","",COUNTA($B$8:B31))</f>
        <v/>
      </c>
      <c r="B31" s="17"/>
      <c r="C31" s="18"/>
      <c r="D31" s="18"/>
      <c r="E31" s="18"/>
      <c r="F31" s="18"/>
      <c r="G31" s="18"/>
      <c r="H31" s="18"/>
      <c r="I31" s="35"/>
      <c r="J31" s="20"/>
      <c r="K31" s="20"/>
      <c r="L31" s="20"/>
      <c r="M31" s="20"/>
      <c r="N31" s="20"/>
      <c r="O31" s="20"/>
      <c r="P31" s="20"/>
      <c r="Q31" s="20"/>
      <c r="R31" s="17"/>
      <c r="S31" s="18"/>
      <c r="T31" s="18"/>
      <c r="U31" s="18"/>
      <c r="V31" s="18"/>
      <c r="W31" s="18"/>
      <c r="X31" s="18"/>
      <c r="Y31" s="17"/>
      <c r="Z31" s="28"/>
      <c r="AA31" s="21"/>
      <c r="AB31" s="22"/>
      <c r="AC31" s="29"/>
      <c r="AD31" s="38"/>
      <c r="AE31" s="30"/>
      <c r="AF31" s="30"/>
      <c r="AG31" s="30"/>
      <c r="AH31" s="30"/>
      <c r="AI31" s="30"/>
      <c r="AJ31" s="30"/>
      <c r="AK31" s="30"/>
      <c r="AL31" s="30"/>
      <c r="AM31" s="30"/>
      <c r="AN31" s="30"/>
      <c r="AO31" s="31"/>
      <c r="AP31" s="31"/>
      <c r="AQ31" s="31"/>
      <c r="AR31" s="31"/>
      <c r="AS31" s="32"/>
      <c r="AT31" s="33"/>
      <c r="AU31" s="51"/>
      <c r="AV31" s="51"/>
      <c r="AW31" s="51"/>
      <c r="AX31" s="51"/>
      <c r="AY31" s="51"/>
      <c r="AZ31" s="51"/>
      <c r="BA31" s="51"/>
      <c r="BB31" s="51"/>
      <c r="BC31" s="51"/>
      <c r="BD31" s="52"/>
    </row>
    <row r="32" spans="1:56" ht="14.4" customHeight="1">
      <c r="A32" s="37" t="str">
        <f>IF(B32="","",COUNTA($B$8:B32))</f>
        <v/>
      </c>
      <c r="B32" s="17"/>
      <c r="C32" s="18"/>
      <c r="D32" s="18"/>
      <c r="E32" s="18"/>
      <c r="F32" s="18"/>
      <c r="G32" s="18"/>
      <c r="H32" s="18"/>
      <c r="I32" s="35"/>
      <c r="J32" s="20"/>
      <c r="K32" s="20"/>
      <c r="L32" s="20"/>
      <c r="M32" s="20"/>
      <c r="N32" s="20"/>
      <c r="O32" s="20"/>
      <c r="P32" s="20"/>
      <c r="Q32" s="20"/>
      <c r="R32" s="17"/>
      <c r="S32" s="18"/>
      <c r="T32" s="18"/>
      <c r="U32" s="18"/>
      <c r="V32" s="18"/>
      <c r="W32" s="18"/>
      <c r="X32" s="18"/>
      <c r="Y32" s="17"/>
      <c r="Z32" s="28"/>
      <c r="AA32" s="21"/>
      <c r="AB32" s="22"/>
      <c r="AC32" s="29"/>
      <c r="AD32" s="38"/>
      <c r="AE32" s="30"/>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4.4" customHeight="1">
      <c r="A33" s="37" t="str">
        <f>IF(B33="","",COUNTA($B$8:B33))</f>
        <v/>
      </c>
      <c r="B33" s="17"/>
      <c r="C33" s="18"/>
      <c r="D33" s="18"/>
      <c r="E33" s="18"/>
      <c r="F33" s="18"/>
      <c r="G33" s="18"/>
      <c r="H33" s="18"/>
      <c r="I33" s="35"/>
      <c r="J33" s="20"/>
      <c r="K33" s="20"/>
      <c r="L33" s="20"/>
      <c r="M33" s="20"/>
      <c r="N33" s="20"/>
      <c r="O33" s="20"/>
      <c r="P33" s="20"/>
      <c r="Q33" s="20"/>
      <c r="R33" s="17"/>
      <c r="S33" s="18"/>
      <c r="T33" s="18"/>
      <c r="U33" s="18"/>
      <c r="V33" s="18"/>
      <c r="W33" s="18"/>
      <c r="X33" s="18"/>
      <c r="Y33" s="17"/>
      <c r="Z33" s="28"/>
      <c r="AA33" s="21"/>
      <c r="AB33" s="22"/>
      <c r="AC33" s="29"/>
      <c r="AD33" s="38"/>
      <c r="AE33" s="30"/>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4.4" customHeight="1">
      <c r="A34" s="37" t="str">
        <f>IF(B34="","",COUNTA($B$8:B34))</f>
        <v/>
      </c>
      <c r="B34" s="17"/>
      <c r="C34" s="18"/>
      <c r="D34" s="18"/>
      <c r="E34" s="18"/>
      <c r="F34" s="18"/>
      <c r="G34" s="18"/>
      <c r="H34" s="18"/>
      <c r="I34" s="35"/>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 customHeight="1">
      <c r="A35" s="37" t="str">
        <f>IF(B35="","",COUNTA($B$8:B35))</f>
        <v/>
      </c>
      <c r="B35" s="17"/>
      <c r="C35" s="18"/>
      <c r="D35" s="18"/>
      <c r="E35" s="18"/>
      <c r="F35" s="18"/>
      <c r="G35" s="18"/>
      <c r="H35" s="18"/>
      <c r="I35" s="35"/>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 customHeight="1">
      <c r="A36" s="37" t="str">
        <f>IF(B36="","",COUNTA($B$8:B36))</f>
        <v/>
      </c>
      <c r="B36" s="26"/>
      <c r="C36" s="34"/>
      <c r="D36" s="34"/>
      <c r="E36" s="34"/>
      <c r="F36" s="34"/>
      <c r="G36" s="34"/>
      <c r="H36" s="34"/>
      <c r="I36" s="35"/>
      <c r="J36" s="27"/>
      <c r="K36" s="27"/>
      <c r="L36" s="27"/>
      <c r="M36" s="27"/>
      <c r="N36" s="27"/>
      <c r="O36" s="27"/>
      <c r="P36" s="27"/>
      <c r="Q36" s="27"/>
      <c r="R36" s="26"/>
      <c r="S36" s="34"/>
      <c r="T36" s="34"/>
      <c r="U36" s="34"/>
      <c r="V36" s="34"/>
      <c r="W36" s="34"/>
      <c r="X36" s="34"/>
      <c r="Y36" s="589"/>
      <c r="Z36" s="590"/>
      <c r="AA36" s="591"/>
      <c r="AB36" s="592"/>
      <c r="AC36" s="593"/>
      <c r="AD36" s="38"/>
      <c r="AE36" s="25"/>
      <c r="AF36" s="25"/>
      <c r="AG36" s="25"/>
      <c r="AH36" s="25"/>
      <c r="AI36" s="25"/>
      <c r="AJ36" s="25"/>
      <c r="AK36" s="25"/>
      <c r="AL36" s="25"/>
      <c r="AM36" s="25"/>
      <c r="AN36" s="25"/>
      <c r="AO36" s="25"/>
      <c r="AP36" s="25"/>
      <c r="AQ36" s="25"/>
      <c r="AR36" s="25"/>
      <c r="AS36" s="26"/>
      <c r="AT36" s="51"/>
      <c r="AU36" s="51"/>
      <c r="AV36" s="51"/>
      <c r="AW36" s="51"/>
      <c r="AX36" s="51"/>
      <c r="AY36" s="51"/>
      <c r="AZ36" s="51"/>
      <c r="BA36" s="51"/>
      <c r="BB36" s="51"/>
      <c r="BC36" s="51"/>
      <c r="BD36" s="52"/>
    </row>
    <row r="37" spans="1:56" ht="14.4" customHeight="1">
      <c r="A37" s="37" t="str">
        <f>IF(B37="","",COUNTA($B$8:B37))</f>
        <v/>
      </c>
      <c r="B37" s="26"/>
      <c r="C37" s="34"/>
      <c r="D37" s="34"/>
      <c r="E37" s="34"/>
      <c r="F37" s="34"/>
      <c r="G37" s="34"/>
      <c r="H37" s="34"/>
      <c r="I37" s="35"/>
      <c r="J37" s="27"/>
      <c r="K37" s="27"/>
      <c r="L37" s="27"/>
      <c r="M37" s="27"/>
      <c r="N37" s="27"/>
      <c r="O37" s="27"/>
      <c r="P37" s="27"/>
      <c r="Q37" s="27"/>
      <c r="R37" s="26"/>
      <c r="S37" s="34"/>
      <c r="T37" s="34"/>
      <c r="U37" s="34"/>
      <c r="V37" s="34"/>
      <c r="W37" s="34"/>
      <c r="X37" s="34"/>
      <c r="Y37" s="589"/>
      <c r="Z37" s="590"/>
      <c r="AA37" s="591"/>
      <c r="AB37" s="592"/>
      <c r="AC37" s="593"/>
      <c r="AD37" s="38"/>
      <c r="AE37" s="25"/>
      <c r="AF37" s="25"/>
      <c r="AG37" s="25"/>
      <c r="AH37" s="25"/>
      <c r="AI37" s="25"/>
      <c r="AJ37" s="25"/>
      <c r="AK37" s="25"/>
      <c r="AL37" s="25"/>
      <c r="AM37" s="25"/>
      <c r="AN37" s="25"/>
      <c r="AO37" s="25"/>
      <c r="AP37" s="25"/>
      <c r="AQ37" s="25"/>
      <c r="AR37" s="25"/>
      <c r="AS37" s="26"/>
      <c r="AT37" s="51"/>
      <c r="AU37" s="51"/>
      <c r="AV37" s="51"/>
      <c r="AW37" s="51"/>
      <c r="AX37" s="51"/>
      <c r="AY37" s="51"/>
      <c r="AZ37" s="51"/>
      <c r="BA37" s="51"/>
      <c r="BB37" s="51"/>
      <c r="BC37" s="51"/>
      <c r="BD37" s="52"/>
    </row>
    <row r="38" spans="1:56" ht="14.4" customHeight="1">
      <c r="A38" s="37" t="str">
        <f>IF(B38="","",COUNTA($B$8:B38))</f>
        <v/>
      </c>
      <c r="B38" s="26"/>
      <c r="C38" s="34"/>
      <c r="D38" s="34"/>
      <c r="E38" s="34"/>
      <c r="F38" s="34"/>
      <c r="G38" s="34"/>
      <c r="H38" s="34"/>
      <c r="I38" s="35"/>
      <c r="J38" s="27"/>
      <c r="K38" s="27"/>
      <c r="L38" s="27"/>
      <c r="M38" s="27"/>
      <c r="N38" s="27"/>
      <c r="O38" s="27"/>
      <c r="P38" s="27"/>
      <c r="Q38" s="27"/>
      <c r="R38" s="26"/>
      <c r="S38" s="34"/>
      <c r="T38" s="34"/>
      <c r="U38" s="34"/>
      <c r="V38" s="34"/>
      <c r="W38" s="34"/>
      <c r="X38" s="34"/>
      <c r="Y38" s="589"/>
      <c r="Z38" s="590"/>
      <c r="AA38" s="591"/>
      <c r="AB38" s="592"/>
      <c r="AC38" s="593"/>
      <c r="AD38" s="38"/>
      <c r="AE38" s="25"/>
      <c r="AF38" s="25"/>
      <c r="AG38" s="25"/>
      <c r="AH38" s="25"/>
      <c r="AI38" s="25"/>
      <c r="AJ38" s="25"/>
      <c r="AK38" s="25"/>
      <c r="AL38" s="25"/>
      <c r="AM38" s="25"/>
      <c r="AN38" s="25"/>
      <c r="AO38" s="25"/>
      <c r="AP38" s="25"/>
      <c r="AQ38" s="25"/>
      <c r="AR38" s="25"/>
      <c r="AS38" s="26"/>
      <c r="AT38" s="51"/>
      <c r="AU38" s="51"/>
      <c r="AV38" s="51"/>
      <c r="AW38" s="51"/>
      <c r="AX38" s="51"/>
      <c r="AY38" s="51"/>
      <c r="AZ38" s="51"/>
      <c r="BA38" s="51"/>
      <c r="BB38" s="51"/>
      <c r="BC38" s="51"/>
      <c r="BD38" s="52"/>
    </row>
    <row r="39" spans="1:56" ht="14.4" customHeight="1">
      <c r="A39" s="37" t="str">
        <f>IF(B39="","",COUNTA($B$8:B39))</f>
        <v/>
      </c>
      <c r="B39" s="26"/>
      <c r="C39" s="34"/>
      <c r="D39" s="34"/>
      <c r="E39" s="34"/>
      <c r="F39" s="34"/>
      <c r="G39" s="34"/>
      <c r="H39" s="34"/>
      <c r="I39" s="35"/>
      <c r="J39" s="27"/>
      <c r="K39" s="27"/>
      <c r="L39" s="27"/>
      <c r="M39" s="27"/>
      <c r="N39" s="27"/>
      <c r="O39" s="27"/>
      <c r="P39" s="27"/>
      <c r="Q39" s="27"/>
      <c r="R39" s="26"/>
      <c r="S39" s="34"/>
      <c r="T39" s="34"/>
      <c r="U39" s="34"/>
      <c r="V39" s="34"/>
      <c r="W39" s="34"/>
      <c r="X39" s="34"/>
      <c r="Y39" s="589"/>
      <c r="Z39" s="590"/>
      <c r="AA39" s="591"/>
      <c r="AB39" s="592"/>
      <c r="AC39" s="593"/>
      <c r="AD39" s="38"/>
      <c r="AE39" s="25"/>
      <c r="AF39" s="25"/>
      <c r="AG39" s="25"/>
      <c r="AH39" s="25"/>
      <c r="AI39" s="25"/>
      <c r="AJ39" s="25"/>
      <c r="AK39" s="25"/>
      <c r="AL39" s="25"/>
      <c r="AM39" s="25"/>
      <c r="AN39" s="25"/>
      <c r="AO39" s="25"/>
      <c r="AP39" s="25"/>
      <c r="AQ39" s="25"/>
      <c r="AR39" s="25"/>
      <c r="AS39" s="26"/>
      <c r="AT39" s="51"/>
      <c r="AU39" s="51"/>
      <c r="AV39" s="51"/>
      <c r="AW39" s="51"/>
      <c r="AX39" s="51"/>
      <c r="AY39" s="51"/>
      <c r="AZ39" s="51"/>
      <c r="BA39" s="51"/>
      <c r="BB39" s="51"/>
      <c r="BC39" s="51"/>
      <c r="BD39" s="52"/>
    </row>
    <row r="40" spans="1:56" ht="14.4" customHeight="1">
      <c r="A40" s="37" t="str">
        <f>IF(B40="","",COUNTA($B$8:B40))</f>
        <v/>
      </c>
      <c r="B40" s="26"/>
      <c r="C40" s="34"/>
      <c r="D40" s="34"/>
      <c r="E40" s="34"/>
      <c r="F40" s="34"/>
      <c r="G40" s="34"/>
      <c r="H40" s="34"/>
      <c r="I40" s="35"/>
      <c r="J40" s="27"/>
      <c r="K40" s="27"/>
      <c r="L40" s="27"/>
      <c r="M40" s="27"/>
      <c r="N40" s="27"/>
      <c r="O40" s="27"/>
      <c r="P40" s="27"/>
      <c r="Q40" s="27"/>
      <c r="R40" s="26"/>
      <c r="S40" s="34"/>
      <c r="T40" s="34"/>
      <c r="U40" s="34"/>
      <c r="V40" s="34"/>
      <c r="W40" s="34"/>
      <c r="X40" s="34"/>
      <c r="Y40" s="589"/>
      <c r="Z40" s="590"/>
      <c r="AA40" s="591"/>
      <c r="AB40" s="592"/>
      <c r="AC40" s="593"/>
      <c r="AD40" s="38"/>
      <c r="AE40" s="25"/>
      <c r="AF40" s="25"/>
      <c r="AG40" s="25"/>
      <c r="AH40" s="25"/>
      <c r="AI40" s="25"/>
      <c r="AJ40" s="25"/>
      <c r="AK40" s="25"/>
      <c r="AL40" s="25"/>
      <c r="AM40" s="25"/>
      <c r="AN40" s="25"/>
      <c r="AO40" s="25"/>
      <c r="AP40" s="25"/>
      <c r="AQ40" s="25"/>
      <c r="AR40" s="25"/>
      <c r="AS40" s="26"/>
      <c r="AT40" s="51"/>
      <c r="AU40" s="51"/>
      <c r="AV40" s="51"/>
      <c r="AW40" s="51"/>
      <c r="AX40" s="51"/>
      <c r="AY40" s="51"/>
      <c r="AZ40" s="51"/>
      <c r="BA40" s="51"/>
      <c r="BB40" s="51"/>
      <c r="BC40" s="51"/>
      <c r="BD40" s="52"/>
    </row>
    <row r="41" spans="1:56" ht="14.4" customHeight="1">
      <c r="A41" s="37" t="str">
        <f>IF(B41="","",COUNTA($B$8:B41))</f>
        <v/>
      </c>
      <c r="B41" s="26"/>
      <c r="C41" s="34"/>
      <c r="D41" s="34"/>
      <c r="E41" s="34"/>
      <c r="F41" s="34"/>
      <c r="G41" s="34"/>
      <c r="H41" s="34"/>
      <c r="I41" s="35"/>
      <c r="J41" s="27"/>
      <c r="K41" s="27"/>
      <c r="L41" s="27"/>
      <c r="M41" s="27"/>
      <c r="N41" s="27"/>
      <c r="O41" s="27"/>
      <c r="P41" s="27"/>
      <c r="Q41" s="27"/>
      <c r="R41" s="26"/>
      <c r="S41" s="34"/>
      <c r="T41" s="34"/>
      <c r="U41" s="34"/>
      <c r="V41" s="34"/>
      <c r="W41" s="34"/>
      <c r="X41" s="34"/>
      <c r="Y41" s="589"/>
      <c r="Z41" s="590"/>
      <c r="AA41" s="591"/>
      <c r="AB41" s="592"/>
      <c r="AC41" s="593"/>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 customHeight="1">
      <c r="A42" s="37" t="str">
        <f>IF(B42="","",COUNTA($B$8:B42))</f>
        <v/>
      </c>
      <c r="B42" s="26"/>
      <c r="C42" s="34"/>
      <c r="D42" s="34"/>
      <c r="E42" s="34"/>
      <c r="F42" s="34"/>
      <c r="G42" s="34"/>
      <c r="H42" s="34"/>
      <c r="I42" s="35"/>
      <c r="J42" s="27"/>
      <c r="K42" s="27"/>
      <c r="L42" s="27"/>
      <c r="M42" s="27"/>
      <c r="N42" s="27"/>
      <c r="O42" s="27"/>
      <c r="P42" s="27"/>
      <c r="Q42" s="27"/>
      <c r="R42" s="26"/>
      <c r="S42" s="34"/>
      <c r="T42" s="34"/>
      <c r="U42" s="34"/>
      <c r="V42" s="34"/>
      <c r="W42" s="34"/>
      <c r="X42" s="34"/>
      <c r="Y42" s="589"/>
      <c r="Z42" s="590"/>
      <c r="AA42" s="591"/>
      <c r="AB42" s="592"/>
      <c r="AC42" s="593"/>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 customHeight="1">
      <c r="A43" s="37" t="str">
        <f>IF(B43="","",COUNTA($B$8:B43))</f>
        <v/>
      </c>
      <c r="B43" s="26"/>
      <c r="C43" s="34"/>
      <c r="D43" s="34"/>
      <c r="E43" s="34"/>
      <c r="F43" s="34"/>
      <c r="G43" s="34"/>
      <c r="H43" s="34"/>
      <c r="I43" s="35"/>
      <c r="J43" s="27"/>
      <c r="K43" s="27"/>
      <c r="L43" s="27"/>
      <c r="M43" s="27"/>
      <c r="N43" s="27"/>
      <c r="O43" s="27"/>
      <c r="P43" s="27"/>
      <c r="Q43" s="27"/>
      <c r="R43" s="26"/>
      <c r="S43" s="34"/>
      <c r="T43" s="34"/>
      <c r="U43" s="34"/>
      <c r="V43" s="34"/>
      <c r="W43" s="34"/>
      <c r="X43" s="34"/>
      <c r="Y43" s="589"/>
      <c r="Z43" s="590"/>
      <c r="AA43" s="591"/>
      <c r="AB43" s="592"/>
      <c r="AC43" s="593"/>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 customHeight="1">
      <c r="A44" s="37" t="str">
        <f>IF(B44="","",COUNTA($B$8:B44))</f>
        <v/>
      </c>
      <c r="B44" s="26"/>
      <c r="C44" s="34"/>
      <c r="D44" s="34"/>
      <c r="E44" s="34"/>
      <c r="F44" s="34"/>
      <c r="G44" s="34"/>
      <c r="H44" s="34"/>
      <c r="I44" s="35"/>
      <c r="J44" s="27"/>
      <c r="K44" s="27"/>
      <c r="L44" s="27"/>
      <c r="M44" s="27"/>
      <c r="N44" s="27"/>
      <c r="O44" s="27"/>
      <c r="P44" s="27"/>
      <c r="Q44" s="27"/>
      <c r="R44" s="26"/>
      <c r="S44" s="34"/>
      <c r="T44" s="34"/>
      <c r="U44" s="34"/>
      <c r="V44" s="34"/>
      <c r="W44" s="34"/>
      <c r="X44" s="34"/>
      <c r="Y44" s="589"/>
      <c r="Z44" s="590"/>
      <c r="AA44" s="591"/>
      <c r="AB44" s="592"/>
      <c r="AC44" s="593"/>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 customHeight="1">
      <c r="A45" s="37" t="str">
        <f>IF(B45="","",COUNTA($B$8:B45))</f>
        <v/>
      </c>
      <c r="B45" s="26"/>
      <c r="C45" s="34"/>
      <c r="D45" s="34"/>
      <c r="E45" s="34"/>
      <c r="F45" s="34"/>
      <c r="G45" s="34"/>
      <c r="H45" s="34"/>
      <c r="I45" s="35"/>
      <c r="J45" s="27"/>
      <c r="K45" s="27"/>
      <c r="L45" s="27"/>
      <c r="M45" s="27"/>
      <c r="N45" s="27"/>
      <c r="O45" s="27"/>
      <c r="P45" s="27"/>
      <c r="Q45" s="27"/>
      <c r="R45" s="26"/>
      <c r="S45" s="34"/>
      <c r="T45" s="34"/>
      <c r="U45" s="34"/>
      <c r="V45" s="34"/>
      <c r="W45" s="34"/>
      <c r="X45" s="34"/>
      <c r="Y45" s="589"/>
      <c r="Z45" s="590"/>
      <c r="AA45" s="591"/>
      <c r="AB45" s="592"/>
      <c r="AC45" s="593"/>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 customHeight="1">
      <c r="A46" s="37" t="str">
        <f>IF(B46="","",COUNTA($B$8:B46))</f>
        <v/>
      </c>
      <c r="B46" s="26"/>
      <c r="C46" s="34"/>
      <c r="D46" s="34"/>
      <c r="E46" s="34"/>
      <c r="F46" s="34"/>
      <c r="G46" s="34"/>
      <c r="H46" s="34"/>
      <c r="I46" s="35"/>
      <c r="J46" s="27"/>
      <c r="K46" s="27"/>
      <c r="L46" s="27"/>
      <c r="M46" s="27"/>
      <c r="N46" s="27"/>
      <c r="O46" s="27"/>
      <c r="P46" s="27"/>
      <c r="Q46" s="27"/>
      <c r="R46" s="26"/>
      <c r="S46" s="34"/>
      <c r="T46" s="34"/>
      <c r="U46" s="34"/>
      <c r="V46" s="34"/>
      <c r="W46" s="34"/>
      <c r="X46" s="34"/>
      <c r="Y46" s="589"/>
      <c r="Z46" s="590"/>
      <c r="AA46" s="591"/>
      <c r="AB46" s="592"/>
      <c r="AC46" s="593"/>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66">
    <mergeCell ref="AU1:AY1"/>
    <mergeCell ref="AZ3:BD3"/>
    <mergeCell ref="Y4:AO4"/>
    <mergeCell ref="AP4:AT4"/>
    <mergeCell ref="AZ4:BD4"/>
    <mergeCell ref="AU4:AY4"/>
    <mergeCell ref="AZ1:BD1"/>
    <mergeCell ref="Y1:AO1"/>
    <mergeCell ref="AP1:AT1"/>
    <mergeCell ref="Y2:AO3"/>
    <mergeCell ref="AP2:AT2"/>
    <mergeCell ref="AZ2:BD2"/>
    <mergeCell ref="AP3:AT3"/>
    <mergeCell ref="AU3:AY3"/>
    <mergeCell ref="A1:H4"/>
    <mergeCell ref="A6:A7"/>
    <mergeCell ref="B6:H7"/>
    <mergeCell ref="I6:Q7"/>
    <mergeCell ref="R6:X7"/>
    <mergeCell ref="R2:X4"/>
    <mergeCell ref="I1:Q1"/>
    <mergeCell ref="R1:X1"/>
    <mergeCell ref="I2:Q4"/>
    <mergeCell ref="AS6:BD7"/>
    <mergeCell ref="AA6:AC7"/>
    <mergeCell ref="AD6:AD7"/>
    <mergeCell ref="AE6:AE7"/>
    <mergeCell ref="AF6:AF7"/>
    <mergeCell ref="AH6:AH7"/>
    <mergeCell ref="Y9:Z9"/>
    <mergeCell ref="AA9:AC9"/>
    <mergeCell ref="Y6:Z7"/>
    <mergeCell ref="AI6:AR6"/>
    <mergeCell ref="Y21:Z21"/>
    <mergeCell ref="AA21:AC21"/>
    <mergeCell ref="AA8:AC8"/>
    <mergeCell ref="Y8:Z8"/>
    <mergeCell ref="AG6:AG7"/>
    <mergeCell ref="Y36:Z36"/>
    <mergeCell ref="AA36:AC36"/>
    <mergeCell ref="Y22:Z22"/>
    <mergeCell ref="AA22:AC22"/>
    <mergeCell ref="Y23:Z23"/>
    <mergeCell ref="AA23:AC23"/>
    <mergeCell ref="Y24:Z24"/>
    <mergeCell ref="AA24:AC24"/>
    <mergeCell ref="Y37:Z37"/>
    <mergeCell ref="AA37:AC37"/>
    <mergeCell ref="Y38:Z38"/>
    <mergeCell ref="AA38:AC38"/>
    <mergeCell ref="Y39:Z39"/>
    <mergeCell ref="AA39:AC39"/>
    <mergeCell ref="Y40:Z40"/>
    <mergeCell ref="AA40:AC40"/>
    <mergeCell ref="Y41:Z41"/>
    <mergeCell ref="AA41:AC41"/>
    <mergeCell ref="Y42:Z42"/>
    <mergeCell ref="AA42:AC42"/>
    <mergeCell ref="Y46:Z46"/>
    <mergeCell ref="AA46:AC46"/>
    <mergeCell ref="Y43:Z43"/>
    <mergeCell ref="AA43:AC43"/>
    <mergeCell ref="Y44:Z44"/>
    <mergeCell ref="AA44:AC44"/>
    <mergeCell ref="Y45:Z45"/>
    <mergeCell ref="AA45:AC45"/>
  </mergeCells>
  <phoneticPr fontId="12"/>
  <dataValidations count="3">
    <dataValidation imeMode="hiragana" allowBlank="1" showInputMessage="1" showErrorMessage="1" sqref="JG65511:JR65513 TC65511:TN65513 ACY65511:ADJ65513 AMU65511:ANF65513 AWQ65511:AXB65513 BGM65511:BGX65513 BQI65511:BQT65513 CAE65511:CAP65513 CKA65511:CKL65513 CTW65511:CUH65513 DDS65511:DED65513 DNO65511:DNZ65513 DXK65511:DXV65513 EHG65511:EHR65513 ERC65511:ERN65513 FAY65511:FBJ65513 FKU65511:FLF65513 FUQ65511:FVB65513 GEM65511:GEX65513 GOI65511:GOT65513 GYE65511:GYP65513 HIA65511:HIL65513 HRW65511:HSH65513 IBS65511:ICD65513 ILO65511:ILZ65513 IVK65511:IVV65513 JFG65511:JFR65513 JPC65511:JPN65513 JYY65511:JZJ65513 KIU65511:KJF65513 KSQ65511:KTB65513 LCM65511:LCX65513 LMI65511:LMT65513 LWE65511:LWP65513 MGA65511:MGL65513 MPW65511:MQH65513 MZS65511:NAD65513 NJO65511:NJZ65513 NTK65511:NTV65513 ODG65511:ODR65513 ONC65511:ONN65513 OWY65511:OXJ65513 PGU65511:PHF65513 PQQ65511:PRB65513 QAM65511:QAX65513 QKI65511:QKT65513 QUE65511:QUP65513 REA65511:REL65513 RNW65511:ROH65513 RXS65511:RYD65513 SHO65511:SHZ65513 SRK65511:SRV65513 TBG65511:TBR65513 TLC65511:TLN65513 TUY65511:TVJ65513 UEU65511:UFF65513 UOQ65511:UPB65513 UYM65511:UYX65513 VII65511:VIT65513 VSE65511:VSP65513 WCA65511:WCL65513 WLW65511:WMH65513 WVS65511:WWD65513 JG131047:JR131049 TC131047:TN131049 ACY131047:ADJ131049 AMU131047:ANF131049 AWQ131047:AXB131049 BGM131047:BGX131049 BQI131047:BQT131049 CAE131047:CAP131049 CKA131047:CKL131049 CTW131047:CUH131049 DDS131047:DED131049 DNO131047:DNZ131049 DXK131047:DXV131049 EHG131047:EHR131049 ERC131047:ERN131049 FAY131047:FBJ131049 FKU131047:FLF131049 FUQ131047:FVB131049 GEM131047:GEX131049 GOI131047:GOT131049 GYE131047:GYP131049 HIA131047:HIL131049 HRW131047:HSH131049 IBS131047:ICD131049 ILO131047:ILZ131049 IVK131047:IVV131049 JFG131047:JFR131049 JPC131047:JPN131049 JYY131047:JZJ131049 KIU131047:KJF131049 KSQ131047:KTB131049 LCM131047:LCX131049 LMI131047:LMT131049 LWE131047:LWP131049 MGA131047:MGL131049 MPW131047:MQH131049 MZS131047:NAD131049 NJO131047:NJZ131049 NTK131047:NTV131049 ODG131047:ODR131049 ONC131047:ONN131049 OWY131047:OXJ131049 PGU131047:PHF131049 PQQ131047:PRB131049 QAM131047:QAX131049 QKI131047:QKT131049 QUE131047:QUP131049 REA131047:REL131049 RNW131047:ROH131049 RXS131047:RYD131049 SHO131047:SHZ131049 SRK131047:SRV131049 TBG131047:TBR131049 TLC131047:TLN131049 TUY131047:TVJ131049 UEU131047:UFF131049 UOQ131047:UPB131049 UYM131047:UYX131049 VII131047:VIT131049 VSE131047:VSP131049 WCA131047:WCL131049 WLW131047:WMH131049 WVS131047:WWD131049 JG196583:JR196585 TC196583:TN196585 ACY196583:ADJ196585 AMU196583:ANF196585 AWQ196583:AXB196585 BGM196583:BGX196585 BQI196583:BQT196585 CAE196583:CAP196585 CKA196583:CKL196585 CTW196583:CUH196585 DDS196583:DED196585 DNO196583:DNZ196585 DXK196583:DXV196585 EHG196583:EHR196585 ERC196583:ERN196585 FAY196583:FBJ196585 FKU196583:FLF196585 FUQ196583:FVB196585 GEM196583:GEX196585 GOI196583:GOT196585 GYE196583:GYP196585 HIA196583:HIL196585 HRW196583:HSH196585 IBS196583:ICD196585 ILO196583:ILZ196585 IVK196583:IVV196585 JFG196583:JFR196585 JPC196583:JPN196585 JYY196583:JZJ196585 KIU196583:KJF196585 KSQ196583:KTB196585 LCM196583:LCX196585 LMI196583:LMT196585 LWE196583:LWP196585 MGA196583:MGL196585 MPW196583:MQH196585 MZS196583:NAD196585 NJO196583:NJZ196585 NTK196583:NTV196585 ODG196583:ODR196585 ONC196583:ONN196585 OWY196583:OXJ196585 PGU196583:PHF196585 PQQ196583:PRB196585 QAM196583:QAX196585 QKI196583:QKT196585 QUE196583:QUP196585 REA196583:REL196585 RNW196583:ROH196585 RXS196583:RYD196585 SHO196583:SHZ196585 SRK196583:SRV196585 TBG196583:TBR196585 TLC196583:TLN196585 TUY196583:TVJ196585 UEU196583:UFF196585 UOQ196583:UPB196585 UYM196583:UYX196585 VII196583:VIT196585 VSE196583:VSP196585 WCA196583:WCL196585 WLW196583:WMH196585 WVS196583:WWD196585 JG262119:JR262121 TC262119:TN262121 ACY262119:ADJ262121 AMU262119:ANF262121 AWQ262119:AXB262121 BGM262119:BGX262121 BQI262119:BQT262121 CAE262119:CAP262121 CKA262119:CKL262121 CTW262119:CUH262121 DDS262119:DED262121 DNO262119:DNZ262121 DXK262119:DXV262121 EHG262119:EHR262121 ERC262119:ERN262121 FAY262119:FBJ262121 FKU262119:FLF262121 FUQ262119:FVB262121 GEM262119:GEX262121 GOI262119:GOT262121 GYE262119:GYP262121 HIA262119:HIL262121 HRW262119:HSH262121 IBS262119:ICD262121 ILO262119:ILZ262121 IVK262119:IVV262121 JFG262119:JFR262121 JPC262119:JPN262121 JYY262119:JZJ262121 KIU262119:KJF262121 KSQ262119:KTB262121 LCM262119:LCX262121 LMI262119:LMT262121 LWE262119:LWP262121 MGA262119:MGL262121 MPW262119:MQH262121 MZS262119:NAD262121 NJO262119:NJZ262121 NTK262119:NTV262121 ODG262119:ODR262121 ONC262119:ONN262121 OWY262119:OXJ262121 PGU262119:PHF262121 PQQ262119:PRB262121 QAM262119:QAX262121 QKI262119:QKT262121 QUE262119:QUP262121 REA262119:REL262121 RNW262119:ROH262121 RXS262119:RYD262121 SHO262119:SHZ262121 SRK262119:SRV262121 TBG262119:TBR262121 TLC262119:TLN262121 TUY262119:TVJ262121 UEU262119:UFF262121 UOQ262119:UPB262121 UYM262119:UYX262121 VII262119:VIT262121 VSE262119:VSP262121 WCA262119:WCL262121 WLW262119:WMH262121 WVS262119:WWD262121 JG327655:JR327657 TC327655:TN327657 ACY327655:ADJ327657 AMU327655:ANF327657 AWQ327655:AXB327657 BGM327655:BGX327657 BQI327655:BQT327657 CAE327655:CAP327657 CKA327655:CKL327657 CTW327655:CUH327657 DDS327655:DED327657 DNO327655:DNZ327657 DXK327655:DXV327657 EHG327655:EHR327657 ERC327655:ERN327657 FAY327655:FBJ327657 FKU327655:FLF327657 FUQ327655:FVB327657 GEM327655:GEX327657 GOI327655:GOT327657 GYE327655:GYP327657 HIA327655:HIL327657 HRW327655:HSH327657 IBS327655:ICD327657 ILO327655:ILZ327657 IVK327655:IVV327657 JFG327655:JFR327657 JPC327655:JPN327657 JYY327655:JZJ327657 KIU327655:KJF327657 KSQ327655:KTB327657 LCM327655:LCX327657 LMI327655:LMT327657 LWE327655:LWP327657 MGA327655:MGL327657 MPW327655:MQH327657 MZS327655:NAD327657 NJO327655:NJZ327657 NTK327655:NTV327657 ODG327655:ODR327657 ONC327655:ONN327657 OWY327655:OXJ327657 PGU327655:PHF327657 PQQ327655:PRB327657 QAM327655:QAX327657 QKI327655:QKT327657 QUE327655:QUP327657 REA327655:REL327657 RNW327655:ROH327657 RXS327655:RYD327657 SHO327655:SHZ327657 SRK327655:SRV327657 TBG327655:TBR327657 TLC327655:TLN327657 TUY327655:TVJ327657 UEU327655:UFF327657 UOQ327655:UPB327657 UYM327655:UYX327657 VII327655:VIT327657 VSE327655:VSP327657 WCA327655:WCL327657 WLW327655:WMH327657 WVS327655:WWD327657 JG393191:JR393193 TC393191:TN393193 ACY393191:ADJ393193 AMU393191:ANF393193 AWQ393191:AXB393193 BGM393191:BGX393193 BQI393191:BQT393193 CAE393191:CAP393193 CKA393191:CKL393193 CTW393191:CUH393193 DDS393191:DED393193 DNO393191:DNZ393193 DXK393191:DXV393193 EHG393191:EHR393193 ERC393191:ERN393193 FAY393191:FBJ393193 FKU393191:FLF393193 FUQ393191:FVB393193 GEM393191:GEX393193 GOI393191:GOT393193 GYE393191:GYP393193 HIA393191:HIL393193 HRW393191:HSH393193 IBS393191:ICD393193 ILO393191:ILZ393193 IVK393191:IVV393193 JFG393191:JFR393193 JPC393191:JPN393193 JYY393191:JZJ393193 KIU393191:KJF393193 KSQ393191:KTB393193 LCM393191:LCX393193 LMI393191:LMT393193 LWE393191:LWP393193 MGA393191:MGL393193 MPW393191:MQH393193 MZS393191:NAD393193 NJO393191:NJZ393193 NTK393191:NTV393193 ODG393191:ODR393193 ONC393191:ONN393193 OWY393191:OXJ393193 PGU393191:PHF393193 PQQ393191:PRB393193 QAM393191:QAX393193 QKI393191:QKT393193 QUE393191:QUP393193 REA393191:REL393193 RNW393191:ROH393193 RXS393191:RYD393193 SHO393191:SHZ393193 SRK393191:SRV393193 TBG393191:TBR393193 TLC393191:TLN393193 TUY393191:TVJ393193 UEU393191:UFF393193 UOQ393191:UPB393193 UYM393191:UYX393193 VII393191:VIT393193 VSE393191:VSP393193 WCA393191:WCL393193 WLW393191:WMH393193 WVS393191:WWD393193 JG458727:JR458729 TC458727:TN458729 ACY458727:ADJ458729 AMU458727:ANF458729 AWQ458727:AXB458729 BGM458727:BGX458729 BQI458727:BQT458729 CAE458727:CAP458729 CKA458727:CKL458729 CTW458727:CUH458729 DDS458727:DED458729 DNO458727:DNZ458729 DXK458727:DXV458729 EHG458727:EHR458729 ERC458727:ERN458729 FAY458727:FBJ458729 FKU458727:FLF458729 FUQ458727:FVB458729 GEM458727:GEX458729 GOI458727:GOT458729 GYE458727:GYP458729 HIA458727:HIL458729 HRW458727:HSH458729 IBS458727:ICD458729 ILO458727:ILZ458729 IVK458727:IVV458729 JFG458727:JFR458729 JPC458727:JPN458729 JYY458727:JZJ458729 KIU458727:KJF458729 KSQ458727:KTB458729 LCM458727:LCX458729 LMI458727:LMT458729 LWE458727:LWP458729 MGA458727:MGL458729 MPW458727:MQH458729 MZS458727:NAD458729 NJO458727:NJZ458729 NTK458727:NTV458729 ODG458727:ODR458729 ONC458727:ONN458729 OWY458727:OXJ458729 PGU458727:PHF458729 PQQ458727:PRB458729 QAM458727:QAX458729 QKI458727:QKT458729 QUE458727:QUP458729 REA458727:REL458729 RNW458727:ROH458729 RXS458727:RYD458729 SHO458727:SHZ458729 SRK458727:SRV458729 TBG458727:TBR458729 TLC458727:TLN458729 TUY458727:TVJ458729 UEU458727:UFF458729 UOQ458727:UPB458729 UYM458727:UYX458729 VII458727:VIT458729 VSE458727:VSP458729 WCA458727:WCL458729 WLW458727:WMH458729 WVS458727:WWD458729 JG524263:JR524265 TC524263:TN524265 ACY524263:ADJ524265 AMU524263:ANF524265 AWQ524263:AXB524265 BGM524263:BGX524265 BQI524263:BQT524265 CAE524263:CAP524265 CKA524263:CKL524265 CTW524263:CUH524265 DDS524263:DED524265 DNO524263:DNZ524265 DXK524263:DXV524265 EHG524263:EHR524265 ERC524263:ERN524265 FAY524263:FBJ524265 FKU524263:FLF524265 FUQ524263:FVB524265 GEM524263:GEX524265 GOI524263:GOT524265 GYE524263:GYP524265 HIA524263:HIL524265 HRW524263:HSH524265 IBS524263:ICD524265 ILO524263:ILZ524265 IVK524263:IVV524265 JFG524263:JFR524265 JPC524263:JPN524265 JYY524263:JZJ524265 KIU524263:KJF524265 KSQ524263:KTB524265 LCM524263:LCX524265 LMI524263:LMT524265 LWE524263:LWP524265 MGA524263:MGL524265 MPW524263:MQH524265 MZS524263:NAD524265 NJO524263:NJZ524265 NTK524263:NTV524265 ODG524263:ODR524265 ONC524263:ONN524265 OWY524263:OXJ524265 PGU524263:PHF524265 PQQ524263:PRB524265 QAM524263:QAX524265 QKI524263:QKT524265 QUE524263:QUP524265 REA524263:REL524265 RNW524263:ROH524265 RXS524263:RYD524265 SHO524263:SHZ524265 SRK524263:SRV524265 TBG524263:TBR524265 TLC524263:TLN524265 TUY524263:TVJ524265 UEU524263:UFF524265 UOQ524263:UPB524265 UYM524263:UYX524265 VII524263:VIT524265 VSE524263:VSP524265 WCA524263:WCL524265 WLW524263:WMH524265 WVS524263:WWD524265 JG589799:JR589801 TC589799:TN589801 ACY589799:ADJ589801 AMU589799:ANF589801 AWQ589799:AXB589801 BGM589799:BGX589801 BQI589799:BQT589801 CAE589799:CAP589801 CKA589799:CKL589801 CTW589799:CUH589801 DDS589799:DED589801 DNO589799:DNZ589801 DXK589799:DXV589801 EHG589799:EHR589801 ERC589799:ERN589801 FAY589799:FBJ589801 FKU589799:FLF589801 FUQ589799:FVB589801 GEM589799:GEX589801 GOI589799:GOT589801 GYE589799:GYP589801 HIA589799:HIL589801 HRW589799:HSH589801 IBS589799:ICD589801 ILO589799:ILZ589801 IVK589799:IVV589801 JFG589799:JFR589801 JPC589799:JPN589801 JYY589799:JZJ589801 KIU589799:KJF589801 KSQ589799:KTB589801 LCM589799:LCX589801 LMI589799:LMT589801 LWE589799:LWP589801 MGA589799:MGL589801 MPW589799:MQH589801 MZS589799:NAD589801 NJO589799:NJZ589801 NTK589799:NTV589801 ODG589799:ODR589801 ONC589799:ONN589801 OWY589799:OXJ589801 PGU589799:PHF589801 PQQ589799:PRB589801 QAM589799:QAX589801 QKI589799:QKT589801 QUE589799:QUP589801 REA589799:REL589801 RNW589799:ROH589801 RXS589799:RYD589801 SHO589799:SHZ589801 SRK589799:SRV589801 TBG589799:TBR589801 TLC589799:TLN589801 TUY589799:TVJ589801 UEU589799:UFF589801 UOQ589799:UPB589801 UYM589799:UYX589801 VII589799:VIT589801 VSE589799:VSP589801 WCA589799:WCL589801 WLW589799:WMH589801 WVS589799:WWD589801 JG655335:JR655337 TC655335:TN655337 ACY655335:ADJ655337 AMU655335:ANF655337 AWQ655335:AXB655337 BGM655335:BGX655337 BQI655335:BQT655337 CAE655335:CAP655337 CKA655335:CKL655337 CTW655335:CUH655337 DDS655335:DED655337 DNO655335:DNZ655337 DXK655335:DXV655337 EHG655335:EHR655337 ERC655335:ERN655337 FAY655335:FBJ655337 FKU655335:FLF655337 FUQ655335:FVB655337 GEM655335:GEX655337 GOI655335:GOT655337 GYE655335:GYP655337 HIA655335:HIL655337 HRW655335:HSH655337 IBS655335:ICD655337 ILO655335:ILZ655337 IVK655335:IVV655337 JFG655335:JFR655337 JPC655335:JPN655337 JYY655335:JZJ655337 KIU655335:KJF655337 KSQ655335:KTB655337 LCM655335:LCX655337 LMI655335:LMT655337 LWE655335:LWP655337 MGA655335:MGL655337 MPW655335:MQH655337 MZS655335:NAD655337 NJO655335:NJZ655337 NTK655335:NTV655337 ODG655335:ODR655337 ONC655335:ONN655337 OWY655335:OXJ655337 PGU655335:PHF655337 PQQ655335:PRB655337 QAM655335:QAX655337 QKI655335:QKT655337 QUE655335:QUP655337 REA655335:REL655337 RNW655335:ROH655337 RXS655335:RYD655337 SHO655335:SHZ655337 SRK655335:SRV655337 TBG655335:TBR655337 TLC655335:TLN655337 TUY655335:TVJ655337 UEU655335:UFF655337 UOQ655335:UPB655337 UYM655335:UYX655337 VII655335:VIT655337 VSE655335:VSP655337 WCA655335:WCL655337 WLW655335:WMH655337 WVS655335:WWD655337 JG720871:JR720873 TC720871:TN720873 ACY720871:ADJ720873 AMU720871:ANF720873 AWQ720871:AXB720873 BGM720871:BGX720873 BQI720871:BQT720873 CAE720871:CAP720873 CKA720871:CKL720873 CTW720871:CUH720873 DDS720871:DED720873 DNO720871:DNZ720873 DXK720871:DXV720873 EHG720871:EHR720873 ERC720871:ERN720873 FAY720871:FBJ720873 FKU720871:FLF720873 FUQ720871:FVB720873 GEM720871:GEX720873 GOI720871:GOT720873 GYE720871:GYP720873 HIA720871:HIL720873 HRW720871:HSH720873 IBS720871:ICD720873 ILO720871:ILZ720873 IVK720871:IVV720873 JFG720871:JFR720873 JPC720871:JPN720873 JYY720871:JZJ720873 KIU720871:KJF720873 KSQ720871:KTB720873 LCM720871:LCX720873 LMI720871:LMT720873 LWE720871:LWP720873 MGA720871:MGL720873 MPW720871:MQH720873 MZS720871:NAD720873 NJO720871:NJZ720873 NTK720871:NTV720873 ODG720871:ODR720873 ONC720871:ONN720873 OWY720871:OXJ720873 PGU720871:PHF720873 PQQ720871:PRB720873 QAM720871:QAX720873 QKI720871:QKT720873 QUE720871:QUP720873 REA720871:REL720873 RNW720871:ROH720873 RXS720871:RYD720873 SHO720871:SHZ720873 SRK720871:SRV720873 TBG720871:TBR720873 TLC720871:TLN720873 TUY720871:TVJ720873 UEU720871:UFF720873 UOQ720871:UPB720873 UYM720871:UYX720873 VII720871:VIT720873 VSE720871:VSP720873 WCA720871:WCL720873 WLW720871:WMH720873 WVS720871:WWD720873 JG786407:JR786409 TC786407:TN786409 ACY786407:ADJ786409 AMU786407:ANF786409 AWQ786407:AXB786409 BGM786407:BGX786409 BQI786407:BQT786409 CAE786407:CAP786409 CKA786407:CKL786409 CTW786407:CUH786409 DDS786407:DED786409 DNO786407:DNZ786409 DXK786407:DXV786409 EHG786407:EHR786409 ERC786407:ERN786409 FAY786407:FBJ786409 FKU786407:FLF786409 FUQ786407:FVB786409 GEM786407:GEX786409 GOI786407:GOT786409 GYE786407:GYP786409 HIA786407:HIL786409 HRW786407:HSH786409 IBS786407:ICD786409 ILO786407:ILZ786409 IVK786407:IVV786409 JFG786407:JFR786409 JPC786407:JPN786409 JYY786407:JZJ786409 KIU786407:KJF786409 KSQ786407:KTB786409 LCM786407:LCX786409 LMI786407:LMT786409 LWE786407:LWP786409 MGA786407:MGL786409 MPW786407:MQH786409 MZS786407:NAD786409 NJO786407:NJZ786409 NTK786407:NTV786409 ODG786407:ODR786409 ONC786407:ONN786409 OWY786407:OXJ786409 PGU786407:PHF786409 PQQ786407:PRB786409 QAM786407:QAX786409 QKI786407:QKT786409 QUE786407:QUP786409 REA786407:REL786409 RNW786407:ROH786409 RXS786407:RYD786409 SHO786407:SHZ786409 SRK786407:SRV786409 TBG786407:TBR786409 TLC786407:TLN786409 TUY786407:TVJ786409 UEU786407:UFF786409 UOQ786407:UPB786409 UYM786407:UYX786409 VII786407:VIT786409 VSE786407:VSP786409 WCA786407:WCL786409 WLW786407:WMH786409 WVS786407:WWD786409 JG851943:JR851945 TC851943:TN851945 ACY851943:ADJ851945 AMU851943:ANF851945 AWQ851943:AXB851945 BGM851943:BGX851945 BQI851943:BQT851945 CAE851943:CAP851945 CKA851943:CKL851945 CTW851943:CUH851945 DDS851943:DED851945 DNO851943:DNZ851945 DXK851943:DXV851945 EHG851943:EHR851945 ERC851943:ERN851945 FAY851943:FBJ851945 FKU851943:FLF851945 FUQ851943:FVB851945 GEM851943:GEX851945 GOI851943:GOT851945 GYE851943:GYP851945 HIA851943:HIL851945 HRW851943:HSH851945 IBS851943:ICD851945 ILO851943:ILZ851945 IVK851943:IVV851945 JFG851943:JFR851945 JPC851943:JPN851945 JYY851943:JZJ851945 KIU851943:KJF851945 KSQ851943:KTB851945 LCM851943:LCX851945 LMI851943:LMT851945 LWE851943:LWP851945 MGA851943:MGL851945 MPW851943:MQH851945 MZS851943:NAD851945 NJO851943:NJZ851945 NTK851943:NTV851945 ODG851943:ODR851945 ONC851943:ONN851945 OWY851943:OXJ851945 PGU851943:PHF851945 PQQ851943:PRB851945 QAM851943:QAX851945 QKI851943:QKT851945 QUE851943:QUP851945 REA851943:REL851945 RNW851943:ROH851945 RXS851943:RYD851945 SHO851943:SHZ851945 SRK851943:SRV851945 TBG851943:TBR851945 TLC851943:TLN851945 TUY851943:TVJ851945 UEU851943:UFF851945 UOQ851943:UPB851945 UYM851943:UYX851945 VII851943:VIT851945 VSE851943:VSP851945 WCA851943:WCL851945 WLW851943:WMH851945 WVS851943:WWD851945 JG917479:JR917481 TC917479:TN917481 ACY917479:ADJ917481 AMU917479:ANF917481 AWQ917479:AXB917481 BGM917479:BGX917481 BQI917479:BQT917481 CAE917479:CAP917481 CKA917479:CKL917481 CTW917479:CUH917481 DDS917479:DED917481 DNO917479:DNZ917481 DXK917479:DXV917481 EHG917479:EHR917481 ERC917479:ERN917481 FAY917479:FBJ917481 FKU917479:FLF917481 FUQ917479:FVB917481 GEM917479:GEX917481 GOI917479:GOT917481 GYE917479:GYP917481 HIA917479:HIL917481 HRW917479:HSH917481 IBS917479:ICD917481 ILO917479:ILZ917481 IVK917479:IVV917481 JFG917479:JFR917481 JPC917479:JPN917481 JYY917479:JZJ917481 KIU917479:KJF917481 KSQ917479:KTB917481 LCM917479:LCX917481 LMI917479:LMT917481 LWE917479:LWP917481 MGA917479:MGL917481 MPW917479:MQH917481 MZS917479:NAD917481 NJO917479:NJZ917481 NTK917479:NTV917481 ODG917479:ODR917481 ONC917479:ONN917481 OWY917479:OXJ917481 PGU917479:PHF917481 PQQ917479:PRB917481 QAM917479:QAX917481 QKI917479:QKT917481 QUE917479:QUP917481 REA917479:REL917481 RNW917479:ROH917481 RXS917479:RYD917481 SHO917479:SHZ917481 SRK917479:SRV917481 TBG917479:TBR917481 TLC917479:TLN917481 TUY917479:TVJ917481 UEU917479:UFF917481 UOQ917479:UPB917481 UYM917479:UYX917481 VII917479:VIT917481 VSE917479:VSP917481 WCA917479:WCL917481 WLW917479:WMH917481 WVS917479:WWD917481 JG983015:JR983017 TC983015:TN983017 ACY983015:ADJ983017 AMU983015:ANF983017 AWQ983015:AXB983017 BGM983015:BGX983017 BQI983015:BQT983017 CAE983015:CAP983017 CKA983015:CKL983017 CTW983015:CUH983017 DDS983015:DED983017 DNO983015:DNZ983017 DXK983015:DXV983017 EHG983015:EHR983017 ERC983015:ERN983017 FAY983015:FBJ983017 FKU983015:FLF983017 FUQ983015:FVB983017 GEM983015:GEX983017 GOI983015:GOT983017 GYE983015:GYP983017 HIA983015:HIL983017 HRW983015:HSH983017 IBS983015:ICD983017 ILO983015:ILZ983017 IVK983015:IVV983017 JFG983015:JFR983017 JPC983015:JPN983017 JYY983015:JZJ983017 KIU983015:KJF983017 KSQ983015:KTB983017 LCM983015:LCX983017 LMI983015:LMT983017 LWE983015:LWP983017 MGA983015:MGL983017 MPW983015:MQH983017 MZS983015:NAD983017 NJO983015:NJZ983017 NTK983015:NTV983017 ODG983015:ODR983017 ONC983015:ONN983017 OWY983015:OXJ983017 PGU983015:PHF983017 PQQ983015:PRB983017 QAM983015:QAX983017 QKI983015:QKT983017 QUE983015:QUP983017 REA983015:REL983017 RNW983015:ROH983017 RXS983015:RYD983017 SHO983015:SHZ983017 SRK983015:SRV983017 TBG983015:TBR983017 TLC983015:TLN983017 TUY983015:TVJ983017 UEU983015:UFF983017 UOQ983015:UPB983017 UYM983015:UYX983017 VII983015:VIT983017 VSE983015:VSP983017 WCA983015:WCL983017 WLW983015:WMH983017 WVS983015:WWD983017 WVS983020:WWD983022 JG65516:JR65518 TC65516:TN65518 ACY65516:ADJ65518 AMU65516:ANF65518 AWQ65516:AXB65518 BGM65516:BGX65518 BQI65516:BQT65518 CAE65516:CAP65518 CKA65516:CKL65518 CTW65516:CUH65518 DDS65516:DED65518 DNO65516:DNZ65518 DXK65516:DXV65518 EHG65516:EHR65518 ERC65516:ERN65518 FAY65516:FBJ65518 FKU65516:FLF65518 FUQ65516:FVB65518 GEM65516:GEX65518 GOI65516:GOT65518 GYE65516:GYP65518 HIA65516:HIL65518 HRW65516:HSH65518 IBS65516:ICD65518 ILO65516:ILZ65518 IVK65516:IVV65518 JFG65516:JFR65518 JPC65516:JPN65518 JYY65516:JZJ65518 KIU65516:KJF65518 KSQ65516:KTB65518 LCM65516:LCX65518 LMI65516:LMT65518 LWE65516:LWP65518 MGA65516:MGL65518 MPW65516:MQH65518 MZS65516:NAD65518 NJO65516:NJZ65518 NTK65516:NTV65518 ODG65516:ODR65518 ONC65516:ONN65518 OWY65516:OXJ65518 PGU65516:PHF65518 PQQ65516:PRB65518 QAM65516:QAX65518 QKI65516:QKT65518 QUE65516:QUP65518 REA65516:REL65518 RNW65516:ROH65518 RXS65516:RYD65518 SHO65516:SHZ65518 SRK65516:SRV65518 TBG65516:TBR65518 TLC65516:TLN65518 TUY65516:TVJ65518 UEU65516:UFF65518 UOQ65516:UPB65518 UYM65516:UYX65518 VII65516:VIT65518 VSE65516:VSP65518 WCA65516:WCL65518 WLW65516:WMH65518 WVS65516:WWD65518 JG131052:JR131054 TC131052:TN131054 ACY131052:ADJ131054 AMU131052:ANF131054 AWQ131052:AXB131054 BGM131052:BGX131054 BQI131052:BQT131054 CAE131052:CAP131054 CKA131052:CKL131054 CTW131052:CUH131054 DDS131052:DED131054 DNO131052:DNZ131054 DXK131052:DXV131054 EHG131052:EHR131054 ERC131052:ERN131054 FAY131052:FBJ131054 FKU131052:FLF131054 FUQ131052:FVB131054 GEM131052:GEX131054 GOI131052:GOT131054 GYE131052:GYP131054 HIA131052:HIL131054 HRW131052:HSH131054 IBS131052:ICD131054 ILO131052:ILZ131054 IVK131052:IVV131054 JFG131052:JFR131054 JPC131052:JPN131054 JYY131052:JZJ131054 KIU131052:KJF131054 KSQ131052:KTB131054 LCM131052:LCX131054 LMI131052:LMT131054 LWE131052:LWP131054 MGA131052:MGL131054 MPW131052:MQH131054 MZS131052:NAD131054 NJO131052:NJZ131054 NTK131052:NTV131054 ODG131052:ODR131054 ONC131052:ONN131054 OWY131052:OXJ131054 PGU131052:PHF131054 PQQ131052:PRB131054 QAM131052:QAX131054 QKI131052:QKT131054 QUE131052:QUP131054 REA131052:REL131054 RNW131052:ROH131054 RXS131052:RYD131054 SHO131052:SHZ131054 SRK131052:SRV131054 TBG131052:TBR131054 TLC131052:TLN131054 TUY131052:TVJ131054 UEU131052:UFF131054 UOQ131052:UPB131054 UYM131052:UYX131054 VII131052:VIT131054 VSE131052:VSP131054 WCA131052:WCL131054 WLW131052:WMH131054 WVS131052:WWD131054 JG196588:JR196590 TC196588:TN196590 ACY196588:ADJ196590 AMU196588:ANF196590 AWQ196588:AXB196590 BGM196588:BGX196590 BQI196588:BQT196590 CAE196588:CAP196590 CKA196588:CKL196590 CTW196588:CUH196590 DDS196588:DED196590 DNO196588:DNZ196590 DXK196588:DXV196590 EHG196588:EHR196590 ERC196588:ERN196590 FAY196588:FBJ196590 FKU196588:FLF196590 FUQ196588:FVB196590 GEM196588:GEX196590 GOI196588:GOT196590 GYE196588:GYP196590 HIA196588:HIL196590 HRW196588:HSH196590 IBS196588:ICD196590 ILO196588:ILZ196590 IVK196588:IVV196590 JFG196588:JFR196590 JPC196588:JPN196590 JYY196588:JZJ196590 KIU196588:KJF196590 KSQ196588:KTB196590 LCM196588:LCX196590 LMI196588:LMT196590 LWE196588:LWP196590 MGA196588:MGL196590 MPW196588:MQH196590 MZS196588:NAD196590 NJO196588:NJZ196590 NTK196588:NTV196590 ODG196588:ODR196590 ONC196588:ONN196590 OWY196588:OXJ196590 PGU196588:PHF196590 PQQ196588:PRB196590 QAM196588:QAX196590 QKI196588:QKT196590 QUE196588:QUP196590 REA196588:REL196590 RNW196588:ROH196590 RXS196588:RYD196590 SHO196588:SHZ196590 SRK196588:SRV196590 TBG196588:TBR196590 TLC196588:TLN196590 TUY196588:TVJ196590 UEU196588:UFF196590 UOQ196588:UPB196590 UYM196588:UYX196590 VII196588:VIT196590 VSE196588:VSP196590 WCA196588:WCL196590 WLW196588:WMH196590 WVS196588:WWD196590 JG262124:JR262126 TC262124:TN262126 ACY262124:ADJ262126 AMU262124:ANF262126 AWQ262124:AXB262126 BGM262124:BGX262126 BQI262124:BQT262126 CAE262124:CAP262126 CKA262124:CKL262126 CTW262124:CUH262126 DDS262124:DED262126 DNO262124:DNZ262126 DXK262124:DXV262126 EHG262124:EHR262126 ERC262124:ERN262126 FAY262124:FBJ262126 FKU262124:FLF262126 FUQ262124:FVB262126 GEM262124:GEX262126 GOI262124:GOT262126 GYE262124:GYP262126 HIA262124:HIL262126 HRW262124:HSH262126 IBS262124:ICD262126 ILO262124:ILZ262126 IVK262124:IVV262126 JFG262124:JFR262126 JPC262124:JPN262126 JYY262124:JZJ262126 KIU262124:KJF262126 KSQ262124:KTB262126 LCM262124:LCX262126 LMI262124:LMT262126 LWE262124:LWP262126 MGA262124:MGL262126 MPW262124:MQH262126 MZS262124:NAD262126 NJO262124:NJZ262126 NTK262124:NTV262126 ODG262124:ODR262126 ONC262124:ONN262126 OWY262124:OXJ262126 PGU262124:PHF262126 PQQ262124:PRB262126 QAM262124:QAX262126 QKI262124:QKT262126 QUE262124:QUP262126 REA262124:REL262126 RNW262124:ROH262126 RXS262124:RYD262126 SHO262124:SHZ262126 SRK262124:SRV262126 TBG262124:TBR262126 TLC262124:TLN262126 TUY262124:TVJ262126 UEU262124:UFF262126 UOQ262124:UPB262126 UYM262124:UYX262126 VII262124:VIT262126 VSE262124:VSP262126 WCA262124:WCL262126 WLW262124:WMH262126 WVS262124:WWD262126 JG327660:JR327662 TC327660:TN327662 ACY327660:ADJ327662 AMU327660:ANF327662 AWQ327660:AXB327662 BGM327660:BGX327662 BQI327660:BQT327662 CAE327660:CAP327662 CKA327660:CKL327662 CTW327660:CUH327662 DDS327660:DED327662 DNO327660:DNZ327662 DXK327660:DXV327662 EHG327660:EHR327662 ERC327660:ERN327662 FAY327660:FBJ327662 FKU327660:FLF327662 FUQ327660:FVB327662 GEM327660:GEX327662 GOI327660:GOT327662 GYE327660:GYP327662 HIA327660:HIL327662 HRW327660:HSH327662 IBS327660:ICD327662 ILO327660:ILZ327662 IVK327660:IVV327662 JFG327660:JFR327662 JPC327660:JPN327662 JYY327660:JZJ327662 KIU327660:KJF327662 KSQ327660:KTB327662 LCM327660:LCX327662 LMI327660:LMT327662 LWE327660:LWP327662 MGA327660:MGL327662 MPW327660:MQH327662 MZS327660:NAD327662 NJO327660:NJZ327662 NTK327660:NTV327662 ODG327660:ODR327662 ONC327660:ONN327662 OWY327660:OXJ327662 PGU327660:PHF327662 PQQ327660:PRB327662 QAM327660:QAX327662 QKI327660:QKT327662 QUE327660:QUP327662 REA327660:REL327662 RNW327660:ROH327662 RXS327660:RYD327662 SHO327660:SHZ327662 SRK327660:SRV327662 TBG327660:TBR327662 TLC327660:TLN327662 TUY327660:TVJ327662 UEU327660:UFF327662 UOQ327660:UPB327662 UYM327660:UYX327662 VII327660:VIT327662 VSE327660:VSP327662 WCA327660:WCL327662 WLW327660:WMH327662 WVS327660:WWD327662 JG393196:JR393198 TC393196:TN393198 ACY393196:ADJ393198 AMU393196:ANF393198 AWQ393196:AXB393198 BGM393196:BGX393198 BQI393196:BQT393198 CAE393196:CAP393198 CKA393196:CKL393198 CTW393196:CUH393198 DDS393196:DED393198 DNO393196:DNZ393198 DXK393196:DXV393198 EHG393196:EHR393198 ERC393196:ERN393198 FAY393196:FBJ393198 FKU393196:FLF393198 FUQ393196:FVB393198 GEM393196:GEX393198 GOI393196:GOT393198 GYE393196:GYP393198 HIA393196:HIL393198 HRW393196:HSH393198 IBS393196:ICD393198 ILO393196:ILZ393198 IVK393196:IVV393198 JFG393196:JFR393198 JPC393196:JPN393198 JYY393196:JZJ393198 KIU393196:KJF393198 KSQ393196:KTB393198 LCM393196:LCX393198 LMI393196:LMT393198 LWE393196:LWP393198 MGA393196:MGL393198 MPW393196:MQH393198 MZS393196:NAD393198 NJO393196:NJZ393198 NTK393196:NTV393198 ODG393196:ODR393198 ONC393196:ONN393198 OWY393196:OXJ393198 PGU393196:PHF393198 PQQ393196:PRB393198 QAM393196:QAX393198 QKI393196:QKT393198 QUE393196:QUP393198 REA393196:REL393198 RNW393196:ROH393198 RXS393196:RYD393198 SHO393196:SHZ393198 SRK393196:SRV393198 TBG393196:TBR393198 TLC393196:TLN393198 TUY393196:TVJ393198 UEU393196:UFF393198 UOQ393196:UPB393198 UYM393196:UYX393198 VII393196:VIT393198 VSE393196:VSP393198 WCA393196:WCL393198 WLW393196:WMH393198 WVS393196:WWD393198 JG458732:JR458734 TC458732:TN458734 ACY458732:ADJ458734 AMU458732:ANF458734 AWQ458732:AXB458734 BGM458732:BGX458734 BQI458732:BQT458734 CAE458732:CAP458734 CKA458732:CKL458734 CTW458732:CUH458734 DDS458732:DED458734 DNO458732:DNZ458734 DXK458732:DXV458734 EHG458732:EHR458734 ERC458732:ERN458734 FAY458732:FBJ458734 FKU458732:FLF458734 FUQ458732:FVB458734 GEM458732:GEX458734 GOI458732:GOT458734 GYE458732:GYP458734 HIA458732:HIL458734 HRW458732:HSH458734 IBS458732:ICD458734 ILO458732:ILZ458734 IVK458732:IVV458734 JFG458732:JFR458734 JPC458732:JPN458734 JYY458732:JZJ458734 KIU458732:KJF458734 KSQ458732:KTB458734 LCM458732:LCX458734 LMI458732:LMT458734 LWE458732:LWP458734 MGA458732:MGL458734 MPW458732:MQH458734 MZS458732:NAD458734 NJO458732:NJZ458734 NTK458732:NTV458734 ODG458732:ODR458734 ONC458732:ONN458734 OWY458732:OXJ458734 PGU458732:PHF458734 PQQ458732:PRB458734 QAM458732:QAX458734 QKI458732:QKT458734 QUE458732:QUP458734 REA458732:REL458734 RNW458732:ROH458734 RXS458732:RYD458734 SHO458732:SHZ458734 SRK458732:SRV458734 TBG458732:TBR458734 TLC458732:TLN458734 TUY458732:TVJ458734 UEU458732:UFF458734 UOQ458732:UPB458734 UYM458732:UYX458734 VII458732:VIT458734 VSE458732:VSP458734 WCA458732:WCL458734 WLW458732:WMH458734 WVS458732:WWD458734 JG524268:JR524270 TC524268:TN524270 ACY524268:ADJ524270 AMU524268:ANF524270 AWQ524268:AXB524270 BGM524268:BGX524270 BQI524268:BQT524270 CAE524268:CAP524270 CKA524268:CKL524270 CTW524268:CUH524270 DDS524268:DED524270 DNO524268:DNZ524270 DXK524268:DXV524270 EHG524268:EHR524270 ERC524268:ERN524270 FAY524268:FBJ524270 FKU524268:FLF524270 FUQ524268:FVB524270 GEM524268:GEX524270 GOI524268:GOT524270 GYE524268:GYP524270 HIA524268:HIL524270 HRW524268:HSH524270 IBS524268:ICD524270 ILO524268:ILZ524270 IVK524268:IVV524270 JFG524268:JFR524270 JPC524268:JPN524270 JYY524268:JZJ524270 KIU524268:KJF524270 KSQ524268:KTB524270 LCM524268:LCX524270 LMI524268:LMT524270 LWE524268:LWP524270 MGA524268:MGL524270 MPW524268:MQH524270 MZS524268:NAD524270 NJO524268:NJZ524270 NTK524268:NTV524270 ODG524268:ODR524270 ONC524268:ONN524270 OWY524268:OXJ524270 PGU524268:PHF524270 PQQ524268:PRB524270 QAM524268:QAX524270 QKI524268:QKT524270 QUE524268:QUP524270 REA524268:REL524270 RNW524268:ROH524270 RXS524268:RYD524270 SHO524268:SHZ524270 SRK524268:SRV524270 TBG524268:TBR524270 TLC524268:TLN524270 TUY524268:TVJ524270 UEU524268:UFF524270 UOQ524268:UPB524270 UYM524268:UYX524270 VII524268:VIT524270 VSE524268:VSP524270 WCA524268:WCL524270 WLW524268:WMH524270 WVS524268:WWD524270 JG589804:JR589806 TC589804:TN589806 ACY589804:ADJ589806 AMU589804:ANF589806 AWQ589804:AXB589806 BGM589804:BGX589806 BQI589804:BQT589806 CAE589804:CAP589806 CKA589804:CKL589806 CTW589804:CUH589806 DDS589804:DED589806 DNO589804:DNZ589806 DXK589804:DXV589806 EHG589804:EHR589806 ERC589804:ERN589806 FAY589804:FBJ589806 FKU589804:FLF589806 FUQ589804:FVB589806 GEM589804:GEX589806 GOI589804:GOT589806 GYE589804:GYP589806 HIA589804:HIL589806 HRW589804:HSH589806 IBS589804:ICD589806 ILO589804:ILZ589806 IVK589804:IVV589806 JFG589804:JFR589806 JPC589804:JPN589806 JYY589804:JZJ589806 KIU589804:KJF589806 KSQ589804:KTB589806 LCM589804:LCX589806 LMI589804:LMT589806 LWE589804:LWP589806 MGA589804:MGL589806 MPW589804:MQH589806 MZS589804:NAD589806 NJO589804:NJZ589806 NTK589804:NTV589806 ODG589804:ODR589806 ONC589804:ONN589806 OWY589804:OXJ589806 PGU589804:PHF589806 PQQ589804:PRB589806 QAM589804:QAX589806 QKI589804:QKT589806 QUE589804:QUP589806 REA589804:REL589806 RNW589804:ROH589806 RXS589804:RYD589806 SHO589804:SHZ589806 SRK589804:SRV589806 TBG589804:TBR589806 TLC589804:TLN589806 TUY589804:TVJ589806 UEU589804:UFF589806 UOQ589804:UPB589806 UYM589804:UYX589806 VII589804:VIT589806 VSE589804:VSP589806 WCA589804:WCL589806 WLW589804:WMH589806 WVS589804:WWD589806 JG655340:JR655342 TC655340:TN655342 ACY655340:ADJ655342 AMU655340:ANF655342 AWQ655340:AXB655342 BGM655340:BGX655342 BQI655340:BQT655342 CAE655340:CAP655342 CKA655340:CKL655342 CTW655340:CUH655342 DDS655340:DED655342 DNO655340:DNZ655342 DXK655340:DXV655342 EHG655340:EHR655342 ERC655340:ERN655342 FAY655340:FBJ655342 FKU655340:FLF655342 FUQ655340:FVB655342 GEM655340:GEX655342 GOI655340:GOT655342 GYE655340:GYP655342 HIA655340:HIL655342 HRW655340:HSH655342 IBS655340:ICD655342 ILO655340:ILZ655342 IVK655340:IVV655342 JFG655340:JFR655342 JPC655340:JPN655342 JYY655340:JZJ655342 KIU655340:KJF655342 KSQ655340:KTB655342 LCM655340:LCX655342 LMI655340:LMT655342 LWE655340:LWP655342 MGA655340:MGL655342 MPW655340:MQH655342 MZS655340:NAD655342 NJO655340:NJZ655342 NTK655340:NTV655342 ODG655340:ODR655342 ONC655340:ONN655342 OWY655340:OXJ655342 PGU655340:PHF655342 PQQ655340:PRB655342 QAM655340:QAX655342 QKI655340:QKT655342 QUE655340:QUP655342 REA655340:REL655342 RNW655340:ROH655342 RXS655340:RYD655342 SHO655340:SHZ655342 SRK655340:SRV655342 TBG655340:TBR655342 TLC655340:TLN655342 TUY655340:TVJ655342 UEU655340:UFF655342 UOQ655340:UPB655342 UYM655340:UYX655342 VII655340:VIT655342 VSE655340:VSP655342 WCA655340:WCL655342 WLW655340:WMH655342 WVS655340:WWD655342 JG720876:JR720878 TC720876:TN720878 ACY720876:ADJ720878 AMU720876:ANF720878 AWQ720876:AXB720878 BGM720876:BGX720878 BQI720876:BQT720878 CAE720876:CAP720878 CKA720876:CKL720878 CTW720876:CUH720878 DDS720876:DED720878 DNO720876:DNZ720878 DXK720876:DXV720878 EHG720876:EHR720878 ERC720876:ERN720878 FAY720876:FBJ720878 FKU720876:FLF720878 FUQ720876:FVB720878 GEM720876:GEX720878 GOI720876:GOT720878 GYE720876:GYP720878 HIA720876:HIL720878 HRW720876:HSH720878 IBS720876:ICD720878 ILO720876:ILZ720878 IVK720876:IVV720878 JFG720876:JFR720878 JPC720876:JPN720878 JYY720876:JZJ720878 KIU720876:KJF720878 KSQ720876:KTB720878 LCM720876:LCX720878 LMI720876:LMT720878 LWE720876:LWP720878 MGA720876:MGL720878 MPW720876:MQH720878 MZS720876:NAD720878 NJO720876:NJZ720878 NTK720876:NTV720878 ODG720876:ODR720878 ONC720876:ONN720878 OWY720876:OXJ720878 PGU720876:PHF720878 PQQ720876:PRB720878 QAM720876:QAX720878 QKI720876:QKT720878 QUE720876:QUP720878 REA720876:REL720878 RNW720876:ROH720878 RXS720876:RYD720878 SHO720876:SHZ720878 SRK720876:SRV720878 TBG720876:TBR720878 TLC720876:TLN720878 TUY720876:TVJ720878 UEU720876:UFF720878 UOQ720876:UPB720878 UYM720876:UYX720878 VII720876:VIT720878 VSE720876:VSP720878 WCA720876:WCL720878 WLW720876:WMH720878 WVS720876:WWD720878 JG786412:JR786414 TC786412:TN786414 ACY786412:ADJ786414 AMU786412:ANF786414 AWQ786412:AXB786414 BGM786412:BGX786414 BQI786412:BQT786414 CAE786412:CAP786414 CKA786412:CKL786414 CTW786412:CUH786414 DDS786412:DED786414 DNO786412:DNZ786414 DXK786412:DXV786414 EHG786412:EHR786414 ERC786412:ERN786414 FAY786412:FBJ786414 FKU786412:FLF786414 FUQ786412:FVB786414 GEM786412:GEX786414 GOI786412:GOT786414 GYE786412:GYP786414 HIA786412:HIL786414 HRW786412:HSH786414 IBS786412:ICD786414 ILO786412:ILZ786414 IVK786412:IVV786414 JFG786412:JFR786414 JPC786412:JPN786414 JYY786412:JZJ786414 KIU786412:KJF786414 KSQ786412:KTB786414 LCM786412:LCX786414 LMI786412:LMT786414 LWE786412:LWP786414 MGA786412:MGL786414 MPW786412:MQH786414 MZS786412:NAD786414 NJO786412:NJZ786414 NTK786412:NTV786414 ODG786412:ODR786414 ONC786412:ONN786414 OWY786412:OXJ786414 PGU786412:PHF786414 PQQ786412:PRB786414 QAM786412:QAX786414 QKI786412:QKT786414 QUE786412:QUP786414 REA786412:REL786414 RNW786412:ROH786414 RXS786412:RYD786414 SHO786412:SHZ786414 SRK786412:SRV786414 TBG786412:TBR786414 TLC786412:TLN786414 TUY786412:TVJ786414 UEU786412:UFF786414 UOQ786412:UPB786414 UYM786412:UYX786414 VII786412:VIT786414 VSE786412:VSP786414 WCA786412:WCL786414 WLW786412:WMH786414 WVS786412:WWD786414 JG851948:JR851950 TC851948:TN851950 ACY851948:ADJ851950 AMU851948:ANF851950 AWQ851948:AXB851950 BGM851948:BGX851950 BQI851948:BQT851950 CAE851948:CAP851950 CKA851948:CKL851950 CTW851948:CUH851950 DDS851948:DED851950 DNO851948:DNZ851950 DXK851948:DXV851950 EHG851948:EHR851950 ERC851948:ERN851950 FAY851948:FBJ851950 FKU851948:FLF851950 FUQ851948:FVB851950 GEM851948:GEX851950 GOI851948:GOT851950 GYE851948:GYP851950 HIA851948:HIL851950 HRW851948:HSH851950 IBS851948:ICD851950 ILO851948:ILZ851950 IVK851948:IVV851950 JFG851948:JFR851950 JPC851948:JPN851950 JYY851948:JZJ851950 KIU851948:KJF851950 KSQ851948:KTB851950 LCM851948:LCX851950 LMI851948:LMT851950 LWE851948:LWP851950 MGA851948:MGL851950 MPW851948:MQH851950 MZS851948:NAD851950 NJO851948:NJZ851950 NTK851948:NTV851950 ODG851948:ODR851950 ONC851948:ONN851950 OWY851948:OXJ851950 PGU851948:PHF851950 PQQ851948:PRB851950 QAM851948:QAX851950 QKI851948:QKT851950 QUE851948:QUP851950 REA851948:REL851950 RNW851948:ROH851950 RXS851948:RYD851950 SHO851948:SHZ851950 SRK851948:SRV851950 TBG851948:TBR851950 TLC851948:TLN851950 TUY851948:TVJ851950 UEU851948:UFF851950 UOQ851948:UPB851950 UYM851948:UYX851950 VII851948:VIT851950 VSE851948:VSP851950 WCA851948:WCL851950 WLW851948:WMH851950 WVS851948:WWD851950 JG917484:JR917486 TC917484:TN917486 ACY917484:ADJ917486 AMU917484:ANF917486 AWQ917484:AXB917486 BGM917484:BGX917486 BQI917484:BQT917486 CAE917484:CAP917486 CKA917484:CKL917486 CTW917484:CUH917486 DDS917484:DED917486 DNO917484:DNZ917486 DXK917484:DXV917486 EHG917484:EHR917486 ERC917484:ERN917486 FAY917484:FBJ917486 FKU917484:FLF917486 FUQ917484:FVB917486 GEM917484:GEX917486 GOI917484:GOT917486 GYE917484:GYP917486 HIA917484:HIL917486 HRW917484:HSH917486 IBS917484:ICD917486 ILO917484:ILZ917486 IVK917484:IVV917486 JFG917484:JFR917486 JPC917484:JPN917486 JYY917484:JZJ917486 KIU917484:KJF917486 KSQ917484:KTB917486 LCM917484:LCX917486 LMI917484:LMT917486 LWE917484:LWP917486 MGA917484:MGL917486 MPW917484:MQH917486 MZS917484:NAD917486 NJO917484:NJZ917486 NTK917484:NTV917486 ODG917484:ODR917486 ONC917484:ONN917486 OWY917484:OXJ917486 PGU917484:PHF917486 PQQ917484:PRB917486 QAM917484:QAX917486 QKI917484:QKT917486 QUE917484:QUP917486 REA917484:REL917486 RNW917484:ROH917486 RXS917484:RYD917486 SHO917484:SHZ917486 SRK917484:SRV917486 TBG917484:TBR917486 TLC917484:TLN917486 TUY917484:TVJ917486 UEU917484:UFF917486 UOQ917484:UPB917486 UYM917484:UYX917486 VII917484:VIT917486 VSE917484:VSP917486 WCA917484:WCL917486 WLW917484:WMH917486 WVS917484:WWD917486 JG983020:JR983022 TC983020:TN983022 ACY983020:ADJ983022 AMU983020:ANF983022 AWQ983020:AXB983022 BGM983020:BGX983022 BQI983020:BQT983022 CAE983020:CAP983022 CKA983020:CKL983022 CTW983020:CUH983022 DDS983020:DED983022 DNO983020:DNZ983022 DXK983020:DXV983022 EHG983020:EHR983022 ERC983020:ERN983022 FAY983020:FBJ983022 FKU983020:FLF983022 FUQ983020:FVB983022 GEM983020:GEX983022 GOI983020:GOT983022 GYE983020:GYP983022 HIA983020:HIL983022 HRW983020:HSH983022 IBS983020:ICD983022 ILO983020:ILZ983022 IVK983020:IVV983022 JFG983020:JFR983022 JPC983020:JPN983022 JYY983020:JZJ983022 KIU983020:KJF983022 KSQ983020:KTB983022 LCM983020:LCX983022 LMI983020:LMT983022 LWE983020:LWP983022 MGA983020:MGL983022 MPW983020:MQH983022 MZS983020:NAD983022 NJO983020:NJZ983022 NTK983020:NTV983022 ODG983020:ODR983022 ONC983020:ONN983022 OWY983020:OXJ983022 PGU983020:PHF983022 PQQ983020:PRB983022 QAM983020:QAX983022 QKI983020:QKT983022 QUE983020:QUP983022 REA983020:REL983022 RNW983020:ROH983022 RXS983020:RYD983022 SHO983020:SHZ983022 SRK983020:SRV983022 TBG983020:TBR983022 TLC983020:TLN983022 TUY983020:TVJ983022 UEU983020:UFF983022 UOQ983020:UPB983022 UYM983020:UYX983022 VII983020:VIT983022 VSE983020:VSP983022 WCA983020:WCL983022 WLW983020:WMH983022 Z262119:AJ262121 Z196583:AJ196585 Z131047:AJ131049 Z65511:AJ65513 Z983020:AJ983022 Z917484:AJ917486 Z851948:AJ851950 Z786412:AJ786414 Z720876:AJ720878 Z655340:AJ655342 Z589804:AJ589806 Z524268:AJ524270 Z458732:AJ458734 Z393196:AJ393198 Z327660:AJ327662 Z262124:AJ262126 Z196588:AJ196590 Z131052:AJ131054 Z65516:AJ65518 Z983015:AJ983017 Z917479:AJ917481 Z851943:AJ851945 Z786407:AJ786409 Z720871:AJ720873 Z655335:AJ655337 Z589799:AJ589801 Z524263:AJ524265 Z458727:AJ458729 Z393191:AJ393193 Z327655:AJ327657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Y8:Z46">
      <formula1>"文字,数値,日付,時間"</formula1>
    </dataValidation>
    <dataValidation type="list" allowBlank="1" showInputMessage="1" showErrorMessage="1" sqref="AA8:AA46">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pageSetUpPr autoPageBreaks="0"/>
  </sheetPr>
  <dimension ref="A1:BD46"/>
  <sheetViews>
    <sheetView showGridLines="0" zoomScaleNormal="100" zoomScaleSheetLayoutView="85"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6"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6"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資材在庫月末情報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6"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6"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6"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6"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6" ht="14.4" customHeight="1">
      <c r="A8" s="37">
        <f>IF(B8="","",COUNTA($B$8:$B8))</f>
        <v>1</v>
      </c>
      <c r="B8" s="35" t="s">
        <v>270</v>
      </c>
      <c r="C8" s="34"/>
      <c r="D8" s="34"/>
      <c r="E8" s="34"/>
      <c r="F8" s="34"/>
      <c r="G8" s="34"/>
      <c r="H8" s="34"/>
      <c r="I8" s="35" t="s">
        <v>1429</v>
      </c>
      <c r="J8" s="27"/>
      <c r="K8" s="27"/>
      <c r="L8" s="27"/>
      <c r="M8" s="27"/>
      <c r="N8" s="27"/>
      <c r="O8" s="27"/>
      <c r="P8" s="27"/>
      <c r="Q8" s="27"/>
      <c r="R8" s="35" t="s">
        <v>270</v>
      </c>
      <c r="S8" s="34"/>
      <c r="T8" s="34"/>
      <c r="U8" s="34"/>
      <c r="V8" s="34"/>
      <c r="W8" s="34"/>
      <c r="X8" s="34"/>
      <c r="Y8" s="589" t="s">
        <v>1504</v>
      </c>
      <c r="Z8" s="590"/>
      <c r="AA8" s="591" t="s">
        <v>1505</v>
      </c>
      <c r="AB8" s="592"/>
      <c r="AC8" s="593"/>
      <c r="AD8" s="53">
        <v>12</v>
      </c>
      <c r="AE8" s="25"/>
      <c r="AF8" s="25">
        <v>1</v>
      </c>
      <c r="AG8" s="24" t="s">
        <v>84</v>
      </c>
      <c r="AH8" s="25"/>
      <c r="AI8" s="25"/>
      <c r="AJ8" s="25"/>
      <c r="AK8" s="25"/>
      <c r="AL8" s="25"/>
      <c r="AM8" s="25"/>
      <c r="AN8" s="25"/>
      <c r="AO8" s="25"/>
      <c r="AP8" s="25"/>
      <c r="AQ8" s="25"/>
      <c r="AR8" s="25"/>
      <c r="AS8" s="35" t="s">
        <v>1178</v>
      </c>
      <c r="AT8" s="36"/>
      <c r="AU8" s="36"/>
      <c r="AV8" s="36"/>
      <c r="AW8" s="36"/>
      <c r="AX8" s="36"/>
      <c r="AY8" s="36"/>
      <c r="AZ8" s="36"/>
      <c r="BA8" s="36"/>
      <c r="BB8" s="36"/>
      <c r="BC8" s="36"/>
      <c r="BD8" s="50"/>
    </row>
    <row r="9" spans="1:56" ht="14.4" customHeight="1">
      <c r="A9" s="37">
        <f>IF(B9="","",COUNTA($B$8:$B9))</f>
        <v>2</v>
      </c>
      <c r="B9" s="35" t="s">
        <v>1514</v>
      </c>
      <c r="C9" s="34"/>
      <c r="D9" s="34"/>
      <c r="E9" s="34"/>
      <c r="F9" s="34"/>
      <c r="G9" s="34"/>
      <c r="H9" s="34"/>
      <c r="I9" s="35" t="s">
        <v>568</v>
      </c>
      <c r="J9" s="27"/>
      <c r="K9" s="27"/>
      <c r="L9" s="27"/>
      <c r="M9" s="27"/>
      <c r="N9" s="27"/>
      <c r="O9" s="27"/>
      <c r="P9" s="27"/>
      <c r="Q9" s="27"/>
      <c r="R9" s="35" t="s">
        <v>1514</v>
      </c>
      <c r="S9" s="34"/>
      <c r="T9" s="34"/>
      <c r="U9" s="34"/>
      <c r="V9" s="34"/>
      <c r="W9" s="34"/>
      <c r="X9" s="34"/>
      <c r="Y9" s="589" t="s">
        <v>1504</v>
      </c>
      <c r="Z9" s="590"/>
      <c r="AA9" s="591" t="s">
        <v>1505</v>
      </c>
      <c r="AB9" s="592"/>
      <c r="AC9" s="593"/>
      <c r="AD9" s="53">
        <v>20</v>
      </c>
      <c r="AE9" s="25"/>
      <c r="AF9" s="25">
        <v>2</v>
      </c>
      <c r="AG9" s="24" t="s">
        <v>84</v>
      </c>
      <c r="AH9" s="25"/>
      <c r="AI9" s="25"/>
      <c r="AJ9" s="25"/>
      <c r="AK9" s="25"/>
      <c r="AL9" s="25"/>
      <c r="AM9" s="25"/>
      <c r="AN9" s="25"/>
      <c r="AO9" s="25"/>
      <c r="AP9" s="25"/>
      <c r="AQ9" s="25"/>
      <c r="AR9" s="25"/>
      <c r="AS9" s="35"/>
      <c r="AT9" s="36"/>
      <c r="AU9" s="36"/>
      <c r="AV9" s="36"/>
      <c r="AW9" s="36"/>
      <c r="AX9" s="36"/>
      <c r="AY9" s="36"/>
      <c r="AZ9" s="36"/>
      <c r="BA9" s="36"/>
      <c r="BB9" s="36"/>
      <c r="BC9" s="36"/>
      <c r="BD9" s="50"/>
    </row>
    <row r="10" spans="1:56" ht="14.4" customHeight="1">
      <c r="A10" s="37">
        <f>IF(B10="","",COUNTA($B$8:$B10))</f>
        <v>3</v>
      </c>
      <c r="B10" s="35" t="s">
        <v>1506</v>
      </c>
      <c r="C10" s="34"/>
      <c r="D10" s="34"/>
      <c r="E10" s="34"/>
      <c r="F10" s="34"/>
      <c r="G10" s="34"/>
      <c r="H10" s="34"/>
      <c r="I10" s="35" t="s">
        <v>1395</v>
      </c>
      <c r="J10" s="27"/>
      <c r="K10" s="27"/>
      <c r="L10" s="27"/>
      <c r="M10" s="27"/>
      <c r="N10" s="27"/>
      <c r="O10" s="27"/>
      <c r="P10" s="27"/>
      <c r="Q10" s="27"/>
      <c r="R10" s="35" t="s">
        <v>1506</v>
      </c>
      <c r="S10" s="34"/>
      <c r="T10" s="34"/>
      <c r="U10" s="34"/>
      <c r="V10" s="34"/>
      <c r="W10" s="34"/>
      <c r="X10" s="34"/>
      <c r="Y10" s="589" t="s">
        <v>1504</v>
      </c>
      <c r="Z10" s="590"/>
      <c r="AA10" s="591" t="s">
        <v>1505</v>
      </c>
      <c r="AB10" s="592"/>
      <c r="AC10" s="593"/>
      <c r="AD10" s="53">
        <v>3</v>
      </c>
      <c r="AE10" s="25"/>
      <c r="AF10" s="25">
        <v>3</v>
      </c>
      <c r="AG10" s="24" t="s">
        <v>84</v>
      </c>
      <c r="AH10" s="25"/>
      <c r="AI10" s="25"/>
      <c r="AJ10" s="25"/>
      <c r="AK10" s="25"/>
      <c r="AL10" s="25"/>
      <c r="AM10" s="25"/>
      <c r="AN10" s="25"/>
      <c r="AO10" s="25"/>
      <c r="AP10" s="25"/>
      <c r="AQ10" s="25"/>
      <c r="AR10" s="25"/>
      <c r="AS10" s="35"/>
      <c r="AT10" s="36"/>
      <c r="AU10" s="36"/>
      <c r="AV10" s="36"/>
      <c r="AW10" s="36"/>
      <c r="AX10" s="36"/>
      <c r="AY10" s="36"/>
      <c r="AZ10" s="36"/>
      <c r="BA10" s="36"/>
      <c r="BB10" s="36"/>
      <c r="BC10" s="36"/>
      <c r="BD10" s="50"/>
    </row>
    <row r="11" spans="1:56" ht="14.4" customHeight="1">
      <c r="A11" s="37">
        <f>IF(B11="","",COUNTA($B$8:$B11))</f>
        <v>4</v>
      </c>
      <c r="B11" s="35" t="s">
        <v>1529</v>
      </c>
      <c r="C11" s="34"/>
      <c r="D11" s="34"/>
      <c r="E11" s="34"/>
      <c r="F11" s="34"/>
      <c r="G11" s="34"/>
      <c r="H11" s="34"/>
      <c r="I11" s="35" t="s">
        <v>457</v>
      </c>
      <c r="J11" s="27"/>
      <c r="K11" s="27"/>
      <c r="L11" s="27"/>
      <c r="M11" s="27"/>
      <c r="N11" s="27"/>
      <c r="O11" s="27"/>
      <c r="P11" s="27"/>
      <c r="Q11" s="27"/>
      <c r="R11" s="35" t="s">
        <v>1529</v>
      </c>
      <c r="S11" s="34"/>
      <c r="T11" s="34"/>
      <c r="U11" s="34"/>
      <c r="V11" s="34"/>
      <c r="W11" s="34"/>
      <c r="X11" s="34"/>
      <c r="Y11" s="589" t="s">
        <v>1504</v>
      </c>
      <c r="Z11" s="590"/>
      <c r="AA11" s="591" t="s">
        <v>1505</v>
      </c>
      <c r="AB11" s="592"/>
      <c r="AC11" s="593"/>
      <c r="AD11" s="53">
        <v>5</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6" ht="14.4" customHeight="1">
      <c r="A12" s="37">
        <f>IF(B12="","",COUNTA($B$8:$B12))</f>
        <v>5</v>
      </c>
      <c r="B12" s="35" t="s">
        <v>140</v>
      </c>
      <c r="C12" s="34"/>
      <c r="D12" s="34"/>
      <c r="E12" s="34"/>
      <c r="F12" s="34"/>
      <c r="G12" s="34"/>
      <c r="H12" s="34"/>
      <c r="I12" s="35" t="s">
        <v>657</v>
      </c>
      <c r="J12" s="27"/>
      <c r="K12" s="27"/>
      <c r="L12" s="27"/>
      <c r="M12" s="27"/>
      <c r="N12" s="27"/>
      <c r="O12" s="27"/>
      <c r="P12" s="27"/>
      <c r="Q12" s="27"/>
      <c r="R12" s="35" t="s">
        <v>140</v>
      </c>
      <c r="S12" s="34"/>
      <c r="T12" s="34"/>
      <c r="U12" s="34"/>
      <c r="V12" s="34"/>
      <c r="W12" s="34"/>
      <c r="X12" s="34"/>
      <c r="Y12" s="589" t="s">
        <v>1504</v>
      </c>
      <c r="Z12" s="590"/>
      <c r="AA12" s="591" t="s">
        <v>1505</v>
      </c>
      <c r="AB12" s="592"/>
      <c r="AC12" s="593"/>
      <c r="AD12" s="53">
        <v>30</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6" ht="14.4" customHeight="1">
      <c r="A13" s="37">
        <f>IF(B13="","",COUNTA($B$8:$B13))</f>
        <v>6</v>
      </c>
      <c r="B13" s="35" t="s">
        <v>591</v>
      </c>
      <c r="C13" s="34"/>
      <c r="D13" s="34"/>
      <c r="E13" s="34"/>
      <c r="F13" s="34"/>
      <c r="G13" s="34"/>
      <c r="H13" s="34"/>
      <c r="I13" s="35"/>
      <c r="J13" s="27"/>
      <c r="K13" s="27"/>
      <c r="L13" s="27"/>
      <c r="M13" s="27"/>
      <c r="N13" s="27"/>
      <c r="O13" s="27"/>
      <c r="P13" s="27"/>
      <c r="Q13" s="27"/>
      <c r="R13" s="35" t="s">
        <v>591</v>
      </c>
      <c r="S13" s="34"/>
      <c r="T13" s="34"/>
      <c r="U13" s="34"/>
      <c r="V13" s="34"/>
      <c r="W13" s="34"/>
      <c r="X13" s="34"/>
      <c r="Y13" s="589" t="s">
        <v>1504</v>
      </c>
      <c r="Z13" s="590"/>
      <c r="AA13" s="591" t="s">
        <v>1505</v>
      </c>
      <c r="AB13" s="592"/>
      <c r="AC13" s="593"/>
      <c r="AD13" s="23">
        <v>30</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6" ht="14.4" customHeight="1">
      <c r="A14" s="37">
        <f>IF(B14="","",COUNTA($B$8:$B14))</f>
        <v>7</v>
      </c>
      <c r="B14" s="35" t="s">
        <v>1344</v>
      </c>
      <c r="C14" s="34"/>
      <c r="D14" s="34"/>
      <c r="E14" s="34"/>
      <c r="F14" s="34"/>
      <c r="G14" s="34"/>
      <c r="H14" s="34"/>
      <c r="I14" s="35" t="s">
        <v>1444</v>
      </c>
      <c r="J14" s="27"/>
      <c r="K14" s="27"/>
      <c r="L14" s="27"/>
      <c r="M14" s="27"/>
      <c r="N14" s="27"/>
      <c r="O14" s="27"/>
      <c r="P14" s="27"/>
      <c r="Q14" s="27"/>
      <c r="R14" s="35" t="s">
        <v>1344</v>
      </c>
      <c r="S14" s="34"/>
      <c r="T14" s="34"/>
      <c r="U14" s="34"/>
      <c r="V14" s="34"/>
      <c r="W14" s="34"/>
      <c r="X14" s="34"/>
      <c r="Y14" s="589" t="s">
        <v>1504</v>
      </c>
      <c r="Z14" s="590"/>
      <c r="AA14" s="591" t="s">
        <v>1505</v>
      </c>
      <c r="AB14" s="592"/>
      <c r="AC14" s="593"/>
      <c r="AD14" s="53">
        <v>4</v>
      </c>
      <c r="AE14" s="25"/>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6" ht="14.4" customHeight="1">
      <c r="A15" s="37">
        <f>IF(B15="","",COUNTA($B$8:$B15))</f>
        <v>8</v>
      </c>
      <c r="B15" s="35" t="s">
        <v>1714</v>
      </c>
      <c r="C15" s="34"/>
      <c r="D15" s="34"/>
      <c r="E15" s="34"/>
      <c r="F15" s="34"/>
      <c r="G15" s="34"/>
      <c r="H15" s="34"/>
      <c r="I15" s="35"/>
      <c r="J15" s="27"/>
      <c r="K15" s="27"/>
      <c r="L15" s="27"/>
      <c r="M15" s="27"/>
      <c r="N15" s="27"/>
      <c r="O15" s="27"/>
      <c r="P15" s="27"/>
      <c r="Q15" s="27"/>
      <c r="R15" s="35" t="s">
        <v>1714</v>
      </c>
      <c r="S15" s="34"/>
      <c r="T15" s="34"/>
      <c r="U15" s="34"/>
      <c r="V15" s="34"/>
      <c r="W15" s="34"/>
      <c r="X15" s="34"/>
      <c r="Y15" s="589" t="s">
        <v>1504</v>
      </c>
      <c r="Z15" s="590"/>
      <c r="AA15" s="591" t="s">
        <v>1505</v>
      </c>
      <c r="AB15" s="592"/>
      <c r="AC15" s="593"/>
      <c r="AD15" s="53">
        <v>3</v>
      </c>
      <c r="AE15" s="25"/>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6" ht="14.4" customHeight="1">
      <c r="A16" s="37">
        <f>IF(B16="","",COUNTA($B$8:$B16))</f>
        <v>9</v>
      </c>
      <c r="B16" s="35" t="s">
        <v>1716</v>
      </c>
      <c r="C16" s="34"/>
      <c r="D16" s="34"/>
      <c r="E16" s="34"/>
      <c r="F16" s="34"/>
      <c r="G16" s="34"/>
      <c r="H16" s="34"/>
      <c r="I16" s="35" t="s">
        <v>570</v>
      </c>
      <c r="J16" s="27"/>
      <c r="K16" s="27"/>
      <c r="L16" s="27"/>
      <c r="M16" s="27"/>
      <c r="N16" s="27"/>
      <c r="O16" s="27"/>
      <c r="P16" s="27"/>
      <c r="Q16" s="27"/>
      <c r="R16" s="35" t="s">
        <v>1716</v>
      </c>
      <c r="S16" s="34"/>
      <c r="T16" s="34"/>
      <c r="U16" s="34"/>
      <c r="V16" s="34"/>
      <c r="W16" s="34"/>
      <c r="X16" s="34"/>
      <c r="Y16" s="589" t="s">
        <v>1504</v>
      </c>
      <c r="Z16" s="590"/>
      <c r="AA16" s="591" t="s">
        <v>1505</v>
      </c>
      <c r="AB16" s="592"/>
      <c r="AC16" s="593"/>
      <c r="AD16" s="53">
        <v>2</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6" ht="14.4" customHeight="1">
      <c r="A17" s="37">
        <f>IF(B17="","",COUNTA($B$8:$B17))</f>
        <v>10</v>
      </c>
      <c r="B17" s="35" t="s">
        <v>1718</v>
      </c>
      <c r="C17" s="34"/>
      <c r="D17" s="34"/>
      <c r="E17" s="34"/>
      <c r="F17" s="34"/>
      <c r="G17" s="34"/>
      <c r="H17" s="34"/>
      <c r="I17" s="35" t="s">
        <v>572</v>
      </c>
      <c r="J17" s="27"/>
      <c r="K17" s="27"/>
      <c r="L17" s="27"/>
      <c r="M17" s="27"/>
      <c r="N17" s="27"/>
      <c r="O17" s="27"/>
      <c r="P17" s="27"/>
      <c r="Q17" s="27"/>
      <c r="R17" s="35" t="s">
        <v>1718</v>
      </c>
      <c r="S17" s="34"/>
      <c r="T17" s="34"/>
      <c r="U17" s="34"/>
      <c r="V17" s="34"/>
      <c r="W17" s="34"/>
      <c r="X17" s="34"/>
      <c r="Y17" s="589" t="s">
        <v>1504</v>
      </c>
      <c r="Z17" s="590"/>
      <c r="AA17" s="591" t="s">
        <v>1505</v>
      </c>
      <c r="AB17" s="592"/>
      <c r="AC17" s="593"/>
      <c r="AD17" s="53">
        <v>2</v>
      </c>
      <c r="AE17" s="25"/>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6" ht="14.4" customHeight="1">
      <c r="A18" s="37">
        <f>IF(B18="","",COUNTA($B$8:$B18))</f>
        <v>11</v>
      </c>
      <c r="B18" s="35" t="s">
        <v>1530</v>
      </c>
      <c r="C18" s="34"/>
      <c r="D18" s="34"/>
      <c r="E18" s="34"/>
      <c r="F18" s="34"/>
      <c r="G18" s="34"/>
      <c r="H18" s="34"/>
      <c r="I18" s="35" t="s">
        <v>459</v>
      </c>
      <c r="J18" s="27"/>
      <c r="K18" s="27"/>
      <c r="L18" s="27"/>
      <c r="M18" s="27"/>
      <c r="N18" s="27"/>
      <c r="O18" s="27"/>
      <c r="P18" s="27"/>
      <c r="Q18" s="27"/>
      <c r="R18" s="35" t="s">
        <v>1530</v>
      </c>
      <c r="S18" s="34"/>
      <c r="T18" s="34"/>
      <c r="U18" s="34"/>
      <c r="V18" s="34"/>
      <c r="W18" s="34"/>
      <c r="X18" s="34"/>
      <c r="Y18" s="589" t="s">
        <v>1504</v>
      </c>
      <c r="Z18" s="590"/>
      <c r="AA18" s="591" t="s">
        <v>1505</v>
      </c>
      <c r="AB18" s="592"/>
      <c r="AC18" s="593"/>
      <c r="AD18" s="53">
        <v>2</v>
      </c>
      <c r="AE18" s="25"/>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6" ht="14.4" customHeight="1">
      <c r="A19" s="37">
        <f>IF(B19="","",COUNTA($B$8:$B19))</f>
        <v>12</v>
      </c>
      <c r="B19" s="35" t="s">
        <v>431</v>
      </c>
      <c r="C19" s="34"/>
      <c r="D19" s="34"/>
      <c r="E19" s="34"/>
      <c r="F19" s="34"/>
      <c r="G19" s="34"/>
      <c r="H19" s="34"/>
      <c r="I19" s="35" t="s">
        <v>432</v>
      </c>
      <c r="J19" s="27"/>
      <c r="K19" s="27"/>
      <c r="L19" s="27"/>
      <c r="M19" s="27"/>
      <c r="N19" s="27"/>
      <c r="O19" s="27"/>
      <c r="P19" s="27"/>
      <c r="Q19" s="27"/>
      <c r="R19" s="35" t="s">
        <v>431</v>
      </c>
      <c r="S19" s="34"/>
      <c r="T19" s="34"/>
      <c r="U19" s="34"/>
      <c r="V19" s="34"/>
      <c r="W19" s="34"/>
      <c r="X19" s="34"/>
      <c r="Y19" s="589" t="s">
        <v>1516</v>
      </c>
      <c r="Z19" s="636"/>
      <c r="AA19" s="591" t="s">
        <v>1517</v>
      </c>
      <c r="AB19" s="592"/>
      <c r="AC19" s="593"/>
      <c r="AD19" s="53">
        <v>7</v>
      </c>
      <c r="AE19" s="25">
        <v>3</v>
      </c>
      <c r="AF19" s="25"/>
      <c r="AG19" s="25"/>
      <c r="AH19" s="25"/>
      <c r="AI19" s="25"/>
      <c r="AJ19" s="25"/>
      <c r="AK19" s="25"/>
      <c r="AL19" s="25"/>
      <c r="AM19" s="25"/>
      <c r="AN19" s="25"/>
      <c r="AO19" s="25"/>
      <c r="AP19" s="25"/>
      <c r="AQ19" s="25"/>
      <c r="AR19" s="25"/>
      <c r="AS19" s="35" t="s">
        <v>265</v>
      </c>
      <c r="AT19" s="36"/>
      <c r="AU19" s="36"/>
      <c r="AV19" s="36"/>
      <c r="AW19" s="36"/>
      <c r="AX19" s="36"/>
      <c r="AY19" s="36"/>
      <c r="AZ19" s="36"/>
      <c r="BA19" s="36"/>
      <c r="BB19" s="36"/>
      <c r="BC19" s="36"/>
      <c r="BD19" s="50"/>
    </row>
    <row r="20" spans="1:56" ht="14.4" customHeight="1">
      <c r="A20" s="37">
        <f>IF(B20="","",COUNTA($B$8:$B20))</f>
        <v>13</v>
      </c>
      <c r="B20" s="35" t="s">
        <v>1632</v>
      </c>
      <c r="C20" s="34"/>
      <c r="D20" s="34"/>
      <c r="E20" s="34"/>
      <c r="F20" s="34"/>
      <c r="G20" s="34"/>
      <c r="H20" s="34"/>
      <c r="I20" s="35" t="s">
        <v>1414</v>
      </c>
      <c r="J20" s="27"/>
      <c r="K20" s="27"/>
      <c r="L20" s="27"/>
      <c r="M20" s="27"/>
      <c r="N20" s="27"/>
      <c r="O20" s="27"/>
      <c r="P20" s="27"/>
      <c r="Q20" s="27"/>
      <c r="R20" s="35" t="s">
        <v>1632</v>
      </c>
      <c r="S20" s="34"/>
      <c r="T20" s="34"/>
      <c r="U20" s="34"/>
      <c r="V20" s="34"/>
      <c r="W20" s="34"/>
      <c r="X20" s="34"/>
      <c r="Y20" s="589" t="s">
        <v>1516</v>
      </c>
      <c r="Z20" s="636"/>
      <c r="AA20" s="591" t="s">
        <v>1517</v>
      </c>
      <c r="AB20" s="592"/>
      <c r="AC20" s="593"/>
      <c r="AD20" s="53">
        <v>7</v>
      </c>
      <c r="AE20" s="25">
        <v>1</v>
      </c>
      <c r="AF20" s="25"/>
      <c r="AG20" s="25"/>
      <c r="AH20" s="25"/>
      <c r="AI20" s="25"/>
      <c r="AJ20" s="25"/>
      <c r="AK20" s="25"/>
      <c r="AL20" s="25"/>
      <c r="AM20" s="25"/>
      <c r="AN20" s="25"/>
      <c r="AO20" s="25"/>
      <c r="AP20" s="25"/>
      <c r="AQ20" s="25"/>
      <c r="AR20" s="25"/>
      <c r="AS20" s="35" t="s">
        <v>1190</v>
      </c>
      <c r="AT20" s="36"/>
      <c r="AU20" s="36"/>
      <c r="AV20" s="36"/>
      <c r="AW20" s="36"/>
      <c r="AX20" s="36"/>
      <c r="AY20" s="36"/>
      <c r="AZ20" s="36"/>
      <c r="BA20" s="36"/>
      <c r="BB20" s="36"/>
      <c r="BC20" s="36"/>
      <c r="BD20" s="50"/>
    </row>
    <row r="21" spans="1:56" ht="14.4" customHeight="1">
      <c r="A21" s="37">
        <f>IF(B21="","",COUNTA($B$8:$B21))</f>
        <v>14</v>
      </c>
      <c r="B21" s="17" t="s">
        <v>1302</v>
      </c>
      <c r="C21" s="34"/>
      <c r="D21" s="34"/>
      <c r="E21" s="34"/>
      <c r="F21" s="34"/>
      <c r="G21" s="34"/>
      <c r="H21" s="34"/>
      <c r="I21" s="19" t="s">
        <v>624</v>
      </c>
      <c r="J21" s="27"/>
      <c r="K21" s="27"/>
      <c r="L21" s="27"/>
      <c r="M21" s="27"/>
      <c r="N21" s="27"/>
      <c r="O21" s="27"/>
      <c r="P21" s="27"/>
      <c r="Q21" s="27"/>
      <c r="R21" s="17" t="s">
        <v>1704</v>
      </c>
      <c r="S21" s="34"/>
      <c r="T21" s="34"/>
      <c r="U21" s="34"/>
      <c r="V21" s="34"/>
      <c r="W21" s="34"/>
      <c r="X21" s="34"/>
      <c r="Y21" s="589" t="s">
        <v>1504</v>
      </c>
      <c r="Z21" s="590"/>
      <c r="AA21" s="591" t="s">
        <v>1505</v>
      </c>
      <c r="AB21" s="592"/>
      <c r="AC21" s="593"/>
      <c r="AD21" s="23">
        <v>10</v>
      </c>
      <c r="AE21" s="25"/>
      <c r="AF21" s="25"/>
      <c r="AG21" s="25"/>
      <c r="AH21" s="25"/>
      <c r="AI21" s="25"/>
      <c r="AJ21" s="25"/>
      <c r="AK21" s="25"/>
      <c r="AL21" s="25"/>
      <c r="AM21" s="25"/>
      <c r="AN21" s="25"/>
      <c r="AO21" s="25"/>
      <c r="AP21" s="25"/>
      <c r="AQ21" s="25"/>
      <c r="AR21" s="25"/>
      <c r="AS21" s="26"/>
      <c r="AT21" s="51"/>
      <c r="AU21" s="51"/>
      <c r="AV21" s="51"/>
      <c r="AW21" s="51"/>
      <c r="AX21" s="51"/>
      <c r="AY21" s="51"/>
      <c r="AZ21" s="51"/>
      <c r="BA21" s="51"/>
      <c r="BB21" s="51"/>
      <c r="BC21" s="51"/>
      <c r="BD21" s="52"/>
    </row>
    <row r="22" spans="1:56" ht="14.4" customHeight="1">
      <c r="A22" s="37">
        <f>IF(B22="","",COUNTA($B$8:$B22))</f>
        <v>15</v>
      </c>
      <c r="B22" s="17" t="s">
        <v>1508</v>
      </c>
      <c r="C22" s="34"/>
      <c r="D22" s="34"/>
      <c r="E22" s="34"/>
      <c r="F22" s="34"/>
      <c r="G22" s="34"/>
      <c r="H22" s="34"/>
      <c r="I22" s="19" t="s">
        <v>624</v>
      </c>
      <c r="J22" s="27"/>
      <c r="K22" s="27"/>
      <c r="L22" s="27"/>
      <c r="M22" s="27"/>
      <c r="N22" s="27"/>
      <c r="O22" s="27"/>
      <c r="P22" s="27"/>
      <c r="Q22" s="27"/>
      <c r="R22" s="17" t="s">
        <v>1508</v>
      </c>
      <c r="S22" s="34"/>
      <c r="T22" s="34"/>
      <c r="U22" s="34"/>
      <c r="V22" s="34"/>
      <c r="W22" s="34"/>
      <c r="X22" s="34"/>
      <c r="Y22" s="589" t="s">
        <v>1504</v>
      </c>
      <c r="Z22" s="590"/>
      <c r="AA22" s="591" t="s">
        <v>1505</v>
      </c>
      <c r="AB22" s="592"/>
      <c r="AC22" s="593"/>
      <c r="AD22" s="23">
        <v>10</v>
      </c>
      <c r="AE22" s="25"/>
      <c r="AF22" s="25"/>
      <c r="AG22" s="25"/>
      <c r="AH22" s="25"/>
      <c r="AI22" s="25"/>
      <c r="AJ22" s="25"/>
      <c r="AK22" s="25"/>
      <c r="AL22" s="25"/>
      <c r="AM22" s="25"/>
      <c r="AN22" s="25"/>
      <c r="AO22" s="25"/>
      <c r="AP22" s="25"/>
      <c r="AQ22" s="25"/>
      <c r="AR22" s="25"/>
      <c r="AS22" s="26"/>
      <c r="AT22" s="51"/>
      <c r="AU22" s="51"/>
      <c r="AV22" s="51"/>
      <c r="AW22" s="51"/>
      <c r="AX22" s="51"/>
      <c r="AY22" s="51"/>
      <c r="AZ22" s="51"/>
      <c r="BA22" s="51"/>
      <c r="BB22" s="51"/>
      <c r="BC22" s="51"/>
      <c r="BD22" s="52"/>
    </row>
    <row r="23" spans="1:56" ht="14.4" customHeight="1">
      <c r="A23" s="37">
        <f>IF(B23="","",COUNTA($B$8:$B23))</f>
        <v>16</v>
      </c>
      <c r="B23" s="17" t="s">
        <v>1509</v>
      </c>
      <c r="C23" s="34"/>
      <c r="D23" s="34"/>
      <c r="E23" s="34"/>
      <c r="F23" s="34"/>
      <c r="G23" s="34"/>
      <c r="H23" s="34"/>
      <c r="I23" s="19" t="s">
        <v>548</v>
      </c>
      <c r="J23" s="27"/>
      <c r="K23" s="27"/>
      <c r="L23" s="27"/>
      <c r="M23" s="27"/>
      <c r="N23" s="27"/>
      <c r="O23" s="27"/>
      <c r="P23" s="27"/>
      <c r="Q23" s="27"/>
      <c r="R23" s="17" t="s">
        <v>1509</v>
      </c>
      <c r="S23" s="34"/>
      <c r="T23" s="34"/>
      <c r="U23" s="34"/>
      <c r="V23" s="34"/>
      <c r="W23" s="34"/>
      <c r="X23" s="34"/>
      <c r="Y23" s="589" t="s">
        <v>1510</v>
      </c>
      <c r="Z23" s="590"/>
      <c r="AA23" s="591" t="s">
        <v>1511</v>
      </c>
      <c r="AB23" s="592"/>
      <c r="AC23" s="593"/>
      <c r="AD23" s="38"/>
      <c r="AE23" s="25"/>
      <c r="AF23" s="25"/>
      <c r="AG23" s="25"/>
      <c r="AH23" s="25"/>
      <c r="AI23" s="25"/>
      <c r="AJ23" s="25"/>
      <c r="AK23" s="25"/>
      <c r="AL23" s="25"/>
      <c r="AM23" s="25"/>
      <c r="AN23" s="25"/>
      <c r="AO23" s="25"/>
      <c r="AP23" s="25"/>
      <c r="AQ23" s="25"/>
      <c r="AR23" s="25"/>
      <c r="AS23" s="26"/>
      <c r="AT23" s="51"/>
      <c r="AU23" s="51"/>
      <c r="AV23" s="51"/>
      <c r="AW23" s="51"/>
      <c r="AX23" s="51"/>
      <c r="AY23" s="51"/>
      <c r="AZ23" s="51"/>
      <c r="BA23" s="51"/>
      <c r="BB23" s="51"/>
      <c r="BC23" s="51"/>
      <c r="BD23" s="52"/>
    </row>
    <row r="24" spans="1:56" ht="14.4" customHeight="1">
      <c r="A24" s="37">
        <f>IF(B24="","",COUNTA($B$8:$B24))</f>
        <v>17</v>
      </c>
      <c r="B24" s="17" t="s">
        <v>1306</v>
      </c>
      <c r="C24" s="34"/>
      <c r="D24" s="34"/>
      <c r="E24" s="34"/>
      <c r="F24" s="34"/>
      <c r="G24" s="34"/>
      <c r="H24" s="34"/>
      <c r="I24" s="19" t="s">
        <v>626</v>
      </c>
      <c r="J24" s="27"/>
      <c r="K24" s="27"/>
      <c r="L24" s="27"/>
      <c r="M24" s="27"/>
      <c r="N24" s="27"/>
      <c r="O24" s="27"/>
      <c r="P24" s="27"/>
      <c r="Q24" s="27"/>
      <c r="R24" s="17" t="s">
        <v>1634</v>
      </c>
      <c r="S24" s="34"/>
      <c r="T24" s="34"/>
      <c r="U24" s="34"/>
      <c r="V24" s="34"/>
      <c r="W24" s="34"/>
      <c r="X24" s="34"/>
      <c r="Y24" s="589" t="s">
        <v>1504</v>
      </c>
      <c r="Z24" s="590"/>
      <c r="AA24" s="591" t="s">
        <v>1505</v>
      </c>
      <c r="AB24" s="592"/>
      <c r="AC24" s="593"/>
      <c r="AD24" s="23">
        <v>10</v>
      </c>
      <c r="AE24" s="25"/>
      <c r="AF24" s="25"/>
      <c r="AG24" s="25"/>
      <c r="AH24" s="25"/>
      <c r="AI24" s="25"/>
      <c r="AJ24" s="25"/>
      <c r="AK24" s="25"/>
      <c r="AL24" s="25"/>
      <c r="AM24" s="25"/>
      <c r="AN24" s="25"/>
      <c r="AO24" s="25"/>
      <c r="AP24" s="25"/>
      <c r="AQ24" s="25"/>
      <c r="AR24" s="25"/>
      <c r="AS24" s="26"/>
      <c r="AT24" s="51"/>
      <c r="AU24" s="51"/>
      <c r="AV24" s="51"/>
      <c r="AW24" s="51"/>
      <c r="AX24" s="51"/>
      <c r="AY24" s="51"/>
      <c r="AZ24" s="51"/>
      <c r="BA24" s="51"/>
      <c r="BB24" s="51"/>
      <c r="BC24" s="51"/>
      <c r="BD24" s="52"/>
    </row>
    <row r="25" spans="1:56" ht="14.4" customHeight="1">
      <c r="A25" s="37">
        <f>IF(B25="","",COUNTA($B$8:$B25))</f>
        <v>18</v>
      </c>
      <c r="B25" s="17" t="s">
        <v>1512</v>
      </c>
      <c r="C25" s="18"/>
      <c r="D25" s="18"/>
      <c r="E25" s="18"/>
      <c r="F25" s="18"/>
      <c r="G25" s="18"/>
      <c r="H25" s="18"/>
      <c r="I25" s="19" t="s">
        <v>390</v>
      </c>
      <c r="J25" s="20"/>
      <c r="K25" s="20"/>
      <c r="L25" s="20"/>
      <c r="M25" s="20"/>
      <c r="N25" s="20"/>
      <c r="O25" s="20"/>
      <c r="P25" s="20"/>
      <c r="Q25" s="20"/>
      <c r="R25" s="17" t="s">
        <v>1512</v>
      </c>
      <c r="S25" s="18"/>
      <c r="T25" s="18"/>
      <c r="U25" s="18"/>
      <c r="V25" s="18"/>
      <c r="W25" s="18"/>
      <c r="X25" s="18"/>
      <c r="Y25" s="589" t="s">
        <v>1504</v>
      </c>
      <c r="Z25" s="590"/>
      <c r="AA25" s="591" t="s">
        <v>1505</v>
      </c>
      <c r="AB25" s="592"/>
      <c r="AC25" s="593"/>
      <c r="AD25" s="38">
        <v>10</v>
      </c>
      <c r="AE25" s="30" t="s">
        <v>1585</v>
      </c>
      <c r="AF25" s="30"/>
      <c r="AG25" s="30"/>
      <c r="AH25" s="30"/>
      <c r="AI25" s="30"/>
      <c r="AJ25" s="30"/>
      <c r="AK25" s="30"/>
      <c r="AL25" s="30"/>
      <c r="AM25" s="30"/>
      <c r="AN25" s="30"/>
      <c r="AO25" s="31"/>
      <c r="AP25" s="31"/>
      <c r="AQ25" s="31"/>
      <c r="AR25" s="31"/>
      <c r="AS25" s="32"/>
      <c r="AT25" s="33"/>
      <c r="AU25" s="51"/>
      <c r="AV25" s="51"/>
      <c r="AW25" s="51"/>
      <c r="AX25" s="51"/>
      <c r="AY25" s="51"/>
      <c r="AZ25" s="51"/>
      <c r="BA25" s="51"/>
      <c r="BB25" s="51"/>
      <c r="BC25" s="51"/>
      <c r="BD25" s="52"/>
    </row>
    <row r="26" spans="1:56" ht="14.4" customHeight="1">
      <c r="A26" s="37">
        <f>IF(B26="","",COUNTA($B$8:$B26))</f>
        <v>19</v>
      </c>
      <c r="B26" s="17" t="s">
        <v>1513</v>
      </c>
      <c r="C26" s="18"/>
      <c r="D26" s="18"/>
      <c r="E26" s="18"/>
      <c r="F26" s="18"/>
      <c r="G26" s="18"/>
      <c r="H26" s="18"/>
      <c r="I26" s="19" t="s">
        <v>394</v>
      </c>
      <c r="J26" s="20"/>
      <c r="K26" s="20"/>
      <c r="L26" s="20"/>
      <c r="M26" s="20"/>
      <c r="N26" s="20"/>
      <c r="O26" s="20"/>
      <c r="P26" s="20"/>
      <c r="Q26" s="20"/>
      <c r="R26" s="17" t="s">
        <v>1513</v>
      </c>
      <c r="S26" s="18"/>
      <c r="T26" s="18"/>
      <c r="U26" s="18"/>
      <c r="V26" s="18"/>
      <c r="W26" s="18"/>
      <c r="X26" s="18"/>
      <c r="Y26" s="589" t="s">
        <v>1510</v>
      </c>
      <c r="Z26" s="590"/>
      <c r="AA26" s="591" t="s">
        <v>1511</v>
      </c>
      <c r="AB26" s="592"/>
      <c r="AC26" s="593"/>
      <c r="AD26" s="38"/>
      <c r="AE26" s="30" t="s">
        <v>1585</v>
      </c>
      <c r="AF26" s="30"/>
      <c r="AG26" s="30"/>
      <c r="AH26" s="30"/>
      <c r="AI26" s="30"/>
      <c r="AJ26" s="30"/>
      <c r="AK26" s="30"/>
      <c r="AL26" s="30"/>
      <c r="AM26" s="30"/>
      <c r="AN26" s="30"/>
      <c r="AO26" s="31"/>
      <c r="AP26" s="31"/>
      <c r="AQ26" s="31"/>
      <c r="AR26" s="31"/>
      <c r="AS26" s="32"/>
      <c r="AT26" s="33"/>
      <c r="AU26" s="51"/>
      <c r="AV26" s="51"/>
      <c r="AW26" s="51"/>
      <c r="AX26" s="51"/>
      <c r="AY26" s="51"/>
      <c r="AZ26" s="51"/>
      <c r="BA26" s="51"/>
      <c r="BB26" s="51"/>
      <c r="BC26" s="51"/>
      <c r="BD26" s="52"/>
    </row>
    <row r="27" spans="1:56" ht="14.4" customHeight="1">
      <c r="A27" s="37" t="str">
        <f>IF(B27="","",COUNTA($B$8:$B27))</f>
        <v/>
      </c>
      <c r="B27" s="17"/>
      <c r="C27" s="18"/>
      <c r="D27" s="18"/>
      <c r="E27" s="18"/>
      <c r="F27" s="18"/>
      <c r="G27" s="18"/>
      <c r="H27" s="18"/>
      <c r="I27" s="19"/>
      <c r="J27" s="20"/>
      <c r="K27" s="20"/>
      <c r="L27" s="20"/>
      <c r="M27" s="20"/>
      <c r="N27" s="20"/>
      <c r="O27" s="20"/>
      <c r="P27" s="20"/>
      <c r="Q27" s="20"/>
      <c r="R27" s="17"/>
      <c r="S27" s="18"/>
      <c r="T27" s="18"/>
      <c r="U27" s="18"/>
      <c r="V27" s="18"/>
      <c r="W27" s="18"/>
      <c r="X27" s="18"/>
      <c r="Y27" s="17"/>
      <c r="Z27" s="28"/>
      <c r="AA27" s="21"/>
      <c r="AB27" s="22"/>
      <c r="AC27" s="29"/>
      <c r="AD27" s="38"/>
      <c r="AE27" s="30"/>
      <c r="AF27" s="30"/>
      <c r="AG27" s="30"/>
      <c r="AH27" s="30"/>
      <c r="AI27" s="30"/>
      <c r="AJ27" s="30"/>
      <c r="AK27" s="30"/>
      <c r="AL27" s="30"/>
      <c r="AM27" s="30"/>
      <c r="AN27" s="30"/>
      <c r="AO27" s="31"/>
      <c r="AP27" s="31"/>
      <c r="AQ27" s="31"/>
      <c r="AR27" s="31"/>
      <c r="AS27" s="32"/>
      <c r="AT27" s="33"/>
      <c r="AU27" s="51"/>
      <c r="AV27" s="51"/>
      <c r="AW27" s="51"/>
      <c r="AX27" s="51"/>
      <c r="AY27" s="51"/>
      <c r="AZ27" s="51"/>
      <c r="BA27" s="51"/>
      <c r="BB27" s="51"/>
      <c r="BC27" s="51"/>
      <c r="BD27" s="52"/>
    </row>
    <row r="28" spans="1:56" ht="14.4" customHeight="1">
      <c r="A28" s="37" t="str">
        <f>IF(B28="","",COUNTA($B$8:$B28))</f>
        <v/>
      </c>
      <c r="B28" s="17"/>
      <c r="C28" s="18"/>
      <c r="D28" s="18"/>
      <c r="E28" s="18"/>
      <c r="F28" s="18"/>
      <c r="G28" s="18"/>
      <c r="H28" s="18"/>
      <c r="I28" s="19"/>
      <c r="J28" s="20"/>
      <c r="K28" s="20"/>
      <c r="L28" s="20"/>
      <c r="M28" s="20"/>
      <c r="N28" s="20"/>
      <c r="O28" s="20"/>
      <c r="P28" s="20"/>
      <c r="Q28" s="20"/>
      <c r="R28" s="17"/>
      <c r="S28" s="18"/>
      <c r="T28" s="18"/>
      <c r="U28" s="18"/>
      <c r="V28" s="18"/>
      <c r="W28" s="18"/>
      <c r="X28" s="18"/>
      <c r="Y28" s="17"/>
      <c r="Z28" s="28"/>
      <c r="AA28" s="21"/>
      <c r="AB28" s="22"/>
      <c r="AC28" s="29"/>
      <c r="AD28" s="38"/>
      <c r="AE28" s="30"/>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6" ht="14.4" customHeight="1">
      <c r="A29" s="37" t="str">
        <f>IF(B29="","",COUNTA($B$8:$B29))</f>
        <v/>
      </c>
      <c r="B29" s="17"/>
      <c r="C29" s="18"/>
      <c r="D29" s="18"/>
      <c r="E29" s="18"/>
      <c r="F29" s="18"/>
      <c r="G29" s="18"/>
      <c r="H29" s="18"/>
      <c r="I29" s="19"/>
      <c r="J29" s="20"/>
      <c r="K29" s="20"/>
      <c r="L29" s="20"/>
      <c r="M29" s="20"/>
      <c r="N29" s="20"/>
      <c r="O29" s="20"/>
      <c r="P29" s="20"/>
      <c r="Q29" s="20"/>
      <c r="R29" s="17"/>
      <c r="S29" s="18"/>
      <c r="T29" s="18"/>
      <c r="U29" s="18"/>
      <c r="V29" s="18"/>
      <c r="W29" s="18"/>
      <c r="X29" s="18"/>
      <c r="Y29" s="17"/>
      <c r="Z29" s="28"/>
      <c r="AA29" s="21"/>
      <c r="AB29" s="22"/>
      <c r="AC29" s="29"/>
      <c r="AD29" s="38"/>
      <c r="AE29" s="30"/>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6" ht="14.4" customHeight="1">
      <c r="A30" s="37" t="str">
        <f>IF(B30="","",COUNTA($B$8:$B30))</f>
        <v/>
      </c>
      <c r="B30" s="17"/>
      <c r="C30" s="18"/>
      <c r="D30" s="18"/>
      <c r="E30" s="18"/>
      <c r="F30" s="18"/>
      <c r="G30" s="18"/>
      <c r="H30" s="18"/>
      <c r="I30" s="19"/>
      <c r="J30" s="20"/>
      <c r="K30" s="20"/>
      <c r="L30" s="20"/>
      <c r="M30" s="20"/>
      <c r="N30" s="20"/>
      <c r="O30" s="20"/>
      <c r="P30" s="20"/>
      <c r="Q30" s="20"/>
      <c r="R30" s="17"/>
      <c r="S30" s="18"/>
      <c r="T30" s="18"/>
      <c r="U30" s="18"/>
      <c r="V30" s="18"/>
      <c r="W30" s="18"/>
      <c r="X30" s="18"/>
      <c r="Y30" s="17"/>
      <c r="Z30" s="28"/>
      <c r="AA30" s="21"/>
      <c r="AB30" s="22"/>
      <c r="AC30" s="29"/>
      <c r="AD30" s="38"/>
      <c r="AE30" s="30"/>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6" ht="14.4" customHeight="1">
      <c r="A31" s="37" t="str">
        <f>IF(B31="","",COUNTA($B$8:$B31))</f>
        <v/>
      </c>
      <c r="B31" s="17"/>
      <c r="C31" s="18"/>
      <c r="D31" s="18"/>
      <c r="E31" s="18"/>
      <c r="F31" s="18"/>
      <c r="G31" s="18"/>
      <c r="H31" s="18"/>
      <c r="I31" s="19"/>
      <c r="J31" s="20"/>
      <c r="K31" s="20"/>
      <c r="L31" s="20"/>
      <c r="M31" s="20"/>
      <c r="N31" s="20"/>
      <c r="O31" s="20"/>
      <c r="P31" s="20"/>
      <c r="Q31" s="20"/>
      <c r="R31" s="17"/>
      <c r="S31" s="18"/>
      <c r="T31" s="18"/>
      <c r="U31" s="18"/>
      <c r="V31" s="18"/>
      <c r="W31" s="18"/>
      <c r="X31" s="18"/>
      <c r="Y31" s="17"/>
      <c r="Z31" s="28"/>
      <c r="AA31" s="21"/>
      <c r="AB31" s="22"/>
      <c r="AC31" s="29"/>
      <c r="AD31" s="38"/>
      <c r="AE31" s="30"/>
      <c r="AF31" s="30"/>
      <c r="AG31" s="30"/>
      <c r="AH31" s="30"/>
      <c r="AI31" s="30"/>
      <c r="AJ31" s="30"/>
      <c r="AK31" s="30"/>
      <c r="AL31" s="30"/>
      <c r="AM31" s="30"/>
      <c r="AN31" s="30"/>
      <c r="AO31" s="31"/>
      <c r="AP31" s="31"/>
      <c r="AQ31" s="31"/>
      <c r="AR31" s="31"/>
      <c r="AS31" s="32"/>
      <c r="AT31" s="33"/>
      <c r="AU31" s="51"/>
      <c r="AV31" s="51"/>
      <c r="AW31" s="51"/>
      <c r="AX31" s="51"/>
      <c r="AY31" s="51"/>
      <c r="AZ31" s="51"/>
      <c r="BA31" s="51"/>
      <c r="BB31" s="51"/>
      <c r="BC31" s="51"/>
      <c r="BD31" s="52"/>
    </row>
    <row r="32" spans="1:56" ht="14.4" customHeight="1">
      <c r="A32" s="37" t="str">
        <f>IF(B32="","",COUNTA($B$8:$B32))</f>
        <v/>
      </c>
      <c r="B32" s="17"/>
      <c r="C32" s="18"/>
      <c r="D32" s="18"/>
      <c r="E32" s="18"/>
      <c r="F32" s="18"/>
      <c r="G32" s="18"/>
      <c r="H32" s="18"/>
      <c r="I32" s="19"/>
      <c r="J32" s="20"/>
      <c r="K32" s="20"/>
      <c r="L32" s="20"/>
      <c r="M32" s="20"/>
      <c r="N32" s="20"/>
      <c r="O32" s="20"/>
      <c r="P32" s="20"/>
      <c r="Q32" s="20"/>
      <c r="R32" s="17"/>
      <c r="S32" s="18"/>
      <c r="T32" s="18"/>
      <c r="U32" s="18"/>
      <c r="V32" s="18"/>
      <c r="W32" s="18"/>
      <c r="X32" s="18"/>
      <c r="Y32" s="17"/>
      <c r="Z32" s="28"/>
      <c r="AA32" s="21"/>
      <c r="AB32" s="22"/>
      <c r="AC32" s="29"/>
      <c r="AD32" s="38"/>
      <c r="AE32" s="30"/>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4.4" customHeight="1">
      <c r="A33" s="37" t="str">
        <f>IF(B33="","",COUNTA($B$8:$B33))</f>
        <v/>
      </c>
      <c r="B33" s="17"/>
      <c r="C33" s="18"/>
      <c r="D33" s="18"/>
      <c r="E33" s="18"/>
      <c r="F33" s="18"/>
      <c r="G33" s="18"/>
      <c r="H33" s="18"/>
      <c r="I33" s="19"/>
      <c r="J33" s="20"/>
      <c r="K33" s="20"/>
      <c r="L33" s="20"/>
      <c r="M33" s="20"/>
      <c r="N33" s="20"/>
      <c r="O33" s="20"/>
      <c r="P33" s="20"/>
      <c r="Q33" s="20"/>
      <c r="R33" s="17"/>
      <c r="S33" s="18"/>
      <c r="T33" s="18"/>
      <c r="U33" s="18"/>
      <c r="V33" s="18"/>
      <c r="W33" s="18"/>
      <c r="X33" s="18"/>
      <c r="Y33" s="17"/>
      <c r="Z33" s="28"/>
      <c r="AA33" s="21"/>
      <c r="AB33" s="22"/>
      <c r="AC33" s="29"/>
      <c r="AD33" s="38"/>
      <c r="AE33" s="30"/>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4.4" customHeight="1">
      <c r="A34" s="37" t="str">
        <f>IF(B34="","",COUNTA($B$8:$B34))</f>
        <v/>
      </c>
      <c r="B34" s="17"/>
      <c r="C34" s="18"/>
      <c r="D34" s="18"/>
      <c r="E34" s="18"/>
      <c r="F34" s="18"/>
      <c r="G34" s="18"/>
      <c r="H34" s="18"/>
      <c r="I34" s="19"/>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 customHeight="1">
      <c r="A35" s="37" t="str">
        <f>IF(B35="","",COUNTA($B$8:$B35))</f>
        <v/>
      </c>
      <c r="B35" s="17"/>
      <c r="C35" s="18"/>
      <c r="D35" s="18"/>
      <c r="E35" s="18"/>
      <c r="F35" s="18"/>
      <c r="G35" s="18"/>
      <c r="H35" s="18"/>
      <c r="I35" s="19"/>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 customHeight="1">
      <c r="A36" s="37" t="str">
        <f>IF(B36="","",COUNTA($B$8:$B36))</f>
        <v/>
      </c>
      <c r="B36" s="17"/>
      <c r="C36" s="18"/>
      <c r="D36" s="18"/>
      <c r="E36" s="18"/>
      <c r="F36" s="18"/>
      <c r="G36" s="18"/>
      <c r="H36" s="18"/>
      <c r="I36" s="19"/>
      <c r="J36" s="20"/>
      <c r="K36" s="20"/>
      <c r="L36" s="20"/>
      <c r="M36" s="20"/>
      <c r="N36" s="20"/>
      <c r="O36" s="20"/>
      <c r="P36" s="20"/>
      <c r="Q36" s="20"/>
      <c r="R36" s="17"/>
      <c r="S36" s="18"/>
      <c r="T36" s="18"/>
      <c r="U36" s="18"/>
      <c r="V36" s="18"/>
      <c r="W36" s="18"/>
      <c r="X36" s="18"/>
      <c r="Y36" s="17"/>
      <c r="Z36" s="28"/>
      <c r="AA36" s="21"/>
      <c r="AB36" s="22"/>
      <c r="AC36" s="29"/>
      <c r="AD36" s="38"/>
      <c r="AE36" s="30"/>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4.4" customHeight="1">
      <c r="A37" s="37" t="str">
        <f>IF(B37="","",COUNTA($B$8:$B37))</f>
        <v/>
      </c>
      <c r="B37" s="17"/>
      <c r="C37" s="18"/>
      <c r="D37" s="18"/>
      <c r="E37" s="18"/>
      <c r="F37" s="18"/>
      <c r="G37" s="18"/>
      <c r="H37" s="18"/>
      <c r="I37" s="19"/>
      <c r="J37" s="20"/>
      <c r="K37" s="20"/>
      <c r="L37" s="20"/>
      <c r="M37" s="20"/>
      <c r="N37" s="20"/>
      <c r="O37" s="20"/>
      <c r="P37" s="20"/>
      <c r="Q37" s="20"/>
      <c r="R37" s="17"/>
      <c r="S37" s="18"/>
      <c r="T37" s="18"/>
      <c r="U37" s="18"/>
      <c r="V37" s="18"/>
      <c r="W37" s="18"/>
      <c r="X37" s="18"/>
      <c r="Y37" s="17"/>
      <c r="Z37" s="28"/>
      <c r="AA37" s="21"/>
      <c r="AB37" s="22"/>
      <c r="AC37" s="29"/>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4.4" customHeight="1">
      <c r="A38" s="37" t="str">
        <f>IF(B38="","",COUNTA($B$8:$B38))</f>
        <v/>
      </c>
      <c r="B38" s="26"/>
      <c r="C38" s="34"/>
      <c r="D38" s="34"/>
      <c r="E38" s="34"/>
      <c r="F38" s="34"/>
      <c r="G38" s="34"/>
      <c r="H38" s="34"/>
      <c r="I38" s="19"/>
      <c r="J38" s="27"/>
      <c r="K38" s="27"/>
      <c r="L38" s="27"/>
      <c r="M38" s="27"/>
      <c r="N38" s="27"/>
      <c r="O38" s="27"/>
      <c r="P38" s="27"/>
      <c r="Q38" s="27"/>
      <c r="R38" s="26"/>
      <c r="S38" s="34"/>
      <c r="T38" s="34"/>
      <c r="U38" s="34"/>
      <c r="V38" s="34"/>
      <c r="W38" s="34"/>
      <c r="X38" s="34"/>
      <c r="Y38" s="589"/>
      <c r="Z38" s="590"/>
      <c r="AA38" s="591"/>
      <c r="AB38" s="592"/>
      <c r="AC38" s="593"/>
      <c r="AD38" s="38"/>
      <c r="AE38" s="25"/>
      <c r="AF38" s="25"/>
      <c r="AG38" s="25"/>
      <c r="AH38" s="25"/>
      <c r="AI38" s="25"/>
      <c r="AJ38" s="25"/>
      <c r="AK38" s="25"/>
      <c r="AL38" s="25"/>
      <c r="AM38" s="25"/>
      <c r="AN38" s="25"/>
      <c r="AO38" s="25"/>
      <c r="AP38" s="25"/>
      <c r="AQ38" s="25"/>
      <c r="AR38" s="25"/>
      <c r="AS38" s="26"/>
      <c r="AT38" s="51"/>
      <c r="AU38" s="51"/>
      <c r="AV38" s="51"/>
      <c r="AW38" s="51"/>
      <c r="AX38" s="51"/>
      <c r="AY38" s="51"/>
      <c r="AZ38" s="51"/>
      <c r="BA38" s="51"/>
      <c r="BB38" s="51"/>
      <c r="BC38" s="51"/>
      <c r="BD38" s="52"/>
    </row>
    <row r="39" spans="1:56" ht="14.4" customHeight="1">
      <c r="A39" s="37" t="str">
        <f>IF(B39="","",COUNTA($B$8:$B39))</f>
        <v/>
      </c>
      <c r="B39" s="26"/>
      <c r="C39" s="34"/>
      <c r="D39" s="34"/>
      <c r="E39" s="34"/>
      <c r="F39" s="34"/>
      <c r="G39" s="34"/>
      <c r="H39" s="34"/>
      <c r="I39" s="19"/>
      <c r="J39" s="27"/>
      <c r="K39" s="27"/>
      <c r="L39" s="27"/>
      <c r="M39" s="27"/>
      <c r="N39" s="27"/>
      <c r="O39" s="27"/>
      <c r="P39" s="27"/>
      <c r="Q39" s="27"/>
      <c r="R39" s="26"/>
      <c r="S39" s="34"/>
      <c r="T39" s="34"/>
      <c r="U39" s="34"/>
      <c r="V39" s="34"/>
      <c r="W39" s="34"/>
      <c r="X39" s="34"/>
      <c r="Y39" s="589"/>
      <c r="Z39" s="590"/>
      <c r="AA39" s="591"/>
      <c r="AB39" s="592"/>
      <c r="AC39" s="593"/>
      <c r="AD39" s="38"/>
      <c r="AE39" s="25"/>
      <c r="AF39" s="25"/>
      <c r="AG39" s="25"/>
      <c r="AH39" s="25"/>
      <c r="AI39" s="25"/>
      <c r="AJ39" s="25"/>
      <c r="AK39" s="25"/>
      <c r="AL39" s="25"/>
      <c r="AM39" s="25"/>
      <c r="AN39" s="25"/>
      <c r="AO39" s="25"/>
      <c r="AP39" s="25"/>
      <c r="AQ39" s="25"/>
      <c r="AR39" s="25"/>
      <c r="AS39" s="26"/>
      <c r="AT39" s="51"/>
      <c r="AU39" s="51"/>
      <c r="AV39" s="51"/>
      <c r="AW39" s="51"/>
      <c r="AX39" s="51"/>
      <c r="AY39" s="51"/>
      <c r="AZ39" s="51"/>
      <c r="BA39" s="51"/>
      <c r="BB39" s="51"/>
      <c r="BC39" s="51"/>
      <c r="BD39" s="52"/>
    </row>
    <row r="40" spans="1:56" ht="14.4" customHeight="1">
      <c r="A40" s="37" t="str">
        <f>IF(B40="","",COUNTA($B$8:$B40))</f>
        <v/>
      </c>
      <c r="B40" s="26"/>
      <c r="C40" s="34"/>
      <c r="D40" s="34"/>
      <c r="E40" s="34"/>
      <c r="F40" s="34"/>
      <c r="G40" s="34"/>
      <c r="H40" s="34"/>
      <c r="I40" s="19"/>
      <c r="J40" s="27"/>
      <c r="K40" s="27"/>
      <c r="L40" s="27"/>
      <c r="M40" s="27"/>
      <c r="N40" s="27"/>
      <c r="O40" s="27"/>
      <c r="P40" s="27"/>
      <c r="Q40" s="27"/>
      <c r="R40" s="26"/>
      <c r="S40" s="34"/>
      <c r="T40" s="34"/>
      <c r="U40" s="34"/>
      <c r="V40" s="34"/>
      <c r="W40" s="34"/>
      <c r="X40" s="34"/>
      <c r="Y40" s="589"/>
      <c r="Z40" s="590"/>
      <c r="AA40" s="591"/>
      <c r="AB40" s="592"/>
      <c r="AC40" s="593"/>
      <c r="AD40" s="38"/>
      <c r="AE40" s="25"/>
      <c r="AF40" s="25"/>
      <c r="AG40" s="25"/>
      <c r="AH40" s="25"/>
      <c r="AI40" s="25"/>
      <c r="AJ40" s="25"/>
      <c r="AK40" s="25"/>
      <c r="AL40" s="25"/>
      <c r="AM40" s="25"/>
      <c r="AN40" s="25"/>
      <c r="AO40" s="25"/>
      <c r="AP40" s="25"/>
      <c r="AQ40" s="25"/>
      <c r="AR40" s="25"/>
      <c r="AS40" s="26"/>
      <c r="AT40" s="51"/>
      <c r="AU40" s="51"/>
      <c r="AV40" s="51"/>
      <c r="AW40" s="51"/>
      <c r="AX40" s="51"/>
      <c r="AY40" s="51"/>
      <c r="AZ40" s="51"/>
      <c r="BA40" s="51"/>
      <c r="BB40" s="51"/>
      <c r="BC40" s="51"/>
      <c r="BD40" s="52"/>
    </row>
    <row r="41" spans="1:56" ht="14.4" customHeight="1">
      <c r="A41" s="37" t="str">
        <f>IF(B41="","",COUNTA($B$8:$B41))</f>
        <v/>
      </c>
      <c r="B41" s="26"/>
      <c r="C41" s="34"/>
      <c r="D41" s="34"/>
      <c r="E41" s="34"/>
      <c r="F41" s="34"/>
      <c r="G41" s="34"/>
      <c r="H41" s="34"/>
      <c r="I41" s="19"/>
      <c r="J41" s="27"/>
      <c r="K41" s="27"/>
      <c r="L41" s="27"/>
      <c r="M41" s="27"/>
      <c r="N41" s="27"/>
      <c r="O41" s="27"/>
      <c r="P41" s="27"/>
      <c r="Q41" s="27"/>
      <c r="R41" s="26"/>
      <c r="S41" s="34"/>
      <c r="T41" s="34"/>
      <c r="U41" s="34"/>
      <c r="V41" s="34"/>
      <c r="W41" s="34"/>
      <c r="X41" s="34"/>
      <c r="Y41" s="589"/>
      <c r="Z41" s="590"/>
      <c r="AA41" s="591"/>
      <c r="AB41" s="592"/>
      <c r="AC41" s="593"/>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 customHeight="1">
      <c r="A42" s="37" t="str">
        <f>IF(B42="","",COUNTA($B$8:$B42))</f>
        <v/>
      </c>
      <c r="B42" s="26"/>
      <c r="C42" s="34"/>
      <c r="D42" s="34"/>
      <c r="E42" s="34"/>
      <c r="F42" s="34"/>
      <c r="G42" s="34"/>
      <c r="H42" s="34"/>
      <c r="I42" s="19"/>
      <c r="J42" s="27"/>
      <c r="K42" s="27"/>
      <c r="L42" s="27"/>
      <c r="M42" s="27"/>
      <c r="N42" s="27"/>
      <c r="O42" s="27"/>
      <c r="P42" s="27"/>
      <c r="Q42" s="27"/>
      <c r="R42" s="26"/>
      <c r="S42" s="34"/>
      <c r="T42" s="34"/>
      <c r="U42" s="34"/>
      <c r="V42" s="34"/>
      <c r="W42" s="34"/>
      <c r="X42" s="34"/>
      <c r="Y42" s="589"/>
      <c r="Z42" s="590"/>
      <c r="AA42" s="591"/>
      <c r="AB42" s="592"/>
      <c r="AC42" s="593"/>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 customHeight="1">
      <c r="A43" s="37" t="str">
        <f>IF(B43="","",COUNTA($B$8:$B43))</f>
        <v/>
      </c>
      <c r="B43" s="26"/>
      <c r="C43" s="34"/>
      <c r="D43" s="34"/>
      <c r="E43" s="34"/>
      <c r="F43" s="34"/>
      <c r="G43" s="34"/>
      <c r="H43" s="34"/>
      <c r="I43" s="19"/>
      <c r="J43" s="27"/>
      <c r="K43" s="27"/>
      <c r="L43" s="27"/>
      <c r="M43" s="27"/>
      <c r="N43" s="27"/>
      <c r="O43" s="27"/>
      <c r="P43" s="27"/>
      <c r="Q43" s="27"/>
      <c r="R43" s="26"/>
      <c r="S43" s="34"/>
      <c r="T43" s="34"/>
      <c r="U43" s="34"/>
      <c r="V43" s="34"/>
      <c r="W43" s="34"/>
      <c r="X43" s="34"/>
      <c r="Y43" s="589"/>
      <c r="Z43" s="590"/>
      <c r="AA43" s="591"/>
      <c r="AB43" s="592"/>
      <c r="AC43" s="593"/>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 customHeight="1">
      <c r="A44" s="37" t="str">
        <f>IF(B44="","",COUNTA($B$8:$B44))</f>
        <v/>
      </c>
      <c r="B44" s="26"/>
      <c r="C44" s="34"/>
      <c r="D44" s="34"/>
      <c r="E44" s="34"/>
      <c r="F44" s="34"/>
      <c r="G44" s="34"/>
      <c r="H44" s="34"/>
      <c r="I44" s="19"/>
      <c r="J44" s="27"/>
      <c r="K44" s="27"/>
      <c r="L44" s="27"/>
      <c r="M44" s="27"/>
      <c r="N44" s="27"/>
      <c r="O44" s="27"/>
      <c r="P44" s="27"/>
      <c r="Q44" s="27"/>
      <c r="R44" s="26"/>
      <c r="S44" s="34"/>
      <c r="T44" s="34"/>
      <c r="U44" s="34"/>
      <c r="V44" s="34"/>
      <c r="W44" s="34"/>
      <c r="X44" s="34"/>
      <c r="Y44" s="589"/>
      <c r="Z44" s="590"/>
      <c r="AA44" s="591"/>
      <c r="AB44" s="592"/>
      <c r="AC44" s="593"/>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 customHeight="1">
      <c r="A45" s="37" t="str">
        <f>IF(B45="","",COUNTA($B$8:$B45))</f>
        <v/>
      </c>
      <c r="B45" s="26"/>
      <c r="C45" s="34"/>
      <c r="D45" s="34"/>
      <c r="E45" s="34"/>
      <c r="F45" s="34"/>
      <c r="G45" s="34"/>
      <c r="H45" s="34"/>
      <c r="I45" s="19"/>
      <c r="J45" s="27"/>
      <c r="K45" s="27"/>
      <c r="L45" s="27"/>
      <c r="M45" s="27"/>
      <c r="N45" s="27"/>
      <c r="O45" s="27"/>
      <c r="P45" s="27"/>
      <c r="Q45" s="27"/>
      <c r="R45" s="26"/>
      <c r="S45" s="34"/>
      <c r="T45" s="34"/>
      <c r="U45" s="34"/>
      <c r="V45" s="34"/>
      <c r="W45" s="34"/>
      <c r="X45" s="34"/>
      <c r="Y45" s="589"/>
      <c r="Z45" s="590"/>
      <c r="AA45" s="591"/>
      <c r="AB45" s="592"/>
      <c r="AC45" s="593"/>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 customHeight="1">
      <c r="A46" s="37" t="str">
        <f>IF(B46="","",COUNTA($B$8:$B46))</f>
        <v/>
      </c>
      <c r="B46" s="26"/>
      <c r="C46" s="34"/>
      <c r="D46" s="34"/>
      <c r="E46" s="34"/>
      <c r="F46" s="34"/>
      <c r="G46" s="34"/>
      <c r="H46" s="34"/>
      <c r="I46" s="19"/>
      <c r="J46" s="27"/>
      <c r="K46" s="27"/>
      <c r="L46" s="27"/>
      <c r="M46" s="27"/>
      <c r="N46" s="27"/>
      <c r="O46" s="27"/>
      <c r="P46" s="27"/>
      <c r="Q46" s="27"/>
      <c r="R46" s="26"/>
      <c r="S46" s="34"/>
      <c r="T46" s="34"/>
      <c r="U46" s="34"/>
      <c r="V46" s="34"/>
      <c r="W46" s="34"/>
      <c r="X46" s="34"/>
      <c r="Y46" s="589"/>
      <c r="Z46" s="590"/>
      <c r="AA46" s="591"/>
      <c r="AB46" s="592"/>
      <c r="AC46" s="593"/>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88">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AZ4:BD4"/>
    <mergeCell ref="A6:A7"/>
    <mergeCell ref="B6:H7"/>
    <mergeCell ref="I6:Q7"/>
    <mergeCell ref="R6:X7"/>
    <mergeCell ref="Y6:Z7"/>
    <mergeCell ref="AA6:AC7"/>
    <mergeCell ref="AD6:AD7"/>
    <mergeCell ref="AE6:AE7"/>
    <mergeCell ref="AF6:AF7"/>
    <mergeCell ref="A1:H4"/>
    <mergeCell ref="AU4:AY4"/>
    <mergeCell ref="AG6:AG7"/>
    <mergeCell ref="AH6:AH7"/>
    <mergeCell ref="AI6:AR6"/>
    <mergeCell ref="AS6:BD7"/>
    <mergeCell ref="Y13:Z13"/>
    <mergeCell ref="AA13:AC13"/>
    <mergeCell ref="Y14:Z14"/>
    <mergeCell ref="AA14:AC14"/>
    <mergeCell ref="Y9:Z9"/>
    <mergeCell ref="AA9:AC9"/>
    <mergeCell ref="Y10:Z10"/>
    <mergeCell ref="AA10:AC10"/>
    <mergeCell ref="Y11:Z11"/>
    <mergeCell ref="AA11:AC11"/>
    <mergeCell ref="Y8:Z8"/>
    <mergeCell ref="AA8:AC8"/>
    <mergeCell ref="Y24:Z24"/>
    <mergeCell ref="AA24:AC24"/>
    <mergeCell ref="Y19:Z19"/>
    <mergeCell ref="AA19:AC19"/>
    <mergeCell ref="Y17:Z17"/>
    <mergeCell ref="AA17:AC17"/>
    <mergeCell ref="Y18:Z18"/>
    <mergeCell ref="AA18:AC18"/>
    <mergeCell ref="Y15:Z15"/>
    <mergeCell ref="AA15:AC15"/>
    <mergeCell ref="Y16:Z16"/>
    <mergeCell ref="AA16:AC16"/>
    <mergeCell ref="Y12:Z12"/>
    <mergeCell ref="AA12:AC12"/>
    <mergeCell ref="Y38:Z38"/>
    <mergeCell ref="AA38:AC38"/>
    <mergeCell ref="Y26:Z26"/>
    <mergeCell ref="AA26:AC26"/>
    <mergeCell ref="Y20:Z20"/>
    <mergeCell ref="AA20:AC20"/>
    <mergeCell ref="Y25:Z25"/>
    <mergeCell ref="AA25:AC25"/>
    <mergeCell ref="Y21:Z21"/>
    <mergeCell ref="AA21:AC21"/>
    <mergeCell ref="Y22:Z22"/>
    <mergeCell ref="AA22:AC22"/>
    <mergeCell ref="Y23:Z23"/>
    <mergeCell ref="AA23:AC23"/>
    <mergeCell ref="Y39:Z39"/>
    <mergeCell ref="AA39:AC39"/>
    <mergeCell ref="Y40:Z40"/>
    <mergeCell ref="AA40:AC40"/>
    <mergeCell ref="Y41:Z41"/>
    <mergeCell ref="AA41:AC41"/>
    <mergeCell ref="Y45:Z45"/>
    <mergeCell ref="AA45:AC45"/>
    <mergeCell ref="Y46:Z46"/>
    <mergeCell ref="AA46:AC46"/>
    <mergeCell ref="Y42:Z42"/>
    <mergeCell ref="AA42:AC42"/>
    <mergeCell ref="Y43:Z43"/>
    <mergeCell ref="AA43:AC43"/>
    <mergeCell ref="Y44:Z44"/>
    <mergeCell ref="AA44:AC44"/>
  </mergeCells>
  <phoneticPr fontId="12"/>
  <dataValidations count="3">
    <dataValidation imeMode="hiragana" allowBlank="1" showInputMessage="1" showErrorMessage="1" sqref="JG65513:JR65515 TC65513:TN65515 ACY65513:ADJ65515 AMU65513:ANF65515 AWQ65513:AXB65515 BGM65513:BGX65515 BQI65513:BQT65515 CAE65513:CAP65515 CKA65513:CKL65515 CTW65513:CUH65515 DDS65513:DED65515 DNO65513:DNZ65515 DXK65513:DXV65515 EHG65513:EHR65515 ERC65513:ERN65515 FAY65513:FBJ65515 FKU65513:FLF65515 FUQ65513:FVB65515 GEM65513:GEX65515 GOI65513:GOT65515 GYE65513:GYP65515 HIA65513:HIL65515 HRW65513:HSH65515 IBS65513:ICD65515 ILO65513:ILZ65515 IVK65513:IVV65515 JFG65513:JFR65515 JPC65513:JPN65515 JYY65513:JZJ65515 KIU65513:KJF65515 KSQ65513:KTB65515 LCM65513:LCX65515 LMI65513:LMT65515 LWE65513:LWP65515 MGA65513:MGL65515 MPW65513:MQH65515 MZS65513:NAD65515 NJO65513:NJZ65515 NTK65513:NTV65515 ODG65513:ODR65515 ONC65513:ONN65515 OWY65513:OXJ65515 PGU65513:PHF65515 PQQ65513:PRB65515 QAM65513:QAX65515 QKI65513:QKT65515 QUE65513:QUP65515 REA65513:REL65515 RNW65513:ROH65515 RXS65513:RYD65515 SHO65513:SHZ65515 SRK65513:SRV65515 TBG65513:TBR65515 TLC65513:TLN65515 TUY65513:TVJ65515 UEU65513:UFF65515 UOQ65513:UPB65515 UYM65513:UYX65515 VII65513:VIT65515 VSE65513:VSP65515 WCA65513:WCL65515 WLW65513:WMH65515 WVS65513:WWD65515 JG131049:JR131051 TC131049:TN131051 ACY131049:ADJ131051 AMU131049:ANF131051 AWQ131049:AXB131051 BGM131049:BGX131051 BQI131049:BQT131051 CAE131049:CAP131051 CKA131049:CKL131051 CTW131049:CUH131051 DDS131049:DED131051 DNO131049:DNZ131051 DXK131049:DXV131051 EHG131049:EHR131051 ERC131049:ERN131051 FAY131049:FBJ131051 FKU131049:FLF131051 FUQ131049:FVB131051 GEM131049:GEX131051 GOI131049:GOT131051 GYE131049:GYP131051 HIA131049:HIL131051 HRW131049:HSH131051 IBS131049:ICD131051 ILO131049:ILZ131051 IVK131049:IVV131051 JFG131049:JFR131051 JPC131049:JPN131051 JYY131049:JZJ131051 KIU131049:KJF131051 KSQ131049:KTB131051 LCM131049:LCX131051 LMI131049:LMT131051 LWE131049:LWP131051 MGA131049:MGL131051 MPW131049:MQH131051 MZS131049:NAD131051 NJO131049:NJZ131051 NTK131049:NTV131051 ODG131049:ODR131051 ONC131049:ONN131051 OWY131049:OXJ131051 PGU131049:PHF131051 PQQ131049:PRB131051 QAM131049:QAX131051 QKI131049:QKT131051 QUE131049:QUP131051 REA131049:REL131051 RNW131049:ROH131051 RXS131049:RYD131051 SHO131049:SHZ131051 SRK131049:SRV131051 TBG131049:TBR131051 TLC131049:TLN131051 TUY131049:TVJ131051 UEU131049:UFF131051 UOQ131049:UPB131051 UYM131049:UYX131051 VII131049:VIT131051 VSE131049:VSP131051 WCA131049:WCL131051 WLW131049:WMH131051 WVS131049:WWD131051 JG196585:JR196587 TC196585:TN196587 ACY196585:ADJ196587 AMU196585:ANF196587 AWQ196585:AXB196587 BGM196585:BGX196587 BQI196585:BQT196587 CAE196585:CAP196587 CKA196585:CKL196587 CTW196585:CUH196587 DDS196585:DED196587 DNO196585:DNZ196587 DXK196585:DXV196587 EHG196585:EHR196587 ERC196585:ERN196587 FAY196585:FBJ196587 FKU196585:FLF196587 FUQ196585:FVB196587 GEM196585:GEX196587 GOI196585:GOT196587 GYE196585:GYP196587 HIA196585:HIL196587 HRW196585:HSH196587 IBS196585:ICD196587 ILO196585:ILZ196587 IVK196585:IVV196587 JFG196585:JFR196587 JPC196585:JPN196587 JYY196585:JZJ196587 KIU196585:KJF196587 KSQ196585:KTB196587 LCM196585:LCX196587 LMI196585:LMT196587 LWE196585:LWP196587 MGA196585:MGL196587 MPW196585:MQH196587 MZS196585:NAD196587 NJO196585:NJZ196587 NTK196585:NTV196587 ODG196585:ODR196587 ONC196585:ONN196587 OWY196585:OXJ196587 PGU196585:PHF196587 PQQ196585:PRB196587 QAM196585:QAX196587 QKI196585:QKT196587 QUE196585:QUP196587 REA196585:REL196587 RNW196585:ROH196587 RXS196585:RYD196587 SHO196585:SHZ196587 SRK196585:SRV196587 TBG196585:TBR196587 TLC196585:TLN196587 TUY196585:TVJ196587 UEU196585:UFF196587 UOQ196585:UPB196587 UYM196585:UYX196587 VII196585:VIT196587 VSE196585:VSP196587 WCA196585:WCL196587 WLW196585:WMH196587 WVS196585:WWD196587 JG262121:JR262123 TC262121:TN262123 ACY262121:ADJ262123 AMU262121:ANF262123 AWQ262121:AXB262123 BGM262121:BGX262123 BQI262121:BQT262123 CAE262121:CAP262123 CKA262121:CKL262123 CTW262121:CUH262123 DDS262121:DED262123 DNO262121:DNZ262123 DXK262121:DXV262123 EHG262121:EHR262123 ERC262121:ERN262123 FAY262121:FBJ262123 FKU262121:FLF262123 FUQ262121:FVB262123 GEM262121:GEX262123 GOI262121:GOT262123 GYE262121:GYP262123 HIA262121:HIL262123 HRW262121:HSH262123 IBS262121:ICD262123 ILO262121:ILZ262123 IVK262121:IVV262123 JFG262121:JFR262123 JPC262121:JPN262123 JYY262121:JZJ262123 KIU262121:KJF262123 KSQ262121:KTB262123 LCM262121:LCX262123 LMI262121:LMT262123 LWE262121:LWP262123 MGA262121:MGL262123 MPW262121:MQH262123 MZS262121:NAD262123 NJO262121:NJZ262123 NTK262121:NTV262123 ODG262121:ODR262123 ONC262121:ONN262123 OWY262121:OXJ262123 PGU262121:PHF262123 PQQ262121:PRB262123 QAM262121:QAX262123 QKI262121:QKT262123 QUE262121:QUP262123 REA262121:REL262123 RNW262121:ROH262123 RXS262121:RYD262123 SHO262121:SHZ262123 SRK262121:SRV262123 TBG262121:TBR262123 TLC262121:TLN262123 TUY262121:TVJ262123 UEU262121:UFF262123 UOQ262121:UPB262123 UYM262121:UYX262123 VII262121:VIT262123 VSE262121:VSP262123 WCA262121:WCL262123 WLW262121:WMH262123 WVS262121:WWD262123 JG327657:JR327659 TC327657:TN327659 ACY327657:ADJ327659 AMU327657:ANF327659 AWQ327657:AXB327659 BGM327657:BGX327659 BQI327657:BQT327659 CAE327657:CAP327659 CKA327657:CKL327659 CTW327657:CUH327659 DDS327657:DED327659 DNO327657:DNZ327659 DXK327657:DXV327659 EHG327657:EHR327659 ERC327657:ERN327659 FAY327657:FBJ327659 FKU327657:FLF327659 FUQ327657:FVB327659 GEM327657:GEX327659 GOI327657:GOT327659 GYE327657:GYP327659 HIA327657:HIL327659 HRW327657:HSH327659 IBS327657:ICD327659 ILO327657:ILZ327659 IVK327657:IVV327659 JFG327657:JFR327659 JPC327657:JPN327659 JYY327657:JZJ327659 KIU327657:KJF327659 KSQ327657:KTB327659 LCM327657:LCX327659 LMI327657:LMT327659 LWE327657:LWP327659 MGA327657:MGL327659 MPW327657:MQH327659 MZS327657:NAD327659 NJO327657:NJZ327659 NTK327657:NTV327659 ODG327657:ODR327659 ONC327657:ONN327659 OWY327657:OXJ327659 PGU327657:PHF327659 PQQ327657:PRB327659 QAM327657:QAX327659 QKI327657:QKT327659 QUE327657:QUP327659 REA327657:REL327659 RNW327657:ROH327659 RXS327657:RYD327659 SHO327657:SHZ327659 SRK327657:SRV327659 TBG327657:TBR327659 TLC327657:TLN327659 TUY327657:TVJ327659 UEU327657:UFF327659 UOQ327657:UPB327659 UYM327657:UYX327659 VII327657:VIT327659 VSE327657:VSP327659 WCA327657:WCL327659 WLW327657:WMH327659 WVS327657:WWD327659 JG393193:JR393195 TC393193:TN393195 ACY393193:ADJ393195 AMU393193:ANF393195 AWQ393193:AXB393195 BGM393193:BGX393195 BQI393193:BQT393195 CAE393193:CAP393195 CKA393193:CKL393195 CTW393193:CUH393195 DDS393193:DED393195 DNO393193:DNZ393195 DXK393193:DXV393195 EHG393193:EHR393195 ERC393193:ERN393195 FAY393193:FBJ393195 FKU393193:FLF393195 FUQ393193:FVB393195 GEM393193:GEX393195 GOI393193:GOT393195 GYE393193:GYP393195 HIA393193:HIL393195 HRW393193:HSH393195 IBS393193:ICD393195 ILO393193:ILZ393195 IVK393193:IVV393195 JFG393193:JFR393195 JPC393193:JPN393195 JYY393193:JZJ393195 KIU393193:KJF393195 KSQ393193:KTB393195 LCM393193:LCX393195 LMI393193:LMT393195 LWE393193:LWP393195 MGA393193:MGL393195 MPW393193:MQH393195 MZS393193:NAD393195 NJO393193:NJZ393195 NTK393193:NTV393195 ODG393193:ODR393195 ONC393193:ONN393195 OWY393193:OXJ393195 PGU393193:PHF393195 PQQ393193:PRB393195 QAM393193:QAX393195 QKI393193:QKT393195 QUE393193:QUP393195 REA393193:REL393195 RNW393193:ROH393195 RXS393193:RYD393195 SHO393193:SHZ393195 SRK393193:SRV393195 TBG393193:TBR393195 TLC393193:TLN393195 TUY393193:TVJ393195 UEU393193:UFF393195 UOQ393193:UPB393195 UYM393193:UYX393195 VII393193:VIT393195 VSE393193:VSP393195 WCA393193:WCL393195 WLW393193:WMH393195 WVS393193:WWD393195 JG458729:JR458731 TC458729:TN458731 ACY458729:ADJ458731 AMU458729:ANF458731 AWQ458729:AXB458731 BGM458729:BGX458731 BQI458729:BQT458731 CAE458729:CAP458731 CKA458729:CKL458731 CTW458729:CUH458731 DDS458729:DED458731 DNO458729:DNZ458731 DXK458729:DXV458731 EHG458729:EHR458731 ERC458729:ERN458731 FAY458729:FBJ458731 FKU458729:FLF458731 FUQ458729:FVB458731 GEM458729:GEX458731 GOI458729:GOT458731 GYE458729:GYP458731 HIA458729:HIL458731 HRW458729:HSH458731 IBS458729:ICD458731 ILO458729:ILZ458731 IVK458729:IVV458731 JFG458729:JFR458731 JPC458729:JPN458731 JYY458729:JZJ458731 KIU458729:KJF458731 KSQ458729:KTB458731 LCM458729:LCX458731 LMI458729:LMT458731 LWE458729:LWP458731 MGA458729:MGL458731 MPW458729:MQH458731 MZS458729:NAD458731 NJO458729:NJZ458731 NTK458729:NTV458731 ODG458729:ODR458731 ONC458729:ONN458731 OWY458729:OXJ458731 PGU458729:PHF458731 PQQ458729:PRB458731 QAM458729:QAX458731 QKI458729:QKT458731 QUE458729:QUP458731 REA458729:REL458731 RNW458729:ROH458731 RXS458729:RYD458731 SHO458729:SHZ458731 SRK458729:SRV458731 TBG458729:TBR458731 TLC458729:TLN458731 TUY458729:TVJ458731 UEU458729:UFF458731 UOQ458729:UPB458731 UYM458729:UYX458731 VII458729:VIT458731 VSE458729:VSP458731 WCA458729:WCL458731 WLW458729:WMH458731 WVS458729:WWD458731 JG524265:JR524267 TC524265:TN524267 ACY524265:ADJ524267 AMU524265:ANF524267 AWQ524265:AXB524267 BGM524265:BGX524267 BQI524265:BQT524267 CAE524265:CAP524267 CKA524265:CKL524267 CTW524265:CUH524267 DDS524265:DED524267 DNO524265:DNZ524267 DXK524265:DXV524267 EHG524265:EHR524267 ERC524265:ERN524267 FAY524265:FBJ524267 FKU524265:FLF524267 FUQ524265:FVB524267 GEM524265:GEX524267 GOI524265:GOT524267 GYE524265:GYP524267 HIA524265:HIL524267 HRW524265:HSH524267 IBS524265:ICD524267 ILO524265:ILZ524267 IVK524265:IVV524267 JFG524265:JFR524267 JPC524265:JPN524267 JYY524265:JZJ524267 KIU524265:KJF524267 KSQ524265:KTB524267 LCM524265:LCX524267 LMI524265:LMT524267 LWE524265:LWP524267 MGA524265:MGL524267 MPW524265:MQH524267 MZS524265:NAD524267 NJO524265:NJZ524267 NTK524265:NTV524267 ODG524265:ODR524267 ONC524265:ONN524267 OWY524265:OXJ524267 PGU524265:PHF524267 PQQ524265:PRB524267 QAM524265:QAX524267 QKI524265:QKT524267 QUE524265:QUP524267 REA524265:REL524267 RNW524265:ROH524267 RXS524265:RYD524267 SHO524265:SHZ524267 SRK524265:SRV524267 TBG524265:TBR524267 TLC524265:TLN524267 TUY524265:TVJ524267 UEU524265:UFF524267 UOQ524265:UPB524267 UYM524265:UYX524267 VII524265:VIT524267 VSE524265:VSP524267 WCA524265:WCL524267 WLW524265:WMH524267 WVS524265:WWD524267 JG589801:JR589803 TC589801:TN589803 ACY589801:ADJ589803 AMU589801:ANF589803 AWQ589801:AXB589803 BGM589801:BGX589803 BQI589801:BQT589803 CAE589801:CAP589803 CKA589801:CKL589803 CTW589801:CUH589803 DDS589801:DED589803 DNO589801:DNZ589803 DXK589801:DXV589803 EHG589801:EHR589803 ERC589801:ERN589803 FAY589801:FBJ589803 FKU589801:FLF589803 FUQ589801:FVB589803 GEM589801:GEX589803 GOI589801:GOT589803 GYE589801:GYP589803 HIA589801:HIL589803 HRW589801:HSH589803 IBS589801:ICD589803 ILO589801:ILZ589803 IVK589801:IVV589803 JFG589801:JFR589803 JPC589801:JPN589803 JYY589801:JZJ589803 KIU589801:KJF589803 KSQ589801:KTB589803 LCM589801:LCX589803 LMI589801:LMT589803 LWE589801:LWP589803 MGA589801:MGL589803 MPW589801:MQH589803 MZS589801:NAD589803 NJO589801:NJZ589803 NTK589801:NTV589803 ODG589801:ODR589803 ONC589801:ONN589803 OWY589801:OXJ589803 PGU589801:PHF589803 PQQ589801:PRB589803 QAM589801:QAX589803 QKI589801:QKT589803 QUE589801:QUP589803 REA589801:REL589803 RNW589801:ROH589803 RXS589801:RYD589803 SHO589801:SHZ589803 SRK589801:SRV589803 TBG589801:TBR589803 TLC589801:TLN589803 TUY589801:TVJ589803 UEU589801:UFF589803 UOQ589801:UPB589803 UYM589801:UYX589803 VII589801:VIT589803 VSE589801:VSP589803 WCA589801:WCL589803 WLW589801:WMH589803 WVS589801:WWD589803 JG655337:JR655339 TC655337:TN655339 ACY655337:ADJ655339 AMU655337:ANF655339 AWQ655337:AXB655339 BGM655337:BGX655339 BQI655337:BQT655339 CAE655337:CAP655339 CKA655337:CKL655339 CTW655337:CUH655339 DDS655337:DED655339 DNO655337:DNZ655339 DXK655337:DXV655339 EHG655337:EHR655339 ERC655337:ERN655339 FAY655337:FBJ655339 FKU655337:FLF655339 FUQ655337:FVB655339 GEM655337:GEX655339 GOI655337:GOT655339 GYE655337:GYP655339 HIA655337:HIL655339 HRW655337:HSH655339 IBS655337:ICD655339 ILO655337:ILZ655339 IVK655337:IVV655339 JFG655337:JFR655339 JPC655337:JPN655339 JYY655337:JZJ655339 KIU655337:KJF655339 KSQ655337:KTB655339 LCM655337:LCX655339 LMI655337:LMT655339 LWE655337:LWP655339 MGA655337:MGL655339 MPW655337:MQH655339 MZS655337:NAD655339 NJO655337:NJZ655339 NTK655337:NTV655339 ODG655337:ODR655339 ONC655337:ONN655339 OWY655337:OXJ655339 PGU655337:PHF655339 PQQ655337:PRB655339 QAM655337:QAX655339 QKI655337:QKT655339 QUE655337:QUP655339 REA655337:REL655339 RNW655337:ROH655339 RXS655337:RYD655339 SHO655337:SHZ655339 SRK655337:SRV655339 TBG655337:TBR655339 TLC655337:TLN655339 TUY655337:TVJ655339 UEU655337:UFF655339 UOQ655337:UPB655339 UYM655337:UYX655339 VII655337:VIT655339 VSE655337:VSP655339 WCA655337:WCL655339 WLW655337:WMH655339 WVS655337:WWD655339 JG720873:JR720875 TC720873:TN720875 ACY720873:ADJ720875 AMU720873:ANF720875 AWQ720873:AXB720875 BGM720873:BGX720875 BQI720873:BQT720875 CAE720873:CAP720875 CKA720873:CKL720875 CTW720873:CUH720875 DDS720873:DED720875 DNO720873:DNZ720875 DXK720873:DXV720875 EHG720873:EHR720875 ERC720873:ERN720875 FAY720873:FBJ720875 FKU720873:FLF720875 FUQ720873:FVB720875 GEM720873:GEX720875 GOI720873:GOT720875 GYE720873:GYP720875 HIA720873:HIL720875 HRW720873:HSH720875 IBS720873:ICD720875 ILO720873:ILZ720875 IVK720873:IVV720875 JFG720873:JFR720875 JPC720873:JPN720875 JYY720873:JZJ720875 KIU720873:KJF720875 KSQ720873:KTB720875 LCM720873:LCX720875 LMI720873:LMT720875 LWE720873:LWP720875 MGA720873:MGL720875 MPW720873:MQH720875 MZS720873:NAD720875 NJO720873:NJZ720875 NTK720873:NTV720875 ODG720873:ODR720875 ONC720873:ONN720875 OWY720873:OXJ720875 PGU720873:PHF720875 PQQ720873:PRB720875 QAM720873:QAX720875 QKI720873:QKT720875 QUE720873:QUP720875 REA720873:REL720875 RNW720873:ROH720875 RXS720873:RYD720875 SHO720873:SHZ720875 SRK720873:SRV720875 TBG720873:TBR720875 TLC720873:TLN720875 TUY720873:TVJ720875 UEU720873:UFF720875 UOQ720873:UPB720875 UYM720873:UYX720875 VII720873:VIT720875 VSE720873:VSP720875 WCA720873:WCL720875 WLW720873:WMH720875 WVS720873:WWD720875 JG786409:JR786411 TC786409:TN786411 ACY786409:ADJ786411 AMU786409:ANF786411 AWQ786409:AXB786411 BGM786409:BGX786411 BQI786409:BQT786411 CAE786409:CAP786411 CKA786409:CKL786411 CTW786409:CUH786411 DDS786409:DED786411 DNO786409:DNZ786411 DXK786409:DXV786411 EHG786409:EHR786411 ERC786409:ERN786411 FAY786409:FBJ786411 FKU786409:FLF786411 FUQ786409:FVB786411 GEM786409:GEX786411 GOI786409:GOT786411 GYE786409:GYP786411 HIA786409:HIL786411 HRW786409:HSH786411 IBS786409:ICD786411 ILO786409:ILZ786411 IVK786409:IVV786411 JFG786409:JFR786411 JPC786409:JPN786411 JYY786409:JZJ786411 KIU786409:KJF786411 KSQ786409:KTB786411 LCM786409:LCX786411 LMI786409:LMT786411 LWE786409:LWP786411 MGA786409:MGL786411 MPW786409:MQH786411 MZS786409:NAD786411 NJO786409:NJZ786411 NTK786409:NTV786411 ODG786409:ODR786411 ONC786409:ONN786411 OWY786409:OXJ786411 PGU786409:PHF786411 PQQ786409:PRB786411 QAM786409:QAX786411 QKI786409:QKT786411 QUE786409:QUP786411 REA786409:REL786411 RNW786409:ROH786411 RXS786409:RYD786411 SHO786409:SHZ786411 SRK786409:SRV786411 TBG786409:TBR786411 TLC786409:TLN786411 TUY786409:TVJ786411 UEU786409:UFF786411 UOQ786409:UPB786411 UYM786409:UYX786411 VII786409:VIT786411 VSE786409:VSP786411 WCA786409:WCL786411 WLW786409:WMH786411 WVS786409:WWD786411 JG851945:JR851947 TC851945:TN851947 ACY851945:ADJ851947 AMU851945:ANF851947 AWQ851945:AXB851947 BGM851945:BGX851947 BQI851945:BQT851947 CAE851945:CAP851947 CKA851945:CKL851947 CTW851945:CUH851947 DDS851945:DED851947 DNO851945:DNZ851947 DXK851945:DXV851947 EHG851945:EHR851947 ERC851945:ERN851947 FAY851945:FBJ851947 FKU851945:FLF851947 FUQ851945:FVB851947 GEM851945:GEX851947 GOI851945:GOT851947 GYE851945:GYP851947 HIA851945:HIL851947 HRW851945:HSH851947 IBS851945:ICD851947 ILO851945:ILZ851947 IVK851945:IVV851947 JFG851945:JFR851947 JPC851945:JPN851947 JYY851945:JZJ851947 KIU851945:KJF851947 KSQ851945:KTB851947 LCM851945:LCX851947 LMI851945:LMT851947 LWE851945:LWP851947 MGA851945:MGL851947 MPW851945:MQH851947 MZS851945:NAD851947 NJO851945:NJZ851947 NTK851945:NTV851947 ODG851945:ODR851947 ONC851945:ONN851947 OWY851945:OXJ851947 PGU851945:PHF851947 PQQ851945:PRB851947 QAM851945:QAX851947 QKI851945:QKT851947 QUE851945:QUP851947 REA851945:REL851947 RNW851945:ROH851947 RXS851945:RYD851947 SHO851945:SHZ851947 SRK851945:SRV851947 TBG851945:TBR851947 TLC851945:TLN851947 TUY851945:TVJ851947 UEU851945:UFF851947 UOQ851945:UPB851947 UYM851945:UYX851947 VII851945:VIT851947 VSE851945:VSP851947 WCA851945:WCL851947 WLW851945:WMH851947 WVS851945:WWD851947 JG917481:JR917483 TC917481:TN917483 ACY917481:ADJ917483 AMU917481:ANF917483 AWQ917481:AXB917483 BGM917481:BGX917483 BQI917481:BQT917483 CAE917481:CAP917483 CKA917481:CKL917483 CTW917481:CUH917483 DDS917481:DED917483 DNO917481:DNZ917483 DXK917481:DXV917483 EHG917481:EHR917483 ERC917481:ERN917483 FAY917481:FBJ917483 FKU917481:FLF917483 FUQ917481:FVB917483 GEM917481:GEX917483 GOI917481:GOT917483 GYE917481:GYP917483 HIA917481:HIL917483 HRW917481:HSH917483 IBS917481:ICD917483 ILO917481:ILZ917483 IVK917481:IVV917483 JFG917481:JFR917483 JPC917481:JPN917483 JYY917481:JZJ917483 KIU917481:KJF917483 KSQ917481:KTB917483 LCM917481:LCX917483 LMI917481:LMT917483 LWE917481:LWP917483 MGA917481:MGL917483 MPW917481:MQH917483 MZS917481:NAD917483 NJO917481:NJZ917483 NTK917481:NTV917483 ODG917481:ODR917483 ONC917481:ONN917483 OWY917481:OXJ917483 PGU917481:PHF917483 PQQ917481:PRB917483 QAM917481:QAX917483 QKI917481:QKT917483 QUE917481:QUP917483 REA917481:REL917483 RNW917481:ROH917483 RXS917481:RYD917483 SHO917481:SHZ917483 SRK917481:SRV917483 TBG917481:TBR917483 TLC917481:TLN917483 TUY917481:TVJ917483 UEU917481:UFF917483 UOQ917481:UPB917483 UYM917481:UYX917483 VII917481:VIT917483 VSE917481:VSP917483 WCA917481:WCL917483 WLW917481:WMH917483 WVS917481:WWD917483 JG983017:JR983019 TC983017:TN983019 ACY983017:ADJ983019 AMU983017:ANF983019 AWQ983017:AXB983019 BGM983017:BGX983019 BQI983017:BQT983019 CAE983017:CAP983019 CKA983017:CKL983019 CTW983017:CUH983019 DDS983017:DED983019 DNO983017:DNZ983019 DXK983017:DXV983019 EHG983017:EHR983019 ERC983017:ERN983019 FAY983017:FBJ983019 FKU983017:FLF983019 FUQ983017:FVB983019 GEM983017:GEX983019 GOI983017:GOT983019 GYE983017:GYP983019 HIA983017:HIL983019 HRW983017:HSH983019 IBS983017:ICD983019 ILO983017:ILZ983019 IVK983017:IVV983019 JFG983017:JFR983019 JPC983017:JPN983019 JYY983017:JZJ983019 KIU983017:KJF983019 KSQ983017:KTB983019 LCM983017:LCX983019 LMI983017:LMT983019 LWE983017:LWP983019 MGA983017:MGL983019 MPW983017:MQH983019 MZS983017:NAD983019 NJO983017:NJZ983019 NTK983017:NTV983019 ODG983017:ODR983019 ONC983017:ONN983019 OWY983017:OXJ983019 PGU983017:PHF983019 PQQ983017:PRB983019 QAM983017:QAX983019 QKI983017:QKT983019 QUE983017:QUP983019 REA983017:REL983019 RNW983017:ROH983019 RXS983017:RYD983019 SHO983017:SHZ983019 SRK983017:SRV983019 TBG983017:TBR983019 TLC983017:TLN983019 TUY983017:TVJ983019 UEU983017:UFF983019 UOQ983017:UPB983019 UYM983017:UYX983019 VII983017:VIT983019 VSE983017:VSP983019 WCA983017:WCL983019 WLW983017:WMH983019 WVS983017:WWD983019 WVS983022:WWD983024 JG65518:JR65520 TC65518:TN65520 ACY65518:ADJ65520 AMU65518:ANF65520 AWQ65518:AXB65520 BGM65518:BGX65520 BQI65518:BQT65520 CAE65518:CAP65520 CKA65518:CKL65520 CTW65518:CUH65520 DDS65518:DED65520 DNO65518:DNZ65520 DXK65518:DXV65520 EHG65518:EHR65520 ERC65518:ERN65520 FAY65518:FBJ65520 FKU65518:FLF65520 FUQ65518:FVB65520 GEM65518:GEX65520 GOI65518:GOT65520 GYE65518:GYP65520 HIA65518:HIL65520 HRW65518:HSH65520 IBS65518:ICD65520 ILO65518:ILZ65520 IVK65518:IVV65520 JFG65518:JFR65520 JPC65518:JPN65520 JYY65518:JZJ65520 KIU65518:KJF65520 KSQ65518:KTB65520 LCM65518:LCX65520 LMI65518:LMT65520 LWE65518:LWP65520 MGA65518:MGL65520 MPW65518:MQH65520 MZS65518:NAD65520 NJO65518:NJZ65520 NTK65518:NTV65520 ODG65518:ODR65520 ONC65518:ONN65520 OWY65518:OXJ65520 PGU65518:PHF65520 PQQ65518:PRB65520 QAM65518:QAX65520 QKI65518:QKT65520 QUE65518:QUP65520 REA65518:REL65520 RNW65518:ROH65520 RXS65518:RYD65520 SHO65518:SHZ65520 SRK65518:SRV65520 TBG65518:TBR65520 TLC65518:TLN65520 TUY65518:TVJ65520 UEU65518:UFF65520 UOQ65518:UPB65520 UYM65518:UYX65520 VII65518:VIT65520 VSE65518:VSP65520 WCA65518:WCL65520 WLW65518:WMH65520 WVS65518:WWD65520 JG131054:JR131056 TC131054:TN131056 ACY131054:ADJ131056 AMU131054:ANF131056 AWQ131054:AXB131056 BGM131054:BGX131056 BQI131054:BQT131056 CAE131054:CAP131056 CKA131054:CKL131056 CTW131054:CUH131056 DDS131054:DED131056 DNO131054:DNZ131056 DXK131054:DXV131056 EHG131054:EHR131056 ERC131054:ERN131056 FAY131054:FBJ131056 FKU131054:FLF131056 FUQ131054:FVB131056 GEM131054:GEX131056 GOI131054:GOT131056 GYE131054:GYP131056 HIA131054:HIL131056 HRW131054:HSH131056 IBS131054:ICD131056 ILO131054:ILZ131056 IVK131054:IVV131056 JFG131054:JFR131056 JPC131054:JPN131056 JYY131054:JZJ131056 KIU131054:KJF131056 KSQ131054:KTB131056 LCM131054:LCX131056 LMI131054:LMT131056 LWE131054:LWP131056 MGA131054:MGL131056 MPW131054:MQH131056 MZS131054:NAD131056 NJO131054:NJZ131056 NTK131054:NTV131056 ODG131054:ODR131056 ONC131054:ONN131056 OWY131054:OXJ131056 PGU131054:PHF131056 PQQ131054:PRB131056 QAM131054:QAX131056 QKI131054:QKT131056 QUE131054:QUP131056 REA131054:REL131056 RNW131054:ROH131056 RXS131054:RYD131056 SHO131054:SHZ131056 SRK131054:SRV131056 TBG131054:TBR131056 TLC131054:TLN131056 TUY131054:TVJ131056 UEU131054:UFF131056 UOQ131054:UPB131056 UYM131054:UYX131056 VII131054:VIT131056 VSE131054:VSP131056 WCA131054:WCL131056 WLW131054:WMH131056 WVS131054:WWD131056 JG196590:JR196592 TC196590:TN196592 ACY196590:ADJ196592 AMU196590:ANF196592 AWQ196590:AXB196592 BGM196590:BGX196592 BQI196590:BQT196592 CAE196590:CAP196592 CKA196590:CKL196592 CTW196590:CUH196592 DDS196590:DED196592 DNO196590:DNZ196592 DXK196590:DXV196592 EHG196590:EHR196592 ERC196590:ERN196592 FAY196590:FBJ196592 FKU196590:FLF196592 FUQ196590:FVB196592 GEM196590:GEX196592 GOI196590:GOT196592 GYE196590:GYP196592 HIA196590:HIL196592 HRW196590:HSH196592 IBS196590:ICD196592 ILO196590:ILZ196592 IVK196590:IVV196592 JFG196590:JFR196592 JPC196590:JPN196592 JYY196590:JZJ196592 KIU196590:KJF196592 KSQ196590:KTB196592 LCM196590:LCX196592 LMI196590:LMT196592 LWE196590:LWP196592 MGA196590:MGL196592 MPW196590:MQH196592 MZS196590:NAD196592 NJO196590:NJZ196592 NTK196590:NTV196592 ODG196590:ODR196592 ONC196590:ONN196592 OWY196590:OXJ196592 PGU196590:PHF196592 PQQ196590:PRB196592 QAM196590:QAX196592 QKI196590:QKT196592 QUE196590:QUP196592 REA196590:REL196592 RNW196590:ROH196592 RXS196590:RYD196592 SHO196590:SHZ196592 SRK196590:SRV196592 TBG196590:TBR196592 TLC196590:TLN196592 TUY196590:TVJ196592 UEU196590:UFF196592 UOQ196590:UPB196592 UYM196590:UYX196592 VII196590:VIT196592 VSE196590:VSP196592 WCA196590:WCL196592 WLW196590:WMH196592 WVS196590:WWD196592 JG262126:JR262128 TC262126:TN262128 ACY262126:ADJ262128 AMU262126:ANF262128 AWQ262126:AXB262128 BGM262126:BGX262128 BQI262126:BQT262128 CAE262126:CAP262128 CKA262126:CKL262128 CTW262126:CUH262128 DDS262126:DED262128 DNO262126:DNZ262128 DXK262126:DXV262128 EHG262126:EHR262128 ERC262126:ERN262128 FAY262126:FBJ262128 FKU262126:FLF262128 FUQ262126:FVB262128 GEM262126:GEX262128 GOI262126:GOT262128 GYE262126:GYP262128 HIA262126:HIL262128 HRW262126:HSH262128 IBS262126:ICD262128 ILO262126:ILZ262128 IVK262126:IVV262128 JFG262126:JFR262128 JPC262126:JPN262128 JYY262126:JZJ262128 KIU262126:KJF262128 KSQ262126:KTB262128 LCM262126:LCX262128 LMI262126:LMT262128 LWE262126:LWP262128 MGA262126:MGL262128 MPW262126:MQH262128 MZS262126:NAD262128 NJO262126:NJZ262128 NTK262126:NTV262128 ODG262126:ODR262128 ONC262126:ONN262128 OWY262126:OXJ262128 PGU262126:PHF262128 PQQ262126:PRB262128 QAM262126:QAX262128 QKI262126:QKT262128 QUE262126:QUP262128 REA262126:REL262128 RNW262126:ROH262128 RXS262126:RYD262128 SHO262126:SHZ262128 SRK262126:SRV262128 TBG262126:TBR262128 TLC262126:TLN262128 TUY262126:TVJ262128 UEU262126:UFF262128 UOQ262126:UPB262128 UYM262126:UYX262128 VII262126:VIT262128 VSE262126:VSP262128 WCA262126:WCL262128 WLW262126:WMH262128 WVS262126:WWD262128 JG327662:JR327664 TC327662:TN327664 ACY327662:ADJ327664 AMU327662:ANF327664 AWQ327662:AXB327664 BGM327662:BGX327664 BQI327662:BQT327664 CAE327662:CAP327664 CKA327662:CKL327664 CTW327662:CUH327664 DDS327662:DED327664 DNO327662:DNZ327664 DXK327662:DXV327664 EHG327662:EHR327664 ERC327662:ERN327664 FAY327662:FBJ327664 FKU327662:FLF327664 FUQ327662:FVB327664 GEM327662:GEX327664 GOI327662:GOT327664 GYE327662:GYP327664 HIA327662:HIL327664 HRW327662:HSH327664 IBS327662:ICD327664 ILO327662:ILZ327664 IVK327662:IVV327664 JFG327662:JFR327664 JPC327662:JPN327664 JYY327662:JZJ327664 KIU327662:KJF327664 KSQ327662:KTB327664 LCM327662:LCX327664 LMI327662:LMT327664 LWE327662:LWP327664 MGA327662:MGL327664 MPW327662:MQH327664 MZS327662:NAD327664 NJO327662:NJZ327664 NTK327662:NTV327664 ODG327662:ODR327664 ONC327662:ONN327664 OWY327662:OXJ327664 PGU327662:PHF327664 PQQ327662:PRB327664 QAM327662:QAX327664 QKI327662:QKT327664 QUE327662:QUP327664 REA327662:REL327664 RNW327662:ROH327664 RXS327662:RYD327664 SHO327662:SHZ327664 SRK327662:SRV327664 TBG327662:TBR327664 TLC327662:TLN327664 TUY327662:TVJ327664 UEU327662:UFF327664 UOQ327662:UPB327664 UYM327662:UYX327664 VII327662:VIT327664 VSE327662:VSP327664 WCA327662:WCL327664 WLW327662:WMH327664 WVS327662:WWD327664 JG393198:JR393200 TC393198:TN393200 ACY393198:ADJ393200 AMU393198:ANF393200 AWQ393198:AXB393200 BGM393198:BGX393200 BQI393198:BQT393200 CAE393198:CAP393200 CKA393198:CKL393200 CTW393198:CUH393200 DDS393198:DED393200 DNO393198:DNZ393200 DXK393198:DXV393200 EHG393198:EHR393200 ERC393198:ERN393200 FAY393198:FBJ393200 FKU393198:FLF393200 FUQ393198:FVB393200 GEM393198:GEX393200 GOI393198:GOT393200 GYE393198:GYP393200 HIA393198:HIL393200 HRW393198:HSH393200 IBS393198:ICD393200 ILO393198:ILZ393200 IVK393198:IVV393200 JFG393198:JFR393200 JPC393198:JPN393200 JYY393198:JZJ393200 KIU393198:KJF393200 KSQ393198:KTB393200 LCM393198:LCX393200 LMI393198:LMT393200 LWE393198:LWP393200 MGA393198:MGL393200 MPW393198:MQH393200 MZS393198:NAD393200 NJO393198:NJZ393200 NTK393198:NTV393200 ODG393198:ODR393200 ONC393198:ONN393200 OWY393198:OXJ393200 PGU393198:PHF393200 PQQ393198:PRB393200 QAM393198:QAX393200 QKI393198:QKT393200 QUE393198:QUP393200 REA393198:REL393200 RNW393198:ROH393200 RXS393198:RYD393200 SHO393198:SHZ393200 SRK393198:SRV393200 TBG393198:TBR393200 TLC393198:TLN393200 TUY393198:TVJ393200 UEU393198:UFF393200 UOQ393198:UPB393200 UYM393198:UYX393200 VII393198:VIT393200 VSE393198:VSP393200 WCA393198:WCL393200 WLW393198:WMH393200 WVS393198:WWD393200 JG458734:JR458736 TC458734:TN458736 ACY458734:ADJ458736 AMU458734:ANF458736 AWQ458734:AXB458736 BGM458734:BGX458736 BQI458734:BQT458736 CAE458734:CAP458736 CKA458734:CKL458736 CTW458734:CUH458736 DDS458734:DED458736 DNO458734:DNZ458736 DXK458734:DXV458736 EHG458734:EHR458736 ERC458734:ERN458736 FAY458734:FBJ458736 FKU458734:FLF458736 FUQ458734:FVB458736 GEM458734:GEX458736 GOI458734:GOT458736 GYE458734:GYP458736 HIA458734:HIL458736 HRW458734:HSH458736 IBS458734:ICD458736 ILO458734:ILZ458736 IVK458734:IVV458736 JFG458734:JFR458736 JPC458734:JPN458736 JYY458734:JZJ458736 KIU458734:KJF458736 KSQ458734:KTB458736 LCM458734:LCX458736 LMI458734:LMT458736 LWE458734:LWP458736 MGA458734:MGL458736 MPW458734:MQH458736 MZS458734:NAD458736 NJO458734:NJZ458736 NTK458734:NTV458736 ODG458734:ODR458736 ONC458734:ONN458736 OWY458734:OXJ458736 PGU458734:PHF458736 PQQ458734:PRB458736 QAM458734:QAX458736 QKI458734:QKT458736 QUE458734:QUP458736 REA458734:REL458736 RNW458734:ROH458736 RXS458734:RYD458736 SHO458734:SHZ458736 SRK458734:SRV458736 TBG458734:TBR458736 TLC458734:TLN458736 TUY458734:TVJ458736 UEU458734:UFF458736 UOQ458734:UPB458736 UYM458734:UYX458736 VII458734:VIT458736 VSE458734:VSP458736 WCA458734:WCL458736 WLW458734:WMH458736 WVS458734:WWD458736 JG524270:JR524272 TC524270:TN524272 ACY524270:ADJ524272 AMU524270:ANF524272 AWQ524270:AXB524272 BGM524270:BGX524272 BQI524270:BQT524272 CAE524270:CAP524272 CKA524270:CKL524272 CTW524270:CUH524272 DDS524270:DED524272 DNO524270:DNZ524272 DXK524270:DXV524272 EHG524270:EHR524272 ERC524270:ERN524272 FAY524270:FBJ524272 FKU524270:FLF524272 FUQ524270:FVB524272 GEM524270:GEX524272 GOI524270:GOT524272 GYE524270:GYP524272 HIA524270:HIL524272 HRW524270:HSH524272 IBS524270:ICD524272 ILO524270:ILZ524272 IVK524270:IVV524272 JFG524270:JFR524272 JPC524270:JPN524272 JYY524270:JZJ524272 KIU524270:KJF524272 KSQ524270:KTB524272 LCM524270:LCX524272 LMI524270:LMT524272 LWE524270:LWP524272 MGA524270:MGL524272 MPW524270:MQH524272 MZS524270:NAD524272 NJO524270:NJZ524272 NTK524270:NTV524272 ODG524270:ODR524272 ONC524270:ONN524272 OWY524270:OXJ524272 PGU524270:PHF524272 PQQ524270:PRB524272 QAM524270:QAX524272 QKI524270:QKT524272 QUE524270:QUP524272 REA524270:REL524272 RNW524270:ROH524272 RXS524270:RYD524272 SHO524270:SHZ524272 SRK524270:SRV524272 TBG524270:TBR524272 TLC524270:TLN524272 TUY524270:TVJ524272 UEU524270:UFF524272 UOQ524270:UPB524272 UYM524270:UYX524272 VII524270:VIT524272 VSE524270:VSP524272 WCA524270:WCL524272 WLW524270:WMH524272 WVS524270:WWD524272 JG589806:JR589808 TC589806:TN589808 ACY589806:ADJ589808 AMU589806:ANF589808 AWQ589806:AXB589808 BGM589806:BGX589808 BQI589806:BQT589808 CAE589806:CAP589808 CKA589806:CKL589808 CTW589806:CUH589808 DDS589806:DED589808 DNO589806:DNZ589808 DXK589806:DXV589808 EHG589806:EHR589808 ERC589806:ERN589808 FAY589806:FBJ589808 FKU589806:FLF589808 FUQ589806:FVB589808 GEM589806:GEX589808 GOI589806:GOT589808 GYE589806:GYP589808 HIA589806:HIL589808 HRW589806:HSH589808 IBS589806:ICD589808 ILO589806:ILZ589808 IVK589806:IVV589808 JFG589806:JFR589808 JPC589806:JPN589808 JYY589806:JZJ589808 KIU589806:KJF589808 KSQ589806:KTB589808 LCM589806:LCX589808 LMI589806:LMT589808 LWE589806:LWP589808 MGA589806:MGL589808 MPW589806:MQH589808 MZS589806:NAD589808 NJO589806:NJZ589808 NTK589806:NTV589808 ODG589806:ODR589808 ONC589806:ONN589808 OWY589806:OXJ589808 PGU589806:PHF589808 PQQ589806:PRB589808 QAM589806:QAX589808 QKI589806:QKT589808 QUE589806:QUP589808 REA589806:REL589808 RNW589806:ROH589808 RXS589806:RYD589808 SHO589806:SHZ589808 SRK589806:SRV589808 TBG589806:TBR589808 TLC589806:TLN589808 TUY589806:TVJ589808 UEU589806:UFF589808 UOQ589806:UPB589808 UYM589806:UYX589808 VII589806:VIT589808 VSE589806:VSP589808 WCA589806:WCL589808 WLW589806:WMH589808 WVS589806:WWD589808 JG655342:JR655344 TC655342:TN655344 ACY655342:ADJ655344 AMU655342:ANF655344 AWQ655342:AXB655344 BGM655342:BGX655344 BQI655342:BQT655344 CAE655342:CAP655344 CKA655342:CKL655344 CTW655342:CUH655344 DDS655342:DED655344 DNO655342:DNZ655344 DXK655342:DXV655344 EHG655342:EHR655344 ERC655342:ERN655344 FAY655342:FBJ655344 FKU655342:FLF655344 FUQ655342:FVB655344 GEM655342:GEX655344 GOI655342:GOT655344 GYE655342:GYP655344 HIA655342:HIL655344 HRW655342:HSH655344 IBS655342:ICD655344 ILO655342:ILZ655344 IVK655342:IVV655344 JFG655342:JFR655344 JPC655342:JPN655344 JYY655342:JZJ655344 KIU655342:KJF655344 KSQ655342:KTB655344 LCM655342:LCX655344 LMI655342:LMT655344 LWE655342:LWP655344 MGA655342:MGL655344 MPW655342:MQH655344 MZS655342:NAD655344 NJO655342:NJZ655344 NTK655342:NTV655344 ODG655342:ODR655344 ONC655342:ONN655344 OWY655342:OXJ655344 PGU655342:PHF655344 PQQ655342:PRB655344 QAM655342:QAX655344 QKI655342:QKT655344 QUE655342:QUP655344 REA655342:REL655344 RNW655342:ROH655344 RXS655342:RYD655344 SHO655342:SHZ655344 SRK655342:SRV655344 TBG655342:TBR655344 TLC655342:TLN655344 TUY655342:TVJ655344 UEU655342:UFF655344 UOQ655342:UPB655344 UYM655342:UYX655344 VII655342:VIT655344 VSE655342:VSP655344 WCA655342:WCL655344 WLW655342:WMH655344 WVS655342:WWD655344 JG720878:JR720880 TC720878:TN720880 ACY720878:ADJ720880 AMU720878:ANF720880 AWQ720878:AXB720880 BGM720878:BGX720880 BQI720878:BQT720880 CAE720878:CAP720880 CKA720878:CKL720880 CTW720878:CUH720880 DDS720878:DED720880 DNO720878:DNZ720880 DXK720878:DXV720880 EHG720878:EHR720880 ERC720878:ERN720880 FAY720878:FBJ720880 FKU720878:FLF720880 FUQ720878:FVB720880 GEM720878:GEX720880 GOI720878:GOT720880 GYE720878:GYP720880 HIA720878:HIL720880 HRW720878:HSH720880 IBS720878:ICD720880 ILO720878:ILZ720880 IVK720878:IVV720880 JFG720878:JFR720880 JPC720878:JPN720880 JYY720878:JZJ720880 KIU720878:KJF720880 KSQ720878:KTB720880 LCM720878:LCX720880 LMI720878:LMT720880 LWE720878:LWP720880 MGA720878:MGL720880 MPW720878:MQH720880 MZS720878:NAD720880 NJO720878:NJZ720880 NTK720878:NTV720880 ODG720878:ODR720880 ONC720878:ONN720880 OWY720878:OXJ720880 PGU720878:PHF720880 PQQ720878:PRB720880 QAM720878:QAX720880 QKI720878:QKT720880 QUE720878:QUP720880 REA720878:REL720880 RNW720878:ROH720880 RXS720878:RYD720880 SHO720878:SHZ720880 SRK720878:SRV720880 TBG720878:TBR720880 TLC720878:TLN720880 TUY720878:TVJ720880 UEU720878:UFF720880 UOQ720878:UPB720880 UYM720878:UYX720880 VII720878:VIT720880 VSE720878:VSP720880 WCA720878:WCL720880 WLW720878:WMH720880 WVS720878:WWD720880 JG786414:JR786416 TC786414:TN786416 ACY786414:ADJ786416 AMU786414:ANF786416 AWQ786414:AXB786416 BGM786414:BGX786416 BQI786414:BQT786416 CAE786414:CAP786416 CKA786414:CKL786416 CTW786414:CUH786416 DDS786414:DED786416 DNO786414:DNZ786416 DXK786414:DXV786416 EHG786414:EHR786416 ERC786414:ERN786416 FAY786414:FBJ786416 FKU786414:FLF786416 FUQ786414:FVB786416 GEM786414:GEX786416 GOI786414:GOT786416 GYE786414:GYP786416 HIA786414:HIL786416 HRW786414:HSH786416 IBS786414:ICD786416 ILO786414:ILZ786416 IVK786414:IVV786416 JFG786414:JFR786416 JPC786414:JPN786416 JYY786414:JZJ786416 KIU786414:KJF786416 KSQ786414:KTB786416 LCM786414:LCX786416 LMI786414:LMT786416 LWE786414:LWP786416 MGA786414:MGL786416 MPW786414:MQH786416 MZS786414:NAD786416 NJO786414:NJZ786416 NTK786414:NTV786416 ODG786414:ODR786416 ONC786414:ONN786416 OWY786414:OXJ786416 PGU786414:PHF786416 PQQ786414:PRB786416 QAM786414:QAX786416 QKI786414:QKT786416 QUE786414:QUP786416 REA786414:REL786416 RNW786414:ROH786416 RXS786414:RYD786416 SHO786414:SHZ786416 SRK786414:SRV786416 TBG786414:TBR786416 TLC786414:TLN786416 TUY786414:TVJ786416 UEU786414:UFF786416 UOQ786414:UPB786416 UYM786414:UYX786416 VII786414:VIT786416 VSE786414:VSP786416 WCA786414:WCL786416 WLW786414:WMH786416 WVS786414:WWD786416 JG851950:JR851952 TC851950:TN851952 ACY851950:ADJ851952 AMU851950:ANF851952 AWQ851950:AXB851952 BGM851950:BGX851952 BQI851950:BQT851952 CAE851950:CAP851952 CKA851950:CKL851952 CTW851950:CUH851952 DDS851950:DED851952 DNO851950:DNZ851952 DXK851950:DXV851952 EHG851950:EHR851952 ERC851950:ERN851952 FAY851950:FBJ851952 FKU851950:FLF851952 FUQ851950:FVB851952 GEM851950:GEX851952 GOI851950:GOT851952 GYE851950:GYP851952 HIA851950:HIL851952 HRW851950:HSH851952 IBS851950:ICD851952 ILO851950:ILZ851952 IVK851950:IVV851952 JFG851950:JFR851952 JPC851950:JPN851952 JYY851950:JZJ851952 KIU851950:KJF851952 KSQ851950:KTB851952 LCM851950:LCX851952 LMI851950:LMT851952 LWE851950:LWP851952 MGA851950:MGL851952 MPW851950:MQH851952 MZS851950:NAD851952 NJO851950:NJZ851952 NTK851950:NTV851952 ODG851950:ODR851952 ONC851950:ONN851952 OWY851950:OXJ851952 PGU851950:PHF851952 PQQ851950:PRB851952 QAM851950:QAX851952 QKI851950:QKT851952 QUE851950:QUP851952 REA851950:REL851952 RNW851950:ROH851952 RXS851950:RYD851952 SHO851950:SHZ851952 SRK851950:SRV851952 TBG851950:TBR851952 TLC851950:TLN851952 TUY851950:TVJ851952 UEU851950:UFF851952 UOQ851950:UPB851952 UYM851950:UYX851952 VII851950:VIT851952 VSE851950:VSP851952 WCA851950:WCL851952 WLW851950:WMH851952 WVS851950:WWD851952 JG917486:JR917488 TC917486:TN917488 ACY917486:ADJ917488 AMU917486:ANF917488 AWQ917486:AXB917488 BGM917486:BGX917488 BQI917486:BQT917488 CAE917486:CAP917488 CKA917486:CKL917488 CTW917486:CUH917488 DDS917486:DED917488 DNO917486:DNZ917488 DXK917486:DXV917488 EHG917486:EHR917488 ERC917486:ERN917488 FAY917486:FBJ917488 FKU917486:FLF917488 FUQ917486:FVB917488 GEM917486:GEX917488 GOI917486:GOT917488 GYE917486:GYP917488 HIA917486:HIL917488 HRW917486:HSH917488 IBS917486:ICD917488 ILO917486:ILZ917488 IVK917486:IVV917488 JFG917486:JFR917488 JPC917486:JPN917488 JYY917486:JZJ917488 KIU917486:KJF917488 KSQ917486:KTB917488 LCM917486:LCX917488 LMI917486:LMT917488 LWE917486:LWP917488 MGA917486:MGL917488 MPW917486:MQH917488 MZS917486:NAD917488 NJO917486:NJZ917488 NTK917486:NTV917488 ODG917486:ODR917488 ONC917486:ONN917488 OWY917486:OXJ917488 PGU917486:PHF917488 PQQ917486:PRB917488 QAM917486:QAX917488 QKI917486:QKT917488 QUE917486:QUP917488 REA917486:REL917488 RNW917486:ROH917488 RXS917486:RYD917488 SHO917486:SHZ917488 SRK917486:SRV917488 TBG917486:TBR917488 TLC917486:TLN917488 TUY917486:TVJ917488 UEU917486:UFF917488 UOQ917486:UPB917488 UYM917486:UYX917488 VII917486:VIT917488 VSE917486:VSP917488 WCA917486:WCL917488 WLW917486:WMH917488 WVS917486:WWD917488 JG983022:JR983024 TC983022:TN983024 ACY983022:ADJ983024 AMU983022:ANF983024 AWQ983022:AXB983024 BGM983022:BGX983024 BQI983022:BQT983024 CAE983022:CAP983024 CKA983022:CKL983024 CTW983022:CUH983024 DDS983022:DED983024 DNO983022:DNZ983024 DXK983022:DXV983024 EHG983022:EHR983024 ERC983022:ERN983024 FAY983022:FBJ983024 FKU983022:FLF983024 FUQ983022:FVB983024 GEM983022:GEX983024 GOI983022:GOT983024 GYE983022:GYP983024 HIA983022:HIL983024 HRW983022:HSH983024 IBS983022:ICD983024 ILO983022:ILZ983024 IVK983022:IVV983024 JFG983022:JFR983024 JPC983022:JPN983024 JYY983022:JZJ983024 KIU983022:KJF983024 KSQ983022:KTB983024 LCM983022:LCX983024 LMI983022:LMT983024 LWE983022:LWP983024 MGA983022:MGL983024 MPW983022:MQH983024 MZS983022:NAD983024 NJO983022:NJZ983024 NTK983022:NTV983024 ODG983022:ODR983024 ONC983022:ONN983024 OWY983022:OXJ983024 PGU983022:PHF983024 PQQ983022:PRB983024 QAM983022:QAX983024 QKI983022:QKT983024 QUE983022:QUP983024 REA983022:REL983024 RNW983022:ROH983024 RXS983022:RYD983024 SHO983022:SHZ983024 SRK983022:SRV983024 TBG983022:TBR983024 TLC983022:TLN983024 TUY983022:TVJ983024 UEU983022:UFF983024 UOQ983022:UPB983024 UYM983022:UYX983024 VII983022:VIT983024 VSE983022:VSP983024 WCA983022:WCL983024 WLW983022:WMH983024 Z262121:AJ262123 Z196585:AJ196587 Z131049:AJ131051 Z65513:AJ65515 Z983022:AJ983024 Z917486:AJ917488 Z851950:AJ851952 Z786414:AJ786416 Z720878:AJ720880 Z655342:AJ655344 Z589806:AJ589808 Z524270:AJ524272 Z458734:AJ458736 Z393198:AJ393200 Z327662:AJ327664 Z262126:AJ262128 Z196590:AJ196592 Z131054:AJ131056 Z65518:AJ65520 Z983017:AJ983019 Z917481:AJ917483 Z851945:AJ851947 Z786409:AJ786411 Z720873:AJ720875 Z655337:AJ655339 Z589801:AJ589803 Z524265:AJ524267 Z458729:AJ458731 Z393193:AJ393195 Z327657:AJ327659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AA8:AA46">
      <formula1>"datetime,int,numeric,varchar,nvarchar"</formula1>
    </dataValidation>
    <dataValidation type="list" allowBlank="1" showInputMessage="1" showErrorMessage="1" sqref="Y8:Z46">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pageSetUpPr autoPageBreaks="0"/>
  </sheetPr>
  <dimension ref="A1:BE46"/>
  <sheetViews>
    <sheetView showGridLines="0" zoomScaleNormal="100" zoomScaleSheetLayoutView="85"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7"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7"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 xml:space="preserve">資材在庫月別受払情報 </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7"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7"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7"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7"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7" ht="14.4" customHeight="1">
      <c r="A8" s="37">
        <f>IF(B8="","",COUNTA($B$8:$B8))</f>
        <v>1</v>
      </c>
      <c r="B8" s="35" t="s">
        <v>1346</v>
      </c>
      <c r="C8" s="34"/>
      <c r="D8" s="34"/>
      <c r="E8" s="34"/>
      <c r="F8" s="34"/>
      <c r="G8" s="34"/>
      <c r="H8" s="34"/>
      <c r="I8" s="35" t="s">
        <v>1439</v>
      </c>
      <c r="J8" s="27"/>
      <c r="K8" s="27"/>
      <c r="L8" s="27"/>
      <c r="M8" s="27"/>
      <c r="N8" s="27"/>
      <c r="O8" s="27"/>
      <c r="P8" s="27"/>
      <c r="Q8" s="27"/>
      <c r="R8" s="35" t="s">
        <v>1346</v>
      </c>
      <c r="S8" s="34"/>
      <c r="T8" s="34"/>
      <c r="U8" s="34"/>
      <c r="V8" s="34"/>
      <c r="W8" s="34"/>
      <c r="X8" s="34"/>
      <c r="Y8" s="589" t="s">
        <v>1504</v>
      </c>
      <c r="Z8" s="590"/>
      <c r="AA8" s="591" t="s">
        <v>1505</v>
      </c>
      <c r="AB8" s="592"/>
      <c r="AC8" s="593"/>
      <c r="AD8" s="53">
        <v>6</v>
      </c>
      <c r="AE8" s="25"/>
      <c r="AF8" s="25">
        <v>1</v>
      </c>
      <c r="AG8" s="24" t="s">
        <v>84</v>
      </c>
      <c r="AH8" s="25"/>
      <c r="AI8" s="25"/>
      <c r="AJ8" s="25"/>
      <c r="AK8" s="25"/>
      <c r="AL8" s="25"/>
      <c r="AM8" s="25"/>
      <c r="AN8" s="25"/>
      <c r="AO8" s="25"/>
      <c r="AP8" s="25"/>
      <c r="AQ8" s="25"/>
      <c r="AR8" s="25"/>
      <c r="AS8" s="35" t="s">
        <v>1178</v>
      </c>
      <c r="AT8" s="36"/>
      <c r="AU8" s="36"/>
      <c r="AV8" s="36"/>
      <c r="AW8" s="36"/>
      <c r="AX8" s="36"/>
      <c r="AY8" s="36"/>
      <c r="AZ8" s="36"/>
      <c r="BA8" s="36"/>
      <c r="BB8" s="36"/>
      <c r="BC8" s="36"/>
      <c r="BD8" s="50"/>
    </row>
    <row r="9" spans="1:57" ht="14.4" customHeight="1">
      <c r="A9" s="37">
        <f>IF(B9="","",COUNTA($B$8:$B9))</f>
        <v>2</v>
      </c>
      <c r="B9" s="35" t="s">
        <v>1514</v>
      </c>
      <c r="C9" s="34"/>
      <c r="D9" s="34"/>
      <c r="E9" s="34"/>
      <c r="F9" s="34"/>
      <c r="G9" s="34"/>
      <c r="H9" s="34"/>
      <c r="I9" s="35" t="s">
        <v>568</v>
      </c>
      <c r="J9" s="27"/>
      <c r="K9" s="27"/>
      <c r="L9" s="27"/>
      <c r="M9" s="27"/>
      <c r="N9" s="27"/>
      <c r="O9" s="27"/>
      <c r="P9" s="27"/>
      <c r="Q9" s="27"/>
      <c r="R9" s="35" t="s">
        <v>1514</v>
      </c>
      <c r="S9" s="34"/>
      <c r="T9" s="34"/>
      <c r="U9" s="34"/>
      <c r="V9" s="34"/>
      <c r="W9" s="34"/>
      <c r="X9" s="34"/>
      <c r="Y9" s="589" t="s">
        <v>1504</v>
      </c>
      <c r="Z9" s="590"/>
      <c r="AA9" s="591" t="s">
        <v>1505</v>
      </c>
      <c r="AB9" s="592"/>
      <c r="AC9" s="593"/>
      <c r="AD9" s="53">
        <v>20</v>
      </c>
      <c r="AE9" s="25"/>
      <c r="AF9" s="25">
        <v>2</v>
      </c>
      <c r="AG9" s="24" t="s">
        <v>84</v>
      </c>
      <c r="AH9" s="25"/>
      <c r="AI9" s="25"/>
      <c r="AJ9" s="25"/>
      <c r="AK9" s="25"/>
      <c r="AL9" s="25"/>
      <c r="AM9" s="25"/>
      <c r="AN9" s="25"/>
      <c r="AO9" s="25"/>
      <c r="AP9" s="25"/>
      <c r="AQ9" s="25"/>
      <c r="AR9" s="25"/>
      <c r="AS9" s="35"/>
      <c r="AT9" s="36"/>
      <c r="AU9" s="36"/>
      <c r="AV9" s="36"/>
      <c r="AW9" s="36"/>
      <c r="AX9" s="36"/>
      <c r="AY9" s="36"/>
      <c r="AZ9" s="36"/>
      <c r="BA9" s="36"/>
      <c r="BB9" s="36"/>
      <c r="BC9" s="36"/>
      <c r="BD9" s="50"/>
    </row>
    <row r="10" spans="1:57" ht="14.4" customHeight="1">
      <c r="A10" s="192">
        <f>IF(B10="","",COUNTA($B$8:$B10))</f>
        <v>3</v>
      </c>
      <c r="B10" s="193" t="s">
        <v>1702</v>
      </c>
      <c r="C10" s="194"/>
      <c r="D10" s="194"/>
      <c r="E10" s="194"/>
      <c r="F10" s="194"/>
      <c r="G10" s="194"/>
      <c r="H10" s="194"/>
      <c r="I10" s="193" t="s">
        <v>1429</v>
      </c>
      <c r="J10" s="195"/>
      <c r="K10" s="195"/>
      <c r="L10" s="195"/>
      <c r="M10" s="195"/>
      <c r="N10" s="195"/>
      <c r="O10" s="195"/>
      <c r="P10" s="195"/>
      <c r="Q10" s="195"/>
      <c r="R10" s="193" t="s">
        <v>1702</v>
      </c>
      <c r="S10" s="194"/>
      <c r="T10" s="194"/>
      <c r="U10" s="194"/>
      <c r="V10" s="194"/>
      <c r="W10" s="194"/>
      <c r="X10" s="194"/>
      <c r="Y10" s="637" t="s">
        <v>1510</v>
      </c>
      <c r="Z10" s="638"/>
      <c r="AA10" s="639" t="s">
        <v>1511</v>
      </c>
      <c r="AB10" s="640"/>
      <c r="AC10" s="641"/>
      <c r="AD10" s="327"/>
      <c r="AE10" s="197"/>
      <c r="AF10" s="197"/>
      <c r="AG10" s="247"/>
      <c r="AH10" s="197"/>
      <c r="AI10" s="197"/>
      <c r="AJ10" s="197"/>
      <c r="AK10" s="197"/>
      <c r="AL10" s="197"/>
      <c r="AM10" s="197"/>
      <c r="AN10" s="197"/>
      <c r="AO10" s="197"/>
      <c r="AP10" s="197"/>
      <c r="AQ10" s="197"/>
      <c r="AR10" s="197"/>
      <c r="AS10" s="193" t="s">
        <v>1192</v>
      </c>
      <c r="AT10" s="198"/>
      <c r="AU10" s="198"/>
      <c r="AV10" s="198"/>
      <c r="AW10" s="198"/>
      <c r="AX10" s="198"/>
      <c r="AY10" s="198"/>
      <c r="AZ10" s="198"/>
      <c r="BA10" s="198"/>
      <c r="BB10" s="198"/>
      <c r="BC10" s="198"/>
      <c r="BD10" s="199"/>
      <c r="BE10" s="16" t="s">
        <v>1779</v>
      </c>
    </row>
    <row r="11" spans="1:57" ht="14.4" customHeight="1">
      <c r="A11" s="192">
        <f>IF(B11="","",COUNTA($B$8:$B11))</f>
        <v>4</v>
      </c>
      <c r="B11" s="193" t="s">
        <v>1529</v>
      </c>
      <c r="C11" s="194"/>
      <c r="D11" s="194"/>
      <c r="E11" s="194"/>
      <c r="F11" s="194"/>
      <c r="G11" s="194"/>
      <c r="H11" s="194"/>
      <c r="I11" s="193" t="s">
        <v>457</v>
      </c>
      <c r="J11" s="195"/>
      <c r="K11" s="195"/>
      <c r="L11" s="195"/>
      <c r="M11" s="195"/>
      <c r="N11" s="195"/>
      <c r="O11" s="195"/>
      <c r="P11" s="195"/>
      <c r="Q11" s="195"/>
      <c r="R11" s="193" t="s">
        <v>1529</v>
      </c>
      <c r="S11" s="194"/>
      <c r="T11" s="194"/>
      <c r="U11" s="194"/>
      <c r="V11" s="194"/>
      <c r="W11" s="194"/>
      <c r="X11" s="194"/>
      <c r="Y11" s="637" t="s">
        <v>1504</v>
      </c>
      <c r="Z11" s="638"/>
      <c r="AA11" s="639" t="s">
        <v>1505</v>
      </c>
      <c r="AB11" s="640"/>
      <c r="AC11" s="641"/>
      <c r="AD11" s="196">
        <v>5</v>
      </c>
      <c r="AE11" s="197"/>
      <c r="AF11" s="197"/>
      <c r="AG11" s="197"/>
      <c r="AH11" s="197"/>
      <c r="AI11" s="197"/>
      <c r="AJ11" s="197"/>
      <c r="AK11" s="197"/>
      <c r="AL11" s="197"/>
      <c r="AM11" s="197"/>
      <c r="AN11" s="197"/>
      <c r="AO11" s="197"/>
      <c r="AP11" s="197"/>
      <c r="AQ11" s="197"/>
      <c r="AR11" s="197"/>
      <c r="AS11" s="193"/>
      <c r="AT11" s="198"/>
      <c r="AU11" s="198"/>
      <c r="AV11" s="198"/>
      <c r="AW11" s="198"/>
      <c r="AX11" s="198"/>
      <c r="AY11" s="198"/>
      <c r="AZ11" s="198"/>
      <c r="BA11" s="198"/>
      <c r="BB11" s="198"/>
      <c r="BC11" s="198"/>
      <c r="BD11" s="199"/>
      <c r="BE11" s="16" t="s">
        <v>1758</v>
      </c>
    </row>
    <row r="12" spans="1:57" ht="14.4" customHeight="1">
      <c r="A12" s="192">
        <f>IF(B12="","",COUNTA($B$8:$B12))</f>
        <v>5</v>
      </c>
      <c r="B12" s="193" t="s">
        <v>140</v>
      </c>
      <c r="C12" s="194"/>
      <c r="D12" s="194"/>
      <c r="E12" s="194"/>
      <c r="F12" s="194"/>
      <c r="G12" s="194"/>
      <c r="H12" s="194"/>
      <c r="I12" s="193" t="s">
        <v>657</v>
      </c>
      <c r="J12" s="195"/>
      <c r="K12" s="195"/>
      <c r="L12" s="195"/>
      <c r="M12" s="195"/>
      <c r="N12" s="195"/>
      <c r="O12" s="195"/>
      <c r="P12" s="195"/>
      <c r="Q12" s="195"/>
      <c r="R12" s="193" t="s">
        <v>140</v>
      </c>
      <c r="S12" s="194"/>
      <c r="T12" s="194"/>
      <c r="U12" s="194"/>
      <c r="V12" s="194"/>
      <c r="W12" s="194"/>
      <c r="X12" s="194"/>
      <c r="Y12" s="637" t="s">
        <v>1504</v>
      </c>
      <c r="Z12" s="638"/>
      <c r="AA12" s="639" t="s">
        <v>1505</v>
      </c>
      <c r="AB12" s="640"/>
      <c r="AC12" s="641"/>
      <c r="AD12" s="196">
        <v>30</v>
      </c>
      <c r="AE12" s="197"/>
      <c r="AF12" s="197"/>
      <c r="AG12" s="197"/>
      <c r="AH12" s="197"/>
      <c r="AI12" s="197"/>
      <c r="AJ12" s="197"/>
      <c r="AK12" s="197"/>
      <c r="AL12" s="197"/>
      <c r="AM12" s="197"/>
      <c r="AN12" s="197"/>
      <c r="AO12" s="197"/>
      <c r="AP12" s="197"/>
      <c r="AQ12" s="197"/>
      <c r="AR12" s="197"/>
      <c r="AS12" s="193"/>
      <c r="AT12" s="198"/>
      <c r="AU12" s="198"/>
      <c r="AV12" s="198"/>
      <c r="AW12" s="198"/>
      <c r="AX12" s="198"/>
      <c r="AY12" s="198"/>
      <c r="AZ12" s="198"/>
      <c r="BA12" s="198"/>
      <c r="BB12" s="198"/>
      <c r="BC12" s="198"/>
      <c r="BD12" s="199"/>
      <c r="BE12" s="16" t="s">
        <v>1758</v>
      </c>
    </row>
    <row r="13" spans="1:57" ht="14.4" customHeight="1">
      <c r="A13" s="192">
        <f>IF(B13="","",COUNTA($B$8:$B13))</f>
        <v>6</v>
      </c>
      <c r="B13" s="193" t="s">
        <v>1716</v>
      </c>
      <c r="C13" s="194"/>
      <c r="D13" s="194"/>
      <c r="E13" s="194"/>
      <c r="F13" s="194"/>
      <c r="G13" s="194"/>
      <c r="H13" s="194"/>
      <c r="I13" s="193" t="s">
        <v>570</v>
      </c>
      <c r="J13" s="195"/>
      <c r="K13" s="195"/>
      <c r="L13" s="195"/>
      <c r="M13" s="195"/>
      <c r="N13" s="195"/>
      <c r="O13" s="195"/>
      <c r="P13" s="195"/>
      <c r="Q13" s="195"/>
      <c r="R13" s="193" t="s">
        <v>1716</v>
      </c>
      <c r="S13" s="194"/>
      <c r="T13" s="194"/>
      <c r="U13" s="194"/>
      <c r="V13" s="194"/>
      <c r="W13" s="194"/>
      <c r="X13" s="194"/>
      <c r="Y13" s="637" t="s">
        <v>1504</v>
      </c>
      <c r="Z13" s="638"/>
      <c r="AA13" s="639" t="s">
        <v>1505</v>
      </c>
      <c r="AB13" s="640"/>
      <c r="AC13" s="641"/>
      <c r="AD13" s="196">
        <v>2</v>
      </c>
      <c r="AE13" s="197"/>
      <c r="AF13" s="197"/>
      <c r="AG13" s="197"/>
      <c r="AH13" s="197"/>
      <c r="AI13" s="197"/>
      <c r="AJ13" s="197"/>
      <c r="AK13" s="197"/>
      <c r="AL13" s="197"/>
      <c r="AM13" s="197"/>
      <c r="AN13" s="197"/>
      <c r="AO13" s="197"/>
      <c r="AP13" s="197"/>
      <c r="AQ13" s="197"/>
      <c r="AR13" s="197"/>
      <c r="AS13" s="193"/>
      <c r="AT13" s="198"/>
      <c r="AU13" s="198"/>
      <c r="AV13" s="198"/>
      <c r="AW13" s="198"/>
      <c r="AX13" s="198"/>
      <c r="AY13" s="198"/>
      <c r="AZ13" s="198"/>
      <c r="BA13" s="198"/>
      <c r="BB13" s="198"/>
      <c r="BC13" s="198"/>
      <c r="BD13" s="199"/>
      <c r="BE13" s="16" t="s">
        <v>1758</v>
      </c>
    </row>
    <row r="14" spans="1:57" ht="14.4" customHeight="1">
      <c r="A14" s="192">
        <f>IF(B14="","",COUNTA($B$8:$B14))</f>
        <v>7</v>
      </c>
      <c r="B14" s="193" t="s">
        <v>1717</v>
      </c>
      <c r="C14" s="194"/>
      <c r="D14" s="194"/>
      <c r="E14" s="194"/>
      <c r="F14" s="194"/>
      <c r="G14" s="194"/>
      <c r="H14" s="194"/>
      <c r="I14" s="193"/>
      <c r="J14" s="195"/>
      <c r="K14" s="195"/>
      <c r="L14" s="195"/>
      <c r="M14" s="195"/>
      <c r="N14" s="195"/>
      <c r="O14" s="195"/>
      <c r="P14" s="195"/>
      <c r="Q14" s="195"/>
      <c r="R14" s="193" t="s">
        <v>1717</v>
      </c>
      <c r="S14" s="194"/>
      <c r="T14" s="194"/>
      <c r="U14" s="194"/>
      <c r="V14" s="194"/>
      <c r="W14" s="194"/>
      <c r="X14" s="194"/>
      <c r="Y14" s="637" t="s">
        <v>1504</v>
      </c>
      <c r="Z14" s="638"/>
      <c r="AA14" s="639" t="s">
        <v>1505</v>
      </c>
      <c r="AB14" s="640"/>
      <c r="AC14" s="641"/>
      <c r="AD14" s="196">
        <v>30</v>
      </c>
      <c r="AE14" s="197"/>
      <c r="AF14" s="197"/>
      <c r="AG14" s="197"/>
      <c r="AH14" s="197"/>
      <c r="AI14" s="197"/>
      <c r="AJ14" s="197"/>
      <c r="AK14" s="197"/>
      <c r="AL14" s="197"/>
      <c r="AM14" s="197"/>
      <c r="AN14" s="197"/>
      <c r="AO14" s="197"/>
      <c r="AP14" s="197"/>
      <c r="AQ14" s="197"/>
      <c r="AR14" s="197"/>
      <c r="AS14" s="193"/>
      <c r="AT14" s="198"/>
      <c r="AU14" s="198"/>
      <c r="AV14" s="198"/>
      <c r="AW14" s="198"/>
      <c r="AX14" s="198"/>
      <c r="AY14" s="198"/>
      <c r="AZ14" s="198"/>
      <c r="BA14" s="198"/>
      <c r="BB14" s="198"/>
      <c r="BC14" s="198"/>
      <c r="BD14" s="199"/>
      <c r="BE14" s="16" t="s">
        <v>1758</v>
      </c>
    </row>
    <row r="15" spans="1:57" ht="14.4" customHeight="1">
      <c r="A15" s="192">
        <f>IF(B15="","",COUNTA($B$8:$B15))</f>
        <v>8</v>
      </c>
      <c r="B15" s="193" t="s">
        <v>1718</v>
      </c>
      <c r="C15" s="194"/>
      <c r="D15" s="194"/>
      <c r="E15" s="194"/>
      <c r="F15" s="194"/>
      <c r="G15" s="194"/>
      <c r="H15" s="194"/>
      <c r="I15" s="193" t="s">
        <v>572</v>
      </c>
      <c r="J15" s="195"/>
      <c r="K15" s="195"/>
      <c r="L15" s="195"/>
      <c r="M15" s="195"/>
      <c r="N15" s="195"/>
      <c r="O15" s="195"/>
      <c r="P15" s="195"/>
      <c r="Q15" s="195"/>
      <c r="R15" s="193" t="s">
        <v>1718</v>
      </c>
      <c r="S15" s="194"/>
      <c r="T15" s="194"/>
      <c r="U15" s="194"/>
      <c r="V15" s="194"/>
      <c r="W15" s="194"/>
      <c r="X15" s="194"/>
      <c r="Y15" s="637" t="s">
        <v>1504</v>
      </c>
      <c r="Z15" s="638"/>
      <c r="AA15" s="639" t="s">
        <v>1505</v>
      </c>
      <c r="AB15" s="640"/>
      <c r="AC15" s="641"/>
      <c r="AD15" s="196">
        <v>2</v>
      </c>
      <c r="AE15" s="197"/>
      <c r="AF15" s="197"/>
      <c r="AG15" s="197"/>
      <c r="AH15" s="197"/>
      <c r="AI15" s="197"/>
      <c r="AJ15" s="197"/>
      <c r="AK15" s="197"/>
      <c r="AL15" s="197"/>
      <c r="AM15" s="197"/>
      <c r="AN15" s="197"/>
      <c r="AO15" s="197"/>
      <c r="AP15" s="197"/>
      <c r="AQ15" s="197"/>
      <c r="AR15" s="197"/>
      <c r="AS15" s="193"/>
      <c r="AT15" s="198"/>
      <c r="AU15" s="198"/>
      <c r="AV15" s="198"/>
      <c r="AW15" s="198"/>
      <c r="AX15" s="198"/>
      <c r="AY15" s="198"/>
      <c r="AZ15" s="198"/>
      <c r="BA15" s="198"/>
      <c r="BB15" s="198"/>
      <c r="BC15" s="198"/>
      <c r="BD15" s="199"/>
      <c r="BE15" s="16" t="s">
        <v>1758</v>
      </c>
    </row>
    <row r="16" spans="1:57" ht="14.4" customHeight="1">
      <c r="A16" s="192">
        <f>IF(B16="","",COUNTA($B$8:$B16))</f>
        <v>9</v>
      </c>
      <c r="B16" s="193" t="s">
        <v>1719</v>
      </c>
      <c r="C16" s="194"/>
      <c r="D16" s="194"/>
      <c r="E16" s="194"/>
      <c r="F16" s="194"/>
      <c r="G16" s="194"/>
      <c r="H16" s="194"/>
      <c r="I16" s="193"/>
      <c r="J16" s="195"/>
      <c r="K16" s="195"/>
      <c r="L16" s="195"/>
      <c r="M16" s="195"/>
      <c r="N16" s="195"/>
      <c r="O16" s="195"/>
      <c r="P16" s="195"/>
      <c r="Q16" s="195"/>
      <c r="R16" s="193" t="s">
        <v>1719</v>
      </c>
      <c r="S16" s="194"/>
      <c r="T16" s="194"/>
      <c r="U16" s="194"/>
      <c r="V16" s="194"/>
      <c r="W16" s="194"/>
      <c r="X16" s="194"/>
      <c r="Y16" s="637" t="s">
        <v>1504</v>
      </c>
      <c r="Z16" s="638"/>
      <c r="AA16" s="639" t="s">
        <v>1505</v>
      </c>
      <c r="AB16" s="640"/>
      <c r="AC16" s="641"/>
      <c r="AD16" s="196">
        <v>30</v>
      </c>
      <c r="AE16" s="197"/>
      <c r="AF16" s="197"/>
      <c r="AG16" s="197"/>
      <c r="AH16" s="197"/>
      <c r="AI16" s="197"/>
      <c r="AJ16" s="197"/>
      <c r="AK16" s="197"/>
      <c r="AL16" s="197"/>
      <c r="AM16" s="197"/>
      <c r="AN16" s="197"/>
      <c r="AO16" s="197"/>
      <c r="AP16" s="197"/>
      <c r="AQ16" s="197"/>
      <c r="AR16" s="197"/>
      <c r="AS16" s="193"/>
      <c r="AT16" s="198"/>
      <c r="AU16" s="198"/>
      <c r="AV16" s="198"/>
      <c r="AW16" s="198"/>
      <c r="AX16" s="198"/>
      <c r="AY16" s="198"/>
      <c r="AZ16" s="198"/>
      <c r="BA16" s="198"/>
      <c r="BB16" s="198"/>
      <c r="BC16" s="198"/>
      <c r="BD16" s="199"/>
      <c r="BE16" s="16" t="s">
        <v>1758</v>
      </c>
    </row>
    <row r="17" spans="1:57" ht="14.4" customHeight="1">
      <c r="A17" s="37">
        <f>IF(B17="","",COUNTA($B$8:$B17))</f>
        <v>10</v>
      </c>
      <c r="B17" s="35" t="s">
        <v>1557</v>
      </c>
      <c r="C17" s="34"/>
      <c r="D17" s="34"/>
      <c r="E17" s="34"/>
      <c r="F17" s="34"/>
      <c r="G17" s="34"/>
      <c r="H17" s="34"/>
      <c r="I17" s="35"/>
      <c r="J17" s="27"/>
      <c r="K17" s="27"/>
      <c r="L17" s="27"/>
      <c r="M17" s="27"/>
      <c r="N17" s="27"/>
      <c r="O17" s="27"/>
      <c r="P17" s="27"/>
      <c r="Q17" s="27"/>
      <c r="R17" s="35" t="s">
        <v>1557</v>
      </c>
      <c r="S17" s="34"/>
      <c r="T17" s="34"/>
      <c r="U17" s="34"/>
      <c r="V17" s="34"/>
      <c r="W17" s="34"/>
      <c r="X17" s="34"/>
      <c r="Y17" s="589" t="s">
        <v>1516</v>
      </c>
      <c r="Z17" s="636"/>
      <c r="AA17" s="591" t="s">
        <v>1517</v>
      </c>
      <c r="AB17" s="592"/>
      <c r="AC17" s="593"/>
      <c r="AD17" s="53">
        <v>7</v>
      </c>
      <c r="AE17" s="25">
        <v>1</v>
      </c>
      <c r="AF17" s="25"/>
      <c r="AG17" s="25"/>
      <c r="AH17" s="25"/>
      <c r="AI17" s="25"/>
      <c r="AJ17" s="25"/>
      <c r="AK17" s="25"/>
      <c r="AL17" s="25"/>
      <c r="AM17" s="25"/>
      <c r="AN17" s="25"/>
      <c r="AO17" s="25"/>
      <c r="AP17" s="25"/>
      <c r="AQ17" s="25"/>
      <c r="AR17" s="25"/>
      <c r="AS17" s="35" t="s">
        <v>1191</v>
      </c>
      <c r="AT17" s="36"/>
      <c r="AU17" s="36"/>
      <c r="AV17" s="36"/>
      <c r="AW17" s="36"/>
      <c r="AX17" s="36"/>
      <c r="AY17" s="36"/>
      <c r="AZ17" s="36"/>
      <c r="BA17" s="36"/>
      <c r="BB17" s="36"/>
      <c r="BC17" s="36"/>
      <c r="BD17" s="50"/>
    </row>
    <row r="18" spans="1:57" ht="14.4" customHeight="1">
      <c r="A18" s="37">
        <f>IF(B18="","",COUNTA($B$8:$B18))</f>
        <v>11</v>
      </c>
      <c r="B18" s="35" t="s">
        <v>1558</v>
      </c>
      <c r="C18" s="34"/>
      <c r="D18" s="34"/>
      <c r="E18" s="34"/>
      <c r="F18" s="34"/>
      <c r="G18" s="34"/>
      <c r="H18" s="34"/>
      <c r="I18" s="35"/>
      <c r="J18" s="27"/>
      <c r="K18" s="27"/>
      <c r="L18" s="27"/>
      <c r="M18" s="27"/>
      <c r="N18" s="27"/>
      <c r="O18" s="27"/>
      <c r="P18" s="27"/>
      <c r="Q18" s="27"/>
      <c r="R18" s="35" t="s">
        <v>1558</v>
      </c>
      <c r="S18" s="34"/>
      <c r="T18" s="34"/>
      <c r="U18" s="34"/>
      <c r="V18" s="34"/>
      <c r="W18" s="34"/>
      <c r="X18" s="34"/>
      <c r="Y18" s="589" t="s">
        <v>1516</v>
      </c>
      <c r="Z18" s="636"/>
      <c r="AA18" s="591" t="s">
        <v>1517</v>
      </c>
      <c r="AB18" s="592"/>
      <c r="AC18" s="593"/>
      <c r="AD18" s="53">
        <v>7</v>
      </c>
      <c r="AE18" s="25">
        <v>1</v>
      </c>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7" ht="14.4" customHeight="1">
      <c r="A19" s="37">
        <f>IF(B19="","",COUNTA($B$8:$B19))</f>
        <v>12</v>
      </c>
      <c r="B19" s="35" t="s">
        <v>1559</v>
      </c>
      <c r="C19" s="34"/>
      <c r="D19" s="34"/>
      <c r="E19" s="34"/>
      <c r="F19" s="34"/>
      <c r="G19" s="34"/>
      <c r="H19" s="34"/>
      <c r="I19" s="35"/>
      <c r="J19" s="27"/>
      <c r="K19" s="27"/>
      <c r="L19" s="27"/>
      <c r="M19" s="27"/>
      <c r="N19" s="27"/>
      <c r="O19" s="27"/>
      <c r="P19" s="27"/>
      <c r="Q19" s="27"/>
      <c r="R19" s="35" t="s">
        <v>1559</v>
      </c>
      <c r="S19" s="34"/>
      <c r="T19" s="34"/>
      <c r="U19" s="34"/>
      <c r="V19" s="34"/>
      <c r="W19" s="34"/>
      <c r="X19" s="34"/>
      <c r="Y19" s="589" t="s">
        <v>1516</v>
      </c>
      <c r="Z19" s="636"/>
      <c r="AA19" s="591" t="s">
        <v>1517</v>
      </c>
      <c r="AB19" s="592"/>
      <c r="AC19" s="593"/>
      <c r="AD19" s="53">
        <v>7</v>
      </c>
      <c r="AE19" s="25">
        <v>1</v>
      </c>
      <c r="AF19" s="25"/>
      <c r="AG19" s="25"/>
      <c r="AH19" s="25"/>
      <c r="AI19" s="25"/>
      <c r="AJ19" s="25"/>
      <c r="AK19" s="25"/>
      <c r="AL19" s="25"/>
      <c r="AM19" s="25"/>
      <c r="AN19" s="25"/>
      <c r="AO19" s="25"/>
      <c r="AP19" s="25"/>
      <c r="AQ19" s="25"/>
      <c r="AR19" s="25"/>
      <c r="AS19" s="35" t="s">
        <v>1191</v>
      </c>
      <c r="AT19" s="36"/>
      <c r="AU19" s="36"/>
      <c r="AV19" s="36"/>
      <c r="AW19" s="36"/>
      <c r="AX19" s="36"/>
      <c r="AY19" s="36"/>
      <c r="AZ19" s="36"/>
      <c r="BA19" s="36"/>
      <c r="BB19" s="36"/>
      <c r="BC19" s="36"/>
      <c r="BD19" s="50"/>
    </row>
    <row r="20" spans="1:57" ht="14.4" customHeight="1">
      <c r="A20" s="37">
        <f>IF(B20="","",COUNTA($B$8:$B20))</f>
        <v>13</v>
      </c>
      <c r="B20" s="35" t="s">
        <v>1560</v>
      </c>
      <c r="C20" s="34"/>
      <c r="D20" s="34"/>
      <c r="E20" s="34"/>
      <c r="F20" s="34"/>
      <c r="G20" s="34"/>
      <c r="H20" s="34"/>
      <c r="I20" s="35"/>
      <c r="J20" s="27"/>
      <c r="K20" s="27"/>
      <c r="L20" s="27"/>
      <c r="M20" s="27"/>
      <c r="N20" s="27"/>
      <c r="O20" s="27"/>
      <c r="P20" s="27"/>
      <c r="Q20" s="27"/>
      <c r="R20" s="35" t="s">
        <v>1560</v>
      </c>
      <c r="S20" s="34"/>
      <c r="T20" s="34"/>
      <c r="U20" s="34"/>
      <c r="V20" s="34"/>
      <c r="W20" s="34"/>
      <c r="X20" s="34"/>
      <c r="Y20" s="589" t="s">
        <v>1516</v>
      </c>
      <c r="Z20" s="636"/>
      <c r="AA20" s="591" t="s">
        <v>1517</v>
      </c>
      <c r="AB20" s="592"/>
      <c r="AC20" s="593"/>
      <c r="AD20" s="53">
        <v>7</v>
      </c>
      <c r="AE20" s="25">
        <v>1</v>
      </c>
      <c r="AF20" s="25"/>
      <c r="AG20" s="25"/>
      <c r="AH20" s="25"/>
      <c r="AI20" s="25"/>
      <c r="AJ20" s="25"/>
      <c r="AK20" s="25"/>
      <c r="AL20" s="25"/>
      <c r="AM20" s="25"/>
      <c r="AN20" s="25"/>
      <c r="AO20" s="25"/>
      <c r="AP20" s="25"/>
      <c r="AQ20" s="25"/>
      <c r="AR20" s="25"/>
      <c r="AS20" s="35"/>
      <c r="AT20" s="36"/>
      <c r="AU20" s="36"/>
      <c r="AV20" s="36"/>
      <c r="AW20" s="36"/>
      <c r="AX20" s="36"/>
      <c r="AY20" s="36"/>
      <c r="AZ20" s="36"/>
      <c r="BA20" s="36"/>
      <c r="BB20" s="36"/>
      <c r="BC20" s="36"/>
      <c r="BD20" s="50"/>
    </row>
    <row r="21" spans="1:57" ht="14.4" customHeight="1">
      <c r="A21" s="37">
        <f>IF(B21="","",COUNTA($B$8:$B21))</f>
        <v>14</v>
      </c>
      <c r="B21" s="35" t="s">
        <v>1561</v>
      </c>
      <c r="C21" s="34"/>
      <c r="D21" s="34"/>
      <c r="E21" s="34"/>
      <c r="F21" s="34"/>
      <c r="G21" s="34"/>
      <c r="H21" s="34"/>
      <c r="I21" s="35"/>
      <c r="J21" s="27"/>
      <c r="K21" s="27"/>
      <c r="L21" s="27"/>
      <c r="M21" s="27"/>
      <c r="N21" s="27"/>
      <c r="O21" s="27"/>
      <c r="P21" s="27"/>
      <c r="Q21" s="27"/>
      <c r="R21" s="35" t="s">
        <v>1561</v>
      </c>
      <c r="S21" s="34"/>
      <c r="T21" s="34"/>
      <c r="U21" s="34"/>
      <c r="V21" s="34"/>
      <c r="W21" s="34"/>
      <c r="X21" s="34"/>
      <c r="Y21" s="589" t="s">
        <v>1516</v>
      </c>
      <c r="Z21" s="636"/>
      <c r="AA21" s="591" t="s">
        <v>1517</v>
      </c>
      <c r="AB21" s="592"/>
      <c r="AC21" s="593"/>
      <c r="AD21" s="53">
        <v>7</v>
      </c>
      <c r="AE21" s="25">
        <v>1</v>
      </c>
      <c r="AF21" s="25"/>
      <c r="AG21" s="25"/>
      <c r="AH21" s="25"/>
      <c r="AI21" s="25"/>
      <c r="AJ21" s="25"/>
      <c r="AK21" s="25"/>
      <c r="AL21" s="25"/>
      <c r="AM21" s="25"/>
      <c r="AN21" s="25"/>
      <c r="AO21" s="25"/>
      <c r="AP21" s="25"/>
      <c r="AQ21" s="25"/>
      <c r="AR21" s="25"/>
      <c r="AS21" s="35" t="s">
        <v>1191</v>
      </c>
      <c r="AT21" s="36"/>
      <c r="AU21" s="36"/>
      <c r="AV21" s="36"/>
      <c r="AW21" s="36"/>
      <c r="AX21" s="36"/>
      <c r="AY21" s="36"/>
      <c r="AZ21" s="36"/>
      <c r="BA21" s="36"/>
      <c r="BB21" s="36"/>
      <c r="BC21" s="36"/>
      <c r="BD21" s="50"/>
    </row>
    <row r="22" spans="1:57" ht="14.4" customHeight="1">
      <c r="A22" s="37">
        <f>IF(B22="","",COUNTA($B$8:$B22))</f>
        <v>15</v>
      </c>
      <c r="B22" s="35" t="s">
        <v>1562</v>
      </c>
      <c r="C22" s="34"/>
      <c r="D22" s="34"/>
      <c r="E22" s="34"/>
      <c r="F22" s="34"/>
      <c r="G22" s="34"/>
      <c r="H22" s="34"/>
      <c r="I22" s="35"/>
      <c r="J22" s="27"/>
      <c r="K22" s="27"/>
      <c r="L22" s="27"/>
      <c r="M22" s="27"/>
      <c r="N22" s="27"/>
      <c r="O22" s="27"/>
      <c r="P22" s="27"/>
      <c r="Q22" s="27"/>
      <c r="R22" s="35" t="s">
        <v>1562</v>
      </c>
      <c r="S22" s="34"/>
      <c r="T22" s="34"/>
      <c r="U22" s="34"/>
      <c r="V22" s="34"/>
      <c r="W22" s="34"/>
      <c r="X22" s="34"/>
      <c r="Y22" s="589" t="s">
        <v>1516</v>
      </c>
      <c r="Z22" s="636"/>
      <c r="AA22" s="591" t="s">
        <v>1517</v>
      </c>
      <c r="AB22" s="592"/>
      <c r="AC22" s="593"/>
      <c r="AD22" s="53">
        <v>7</v>
      </c>
      <c r="AE22" s="25">
        <v>1</v>
      </c>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7" ht="14.4" customHeight="1">
      <c r="A23" s="37">
        <f>IF(B23="","",COUNTA($B$8:$B23))</f>
        <v>16</v>
      </c>
      <c r="B23" s="35" t="s">
        <v>1563</v>
      </c>
      <c r="C23" s="34"/>
      <c r="D23" s="34"/>
      <c r="E23" s="34"/>
      <c r="F23" s="34"/>
      <c r="G23" s="34"/>
      <c r="H23" s="34"/>
      <c r="I23" s="35"/>
      <c r="J23" s="27"/>
      <c r="K23" s="27"/>
      <c r="L23" s="27"/>
      <c r="M23" s="27"/>
      <c r="N23" s="27"/>
      <c r="O23" s="27"/>
      <c r="P23" s="27"/>
      <c r="Q23" s="27"/>
      <c r="R23" s="35" t="s">
        <v>1563</v>
      </c>
      <c r="S23" s="34"/>
      <c r="T23" s="34"/>
      <c r="U23" s="34"/>
      <c r="V23" s="34"/>
      <c r="W23" s="34"/>
      <c r="X23" s="34"/>
      <c r="Y23" s="589" t="s">
        <v>1516</v>
      </c>
      <c r="Z23" s="636"/>
      <c r="AA23" s="591" t="s">
        <v>1517</v>
      </c>
      <c r="AB23" s="592"/>
      <c r="AC23" s="593"/>
      <c r="AD23" s="53">
        <v>7</v>
      </c>
      <c r="AE23" s="25">
        <v>1</v>
      </c>
      <c r="AF23" s="25"/>
      <c r="AG23" s="25"/>
      <c r="AH23" s="25"/>
      <c r="AI23" s="25"/>
      <c r="AJ23" s="25"/>
      <c r="AK23" s="25"/>
      <c r="AL23" s="25"/>
      <c r="AM23" s="25"/>
      <c r="AN23" s="25"/>
      <c r="AO23" s="25"/>
      <c r="AP23" s="25"/>
      <c r="AQ23" s="25"/>
      <c r="AR23" s="25"/>
      <c r="AS23" s="35" t="s">
        <v>1191</v>
      </c>
      <c r="AT23" s="36"/>
      <c r="AU23" s="36"/>
      <c r="AV23" s="36"/>
      <c r="AW23" s="36"/>
      <c r="AX23" s="36"/>
      <c r="AY23" s="36"/>
      <c r="AZ23" s="36"/>
      <c r="BA23" s="36"/>
      <c r="BB23" s="36"/>
      <c r="BC23" s="36"/>
      <c r="BD23" s="50"/>
    </row>
    <row r="24" spans="1:57" ht="14.4" customHeight="1">
      <c r="A24" s="37">
        <f>IF(B24="","",COUNTA($B$8:$B24))</f>
        <v>17</v>
      </c>
      <c r="B24" s="35" t="s">
        <v>1564</v>
      </c>
      <c r="C24" s="34"/>
      <c r="D24" s="34"/>
      <c r="E24" s="34"/>
      <c r="F24" s="34"/>
      <c r="G24" s="34"/>
      <c r="H24" s="34"/>
      <c r="I24" s="35"/>
      <c r="J24" s="27"/>
      <c r="K24" s="27"/>
      <c r="L24" s="27"/>
      <c r="M24" s="27"/>
      <c r="N24" s="27"/>
      <c r="O24" s="27"/>
      <c r="P24" s="27"/>
      <c r="Q24" s="27"/>
      <c r="R24" s="35" t="s">
        <v>1564</v>
      </c>
      <c r="S24" s="34"/>
      <c r="T24" s="34"/>
      <c r="U24" s="34"/>
      <c r="V24" s="34"/>
      <c r="W24" s="34"/>
      <c r="X24" s="34"/>
      <c r="Y24" s="589" t="s">
        <v>1516</v>
      </c>
      <c r="Z24" s="636"/>
      <c r="AA24" s="591" t="s">
        <v>1517</v>
      </c>
      <c r="AB24" s="592"/>
      <c r="AC24" s="593"/>
      <c r="AD24" s="53">
        <v>7</v>
      </c>
      <c r="AE24" s="25">
        <v>1</v>
      </c>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7" ht="14.4" customHeight="1">
      <c r="A25" s="251">
        <f>IF(B25="","",COUNTA($B$8:$B25))</f>
        <v>18</v>
      </c>
      <c r="B25" s="219" t="s">
        <v>1783</v>
      </c>
      <c r="C25" s="55"/>
      <c r="D25" s="55"/>
      <c r="E25" s="55"/>
      <c r="F25" s="55"/>
      <c r="G25" s="55"/>
      <c r="H25" s="55"/>
      <c r="I25" s="221" t="s">
        <v>1780</v>
      </c>
      <c r="J25" s="56"/>
      <c r="K25" s="56"/>
      <c r="L25" s="56"/>
      <c r="M25" s="56"/>
      <c r="N25" s="56"/>
      <c r="O25" s="56"/>
      <c r="P25" s="56"/>
      <c r="Q25" s="56"/>
      <c r="R25" s="219" t="s">
        <v>1782</v>
      </c>
      <c r="S25" s="55"/>
      <c r="T25" s="55"/>
      <c r="U25" s="55"/>
      <c r="V25" s="55"/>
      <c r="W25" s="55"/>
      <c r="X25" s="55"/>
      <c r="Y25" s="677" t="s">
        <v>141</v>
      </c>
      <c r="Z25" s="678"/>
      <c r="AA25" s="652" t="s">
        <v>1285</v>
      </c>
      <c r="AB25" s="653"/>
      <c r="AC25" s="654"/>
      <c r="AD25" s="320">
        <v>1</v>
      </c>
      <c r="AE25" s="58"/>
      <c r="AF25" s="58"/>
      <c r="AG25" s="58"/>
      <c r="AH25" s="58"/>
      <c r="AI25" s="58"/>
      <c r="AJ25" s="58"/>
      <c r="AK25" s="58"/>
      <c r="AL25" s="58"/>
      <c r="AM25" s="58"/>
      <c r="AN25" s="58"/>
      <c r="AO25" s="58"/>
      <c r="AP25" s="58"/>
      <c r="AQ25" s="58"/>
      <c r="AR25" s="58"/>
      <c r="AS25" s="321" t="s">
        <v>1784</v>
      </c>
      <c r="AT25" s="223"/>
      <c r="AU25" s="223"/>
      <c r="AV25" s="223"/>
      <c r="AW25" s="223"/>
      <c r="AX25" s="223"/>
      <c r="AY25" s="223"/>
      <c r="AZ25" s="223"/>
      <c r="BA25" s="223"/>
      <c r="BB25" s="223"/>
      <c r="BC25" s="223"/>
      <c r="BD25" s="224"/>
      <c r="BE25" s="16" t="s">
        <v>1785</v>
      </c>
    </row>
    <row r="26" spans="1:57" ht="14.4" customHeight="1">
      <c r="A26" s="37">
        <f>IF(B26="","",COUNTA($B$8:$B26))</f>
        <v>19</v>
      </c>
      <c r="B26" s="17" t="s">
        <v>1302</v>
      </c>
      <c r="C26" s="34"/>
      <c r="D26" s="34"/>
      <c r="E26" s="34"/>
      <c r="F26" s="34"/>
      <c r="G26" s="34"/>
      <c r="H26" s="34"/>
      <c r="I26" s="19" t="s">
        <v>624</v>
      </c>
      <c r="J26" s="27"/>
      <c r="K26" s="27"/>
      <c r="L26" s="27"/>
      <c r="M26" s="27"/>
      <c r="N26" s="27"/>
      <c r="O26" s="27"/>
      <c r="P26" s="27"/>
      <c r="Q26" s="27"/>
      <c r="R26" s="17" t="s">
        <v>1704</v>
      </c>
      <c r="S26" s="34"/>
      <c r="T26" s="34"/>
      <c r="U26" s="34"/>
      <c r="V26" s="34"/>
      <c r="W26" s="34"/>
      <c r="X26" s="34"/>
      <c r="Y26" s="589" t="s">
        <v>1504</v>
      </c>
      <c r="Z26" s="590"/>
      <c r="AA26" s="591" t="s">
        <v>1505</v>
      </c>
      <c r="AB26" s="592"/>
      <c r="AC26" s="593"/>
      <c r="AD26" s="23">
        <v>10</v>
      </c>
      <c r="AE26" s="25"/>
      <c r="AF26" s="25"/>
      <c r="AG26" s="25"/>
      <c r="AH26" s="25"/>
      <c r="AI26" s="25"/>
      <c r="AJ26" s="25"/>
      <c r="AK26" s="25"/>
      <c r="AL26" s="25"/>
      <c r="AM26" s="25"/>
      <c r="AN26" s="25"/>
      <c r="AO26" s="25"/>
      <c r="AP26" s="25"/>
      <c r="AQ26" s="25"/>
      <c r="AR26" s="25"/>
      <c r="AS26" s="26"/>
      <c r="AT26" s="51"/>
      <c r="AU26" s="51"/>
      <c r="AV26" s="51"/>
      <c r="AW26" s="51"/>
      <c r="AX26" s="51"/>
      <c r="AY26" s="51"/>
      <c r="AZ26" s="51"/>
      <c r="BA26" s="51"/>
      <c r="BB26" s="51"/>
      <c r="BC26" s="51"/>
      <c r="BD26" s="52"/>
    </row>
    <row r="27" spans="1:57" ht="14.4" customHeight="1">
      <c r="A27" s="37">
        <f>IF(B27="","",COUNTA($B$8:$B27))</f>
        <v>20</v>
      </c>
      <c r="B27" s="17" t="s">
        <v>1508</v>
      </c>
      <c r="C27" s="34"/>
      <c r="D27" s="34"/>
      <c r="E27" s="34"/>
      <c r="F27" s="34"/>
      <c r="G27" s="34"/>
      <c r="H27" s="34"/>
      <c r="I27" s="19" t="s">
        <v>1781</v>
      </c>
      <c r="J27" s="27"/>
      <c r="K27" s="27"/>
      <c r="L27" s="27"/>
      <c r="M27" s="27"/>
      <c r="N27" s="27"/>
      <c r="O27" s="27"/>
      <c r="P27" s="27"/>
      <c r="Q27" s="27"/>
      <c r="R27" s="17" t="s">
        <v>1508</v>
      </c>
      <c r="S27" s="34"/>
      <c r="T27" s="34"/>
      <c r="U27" s="34"/>
      <c r="V27" s="34"/>
      <c r="W27" s="34"/>
      <c r="X27" s="34"/>
      <c r="Y27" s="589" t="s">
        <v>1504</v>
      </c>
      <c r="Z27" s="590"/>
      <c r="AA27" s="591" t="s">
        <v>1505</v>
      </c>
      <c r="AB27" s="592"/>
      <c r="AC27" s="593"/>
      <c r="AD27" s="23">
        <v>10</v>
      </c>
      <c r="AE27" s="25"/>
      <c r="AF27" s="25"/>
      <c r="AG27" s="25"/>
      <c r="AH27" s="25"/>
      <c r="AI27" s="25"/>
      <c r="AJ27" s="25"/>
      <c r="AK27" s="25"/>
      <c r="AL27" s="25"/>
      <c r="AM27" s="25"/>
      <c r="AN27" s="25"/>
      <c r="AO27" s="25"/>
      <c r="AP27" s="25"/>
      <c r="AQ27" s="25"/>
      <c r="AR27" s="25"/>
      <c r="AS27" s="26"/>
      <c r="AT27" s="51"/>
      <c r="AU27" s="51"/>
      <c r="AV27" s="51"/>
      <c r="AW27" s="51"/>
      <c r="AX27" s="51"/>
      <c r="AY27" s="51"/>
      <c r="AZ27" s="51"/>
      <c r="BA27" s="51"/>
      <c r="BB27" s="51"/>
      <c r="BC27" s="51"/>
      <c r="BD27" s="52"/>
    </row>
    <row r="28" spans="1:57" ht="14.4" customHeight="1">
      <c r="A28" s="37">
        <f>IF(B28="","",COUNTA($B$8:$B28))</f>
        <v>21</v>
      </c>
      <c r="B28" s="17" t="s">
        <v>1509</v>
      </c>
      <c r="C28" s="34"/>
      <c r="D28" s="34"/>
      <c r="E28" s="34"/>
      <c r="F28" s="34"/>
      <c r="G28" s="34"/>
      <c r="H28" s="34"/>
      <c r="I28" s="19" t="s">
        <v>548</v>
      </c>
      <c r="J28" s="27"/>
      <c r="K28" s="27"/>
      <c r="L28" s="27"/>
      <c r="M28" s="27"/>
      <c r="N28" s="27"/>
      <c r="O28" s="27"/>
      <c r="P28" s="27"/>
      <c r="Q28" s="27"/>
      <c r="R28" s="17" t="s">
        <v>1509</v>
      </c>
      <c r="S28" s="34"/>
      <c r="T28" s="34"/>
      <c r="U28" s="34"/>
      <c r="V28" s="34"/>
      <c r="W28" s="34"/>
      <c r="X28" s="34"/>
      <c r="Y28" s="589" t="s">
        <v>1510</v>
      </c>
      <c r="Z28" s="590"/>
      <c r="AA28" s="591" t="s">
        <v>1511</v>
      </c>
      <c r="AB28" s="592"/>
      <c r="AC28" s="593"/>
      <c r="AD28" s="38"/>
      <c r="AE28" s="25"/>
      <c r="AF28" s="25"/>
      <c r="AG28" s="25"/>
      <c r="AH28" s="25"/>
      <c r="AI28" s="25"/>
      <c r="AJ28" s="25"/>
      <c r="AK28" s="25"/>
      <c r="AL28" s="25"/>
      <c r="AM28" s="25"/>
      <c r="AN28" s="25"/>
      <c r="AO28" s="25"/>
      <c r="AP28" s="25"/>
      <c r="AQ28" s="25"/>
      <c r="AR28" s="25"/>
      <c r="AS28" s="26"/>
      <c r="AT28" s="51"/>
      <c r="AU28" s="51"/>
      <c r="AV28" s="51"/>
      <c r="AW28" s="51"/>
      <c r="AX28" s="51"/>
      <c r="AY28" s="51"/>
      <c r="AZ28" s="51"/>
      <c r="BA28" s="51"/>
      <c r="BB28" s="51"/>
      <c r="BC28" s="51"/>
      <c r="BD28" s="52"/>
    </row>
    <row r="29" spans="1:57" ht="14.4" customHeight="1">
      <c r="A29" s="37">
        <f>IF(B29="","",COUNTA($B$8:$B29))</f>
        <v>22</v>
      </c>
      <c r="B29" s="17" t="s">
        <v>1306</v>
      </c>
      <c r="C29" s="34"/>
      <c r="D29" s="34"/>
      <c r="E29" s="34"/>
      <c r="F29" s="34"/>
      <c r="G29" s="34"/>
      <c r="H29" s="34"/>
      <c r="I29" s="19" t="s">
        <v>626</v>
      </c>
      <c r="J29" s="27"/>
      <c r="K29" s="27"/>
      <c r="L29" s="27"/>
      <c r="M29" s="27"/>
      <c r="N29" s="27"/>
      <c r="O29" s="27"/>
      <c r="P29" s="27"/>
      <c r="Q29" s="27"/>
      <c r="R29" s="17" t="s">
        <v>1634</v>
      </c>
      <c r="S29" s="34"/>
      <c r="T29" s="34"/>
      <c r="U29" s="34"/>
      <c r="V29" s="34"/>
      <c r="W29" s="34"/>
      <c r="X29" s="34"/>
      <c r="Y29" s="589" t="s">
        <v>1504</v>
      </c>
      <c r="Z29" s="590"/>
      <c r="AA29" s="591" t="s">
        <v>1505</v>
      </c>
      <c r="AB29" s="592"/>
      <c r="AC29" s="593"/>
      <c r="AD29" s="23">
        <v>10</v>
      </c>
      <c r="AE29" s="25"/>
      <c r="AF29" s="25"/>
      <c r="AG29" s="25"/>
      <c r="AH29" s="25"/>
      <c r="AI29" s="25"/>
      <c r="AJ29" s="25"/>
      <c r="AK29" s="25"/>
      <c r="AL29" s="25"/>
      <c r="AM29" s="25"/>
      <c r="AN29" s="25"/>
      <c r="AO29" s="25"/>
      <c r="AP29" s="25"/>
      <c r="AQ29" s="25"/>
      <c r="AR29" s="25"/>
      <c r="AS29" s="26"/>
      <c r="AT29" s="51"/>
      <c r="AU29" s="51"/>
      <c r="AV29" s="51"/>
      <c r="AW29" s="51"/>
      <c r="AX29" s="51"/>
      <c r="AY29" s="51"/>
      <c r="AZ29" s="51"/>
      <c r="BA29" s="51"/>
      <c r="BB29" s="51"/>
      <c r="BC29" s="51"/>
      <c r="BD29" s="52"/>
    </row>
    <row r="30" spans="1:57" ht="14.4" customHeight="1">
      <c r="A30" s="37">
        <f>IF(B30="","",COUNTA($B$8:$B30))</f>
        <v>23</v>
      </c>
      <c r="B30" s="17" t="s">
        <v>1512</v>
      </c>
      <c r="C30" s="18"/>
      <c r="D30" s="18"/>
      <c r="E30" s="18"/>
      <c r="F30" s="18"/>
      <c r="G30" s="18"/>
      <c r="H30" s="18"/>
      <c r="I30" s="19" t="s">
        <v>390</v>
      </c>
      <c r="J30" s="20"/>
      <c r="K30" s="20"/>
      <c r="L30" s="20"/>
      <c r="M30" s="20"/>
      <c r="N30" s="20"/>
      <c r="O30" s="20"/>
      <c r="P30" s="20"/>
      <c r="Q30" s="20"/>
      <c r="R30" s="17" t="s">
        <v>1512</v>
      </c>
      <c r="S30" s="18"/>
      <c r="T30" s="18"/>
      <c r="U30" s="18"/>
      <c r="V30" s="18"/>
      <c r="W30" s="18"/>
      <c r="X30" s="18"/>
      <c r="Y30" s="589" t="s">
        <v>1504</v>
      </c>
      <c r="Z30" s="590"/>
      <c r="AA30" s="591" t="s">
        <v>1505</v>
      </c>
      <c r="AB30" s="592"/>
      <c r="AC30" s="593"/>
      <c r="AD30" s="38">
        <v>10</v>
      </c>
      <c r="AE30" s="30" t="s">
        <v>1585</v>
      </c>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7" ht="14.4" customHeight="1">
      <c r="A31" s="37">
        <f>IF(B31="","",COUNTA($B$8:$B31))</f>
        <v>24</v>
      </c>
      <c r="B31" s="17" t="s">
        <v>1513</v>
      </c>
      <c r="C31" s="18"/>
      <c r="D31" s="18"/>
      <c r="E31" s="18"/>
      <c r="F31" s="18"/>
      <c r="G31" s="18"/>
      <c r="H31" s="18"/>
      <c r="I31" s="19" t="s">
        <v>394</v>
      </c>
      <c r="J31" s="20"/>
      <c r="K31" s="20"/>
      <c r="L31" s="20"/>
      <c r="M31" s="20"/>
      <c r="N31" s="20"/>
      <c r="O31" s="20"/>
      <c r="P31" s="20"/>
      <c r="Q31" s="20"/>
      <c r="R31" s="17" t="s">
        <v>1513</v>
      </c>
      <c r="S31" s="18"/>
      <c r="T31" s="18"/>
      <c r="U31" s="18"/>
      <c r="V31" s="18"/>
      <c r="W31" s="18"/>
      <c r="X31" s="18"/>
      <c r="Y31" s="589" t="s">
        <v>1510</v>
      </c>
      <c r="Z31" s="590"/>
      <c r="AA31" s="591" t="s">
        <v>1511</v>
      </c>
      <c r="AB31" s="592"/>
      <c r="AC31" s="593"/>
      <c r="AD31" s="38"/>
      <c r="AE31" s="30" t="s">
        <v>1585</v>
      </c>
      <c r="AF31" s="30"/>
      <c r="AG31" s="30"/>
      <c r="AH31" s="30"/>
      <c r="AI31" s="30"/>
      <c r="AJ31" s="30"/>
      <c r="AK31" s="30"/>
      <c r="AL31" s="30"/>
      <c r="AM31" s="30"/>
      <c r="AN31" s="30"/>
      <c r="AO31" s="31"/>
      <c r="AP31" s="31"/>
      <c r="AQ31" s="31"/>
      <c r="AR31" s="31"/>
      <c r="AS31" s="32"/>
      <c r="AT31" s="33"/>
      <c r="AU31" s="51"/>
      <c r="AV31" s="51"/>
      <c r="AW31" s="51"/>
      <c r="AX31" s="51"/>
      <c r="AY31" s="51"/>
      <c r="AZ31" s="51"/>
      <c r="BA31" s="51"/>
      <c r="BB31" s="51"/>
      <c r="BC31" s="51"/>
      <c r="BD31" s="52"/>
    </row>
    <row r="32" spans="1:57" ht="14.4" customHeight="1">
      <c r="A32" s="37" t="str">
        <f>IF(B32="","",COUNTA($B$8:$B32))</f>
        <v/>
      </c>
      <c r="B32" s="17"/>
      <c r="C32" s="18"/>
      <c r="D32" s="18"/>
      <c r="E32" s="18"/>
      <c r="F32" s="18"/>
      <c r="G32" s="18"/>
      <c r="H32" s="18"/>
      <c r="I32" s="19"/>
      <c r="J32" s="20"/>
      <c r="K32" s="20"/>
      <c r="L32" s="20"/>
      <c r="M32" s="20"/>
      <c r="N32" s="20"/>
      <c r="O32" s="20"/>
      <c r="P32" s="20"/>
      <c r="Q32" s="20"/>
      <c r="R32" s="17"/>
      <c r="S32" s="18"/>
      <c r="T32" s="18"/>
      <c r="U32" s="18"/>
      <c r="V32" s="18"/>
      <c r="W32" s="18"/>
      <c r="X32" s="18"/>
      <c r="Y32" s="17"/>
      <c r="Z32" s="28"/>
      <c r="AA32" s="21"/>
      <c r="AB32" s="22"/>
      <c r="AC32" s="29"/>
      <c r="AD32" s="38"/>
      <c r="AE32" s="30"/>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4.4" customHeight="1">
      <c r="A33" s="37" t="str">
        <f>IF(B33="","",COUNTA($B$8:$B33))</f>
        <v/>
      </c>
      <c r="B33" s="17"/>
      <c r="C33" s="18"/>
      <c r="D33" s="18"/>
      <c r="E33" s="18"/>
      <c r="F33" s="18"/>
      <c r="G33" s="18"/>
      <c r="H33" s="18"/>
      <c r="I33" s="19"/>
      <c r="J33" s="20"/>
      <c r="K33" s="20"/>
      <c r="L33" s="20"/>
      <c r="M33" s="20"/>
      <c r="N33" s="20"/>
      <c r="O33" s="20"/>
      <c r="P33" s="20"/>
      <c r="Q33" s="20"/>
      <c r="R33" s="17"/>
      <c r="S33" s="18"/>
      <c r="T33" s="18"/>
      <c r="U33" s="18"/>
      <c r="V33" s="18"/>
      <c r="W33" s="18"/>
      <c r="X33" s="18"/>
      <c r="Y33" s="17"/>
      <c r="Z33" s="28"/>
      <c r="AA33" s="21"/>
      <c r="AB33" s="22"/>
      <c r="AC33" s="29"/>
      <c r="AD33" s="38"/>
      <c r="AE33" s="30"/>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4.4" customHeight="1">
      <c r="A34" s="37" t="str">
        <f>IF(B34="","",COUNTA($B$8:$B34))</f>
        <v/>
      </c>
      <c r="B34" s="17"/>
      <c r="C34" s="18"/>
      <c r="D34" s="18"/>
      <c r="E34" s="18"/>
      <c r="F34" s="18"/>
      <c r="G34" s="18"/>
      <c r="H34" s="18"/>
      <c r="I34" s="19"/>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 customHeight="1">
      <c r="A35" s="37" t="str">
        <f>IF(B35="","",COUNTA($B$8:$B35))</f>
        <v/>
      </c>
      <c r="B35" s="17"/>
      <c r="C35" s="18"/>
      <c r="D35" s="18"/>
      <c r="E35" s="18"/>
      <c r="F35" s="18"/>
      <c r="G35" s="18"/>
      <c r="H35" s="18"/>
      <c r="I35" s="19"/>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 customHeight="1">
      <c r="A36" s="37" t="str">
        <f>IF(B36="","",COUNTA($B$8:$B36))</f>
        <v/>
      </c>
      <c r="B36" s="17"/>
      <c r="C36" s="18"/>
      <c r="D36" s="18"/>
      <c r="E36" s="18"/>
      <c r="F36" s="18"/>
      <c r="G36" s="18"/>
      <c r="H36" s="18"/>
      <c r="I36" s="19"/>
      <c r="J36" s="20"/>
      <c r="K36" s="20"/>
      <c r="L36" s="20"/>
      <c r="M36" s="20"/>
      <c r="N36" s="20"/>
      <c r="O36" s="20"/>
      <c r="P36" s="20"/>
      <c r="Q36" s="20"/>
      <c r="R36" s="17"/>
      <c r="S36" s="18"/>
      <c r="T36" s="18"/>
      <c r="U36" s="18"/>
      <c r="V36" s="18"/>
      <c r="W36" s="18"/>
      <c r="X36" s="18"/>
      <c r="Y36" s="17"/>
      <c r="Z36" s="28"/>
      <c r="AA36" s="21"/>
      <c r="AB36" s="22"/>
      <c r="AC36" s="29"/>
      <c r="AD36" s="38"/>
      <c r="AE36" s="30"/>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4.4" customHeight="1">
      <c r="A37" s="37" t="str">
        <f>IF(B37="","",COUNTA($B$8:$B37))</f>
        <v/>
      </c>
      <c r="B37" s="17"/>
      <c r="C37" s="18"/>
      <c r="D37" s="18"/>
      <c r="E37" s="18"/>
      <c r="F37" s="18"/>
      <c r="G37" s="18"/>
      <c r="H37" s="18"/>
      <c r="I37" s="19"/>
      <c r="J37" s="20"/>
      <c r="K37" s="20"/>
      <c r="L37" s="20"/>
      <c r="M37" s="20"/>
      <c r="N37" s="20"/>
      <c r="O37" s="20"/>
      <c r="P37" s="20"/>
      <c r="Q37" s="20"/>
      <c r="R37" s="17"/>
      <c r="S37" s="18"/>
      <c r="T37" s="18"/>
      <c r="U37" s="18"/>
      <c r="V37" s="18"/>
      <c r="W37" s="18"/>
      <c r="X37" s="18"/>
      <c r="Y37" s="17"/>
      <c r="Z37" s="28"/>
      <c r="AA37" s="21"/>
      <c r="AB37" s="22"/>
      <c r="AC37" s="29"/>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4.4" customHeight="1">
      <c r="A38" s="37" t="str">
        <f>IF(B38="","",COUNTA($B$8:$B38))</f>
        <v/>
      </c>
      <c r="B38" s="17"/>
      <c r="C38" s="18"/>
      <c r="D38" s="18"/>
      <c r="E38" s="18"/>
      <c r="F38" s="18"/>
      <c r="G38" s="18"/>
      <c r="H38" s="18"/>
      <c r="I38" s="19"/>
      <c r="J38" s="20"/>
      <c r="K38" s="20"/>
      <c r="L38" s="20"/>
      <c r="M38" s="20"/>
      <c r="N38" s="20"/>
      <c r="O38" s="20"/>
      <c r="P38" s="20"/>
      <c r="Q38" s="20"/>
      <c r="R38" s="17"/>
      <c r="S38" s="18"/>
      <c r="T38" s="18"/>
      <c r="U38" s="18"/>
      <c r="V38" s="18"/>
      <c r="W38" s="18"/>
      <c r="X38" s="18"/>
      <c r="Y38" s="17"/>
      <c r="Z38" s="28"/>
      <c r="AA38" s="21"/>
      <c r="AB38" s="22"/>
      <c r="AC38" s="29"/>
      <c r="AD38" s="38"/>
      <c r="AE38" s="30"/>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4.4" customHeight="1">
      <c r="A39" s="37" t="str">
        <f>IF(B39="","",COUNTA($B$8:$B39))</f>
        <v/>
      </c>
      <c r="B39" s="17"/>
      <c r="C39" s="18"/>
      <c r="D39" s="18"/>
      <c r="E39" s="18"/>
      <c r="F39" s="18"/>
      <c r="G39" s="18"/>
      <c r="H39" s="18"/>
      <c r="I39" s="19"/>
      <c r="J39" s="20"/>
      <c r="K39" s="20"/>
      <c r="L39" s="20"/>
      <c r="M39" s="20"/>
      <c r="N39" s="20"/>
      <c r="O39" s="20"/>
      <c r="P39" s="20"/>
      <c r="Q39" s="20"/>
      <c r="R39" s="17"/>
      <c r="S39" s="18"/>
      <c r="T39" s="18"/>
      <c r="U39" s="18"/>
      <c r="V39" s="18"/>
      <c r="W39" s="18"/>
      <c r="X39" s="18"/>
      <c r="Y39" s="17"/>
      <c r="Z39" s="28"/>
      <c r="AA39" s="21"/>
      <c r="AB39" s="22"/>
      <c r="AC39" s="29"/>
      <c r="AD39" s="38"/>
      <c r="AE39" s="30"/>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4.4" customHeight="1">
      <c r="A40" s="37" t="str">
        <f>IF(B40="","",COUNTA($B$8:$B40))</f>
        <v/>
      </c>
      <c r="B40" s="17"/>
      <c r="C40" s="18"/>
      <c r="D40" s="18"/>
      <c r="E40" s="18"/>
      <c r="F40" s="18"/>
      <c r="G40" s="18"/>
      <c r="H40" s="18"/>
      <c r="I40" s="19"/>
      <c r="J40" s="20"/>
      <c r="K40" s="20"/>
      <c r="L40" s="20"/>
      <c r="M40" s="20"/>
      <c r="N40" s="20"/>
      <c r="O40" s="20"/>
      <c r="P40" s="20"/>
      <c r="Q40" s="20"/>
      <c r="R40" s="17"/>
      <c r="S40" s="18"/>
      <c r="T40" s="18"/>
      <c r="U40" s="18"/>
      <c r="V40" s="18"/>
      <c r="W40" s="18"/>
      <c r="X40" s="18"/>
      <c r="Y40" s="17"/>
      <c r="Z40" s="28"/>
      <c r="AA40" s="21"/>
      <c r="AB40" s="22"/>
      <c r="AC40" s="29"/>
      <c r="AD40" s="38"/>
      <c r="AE40" s="30"/>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4.4" customHeight="1">
      <c r="A41" s="37" t="str">
        <f>IF(B41="","",COUNTA($B$8:$B41))</f>
        <v/>
      </c>
      <c r="B41" s="17"/>
      <c r="C41" s="18"/>
      <c r="D41" s="18"/>
      <c r="E41" s="18"/>
      <c r="F41" s="18"/>
      <c r="G41" s="18"/>
      <c r="H41" s="18"/>
      <c r="I41" s="19"/>
      <c r="J41" s="20"/>
      <c r="K41" s="20"/>
      <c r="L41" s="20"/>
      <c r="M41" s="20"/>
      <c r="N41" s="20"/>
      <c r="O41" s="20"/>
      <c r="P41" s="20"/>
      <c r="Q41" s="20"/>
      <c r="R41" s="17"/>
      <c r="S41" s="18"/>
      <c r="T41" s="18"/>
      <c r="U41" s="18"/>
      <c r="V41" s="18"/>
      <c r="W41" s="18"/>
      <c r="X41" s="18"/>
      <c r="Y41" s="17"/>
      <c r="Z41" s="28"/>
      <c r="AA41" s="21"/>
      <c r="AB41" s="22"/>
      <c r="AC41" s="29"/>
      <c r="AD41" s="38"/>
      <c r="AE41" s="30"/>
      <c r="AF41" s="30"/>
      <c r="AG41" s="30"/>
      <c r="AH41" s="30"/>
      <c r="AI41" s="30"/>
      <c r="AJ41" s="30"/>
      <c r="AK41" s="30"/>
      <c r="AL41" s="30"/>
      <c r="AM41" s="30"/>
      <c r="AN41" s="30"/>
      <c r="AO41" s="31"/>
      <c r="AP41" s="31"/>
      <c r="AQ41" s="31"/>
      <c r="AR41" s="31"/>
      <c r="AS41" s="32"/>
      <c r="AT41" s="33"/>
      <c r="AU41" s="51"/>
      <c r="AV41" s="51"/>
      <c r="AW41" s="51"/>
      <c r="AX41" s="51"/>
      <c r="AY41" s="51"/>
      <c r="AZ41" s="51"/>
      <c r="BA41" s="51"/>
      <c r="BB41" s="51"/>
      <c r="BC41" s="51"/>
      <c r="BD41" s="52"/>
    </row>
    <row r="42" spans="1:56" ht="14.4" customHeight="1">
      <c r="A42" s="37" t="str">
        <f>IF(B42="","",COUNTA($B$8:$B42))</f>
        <v/>
      </c>
      <c r="B42" s="17"/>
      <c r="C42" s="18"/>
      <c r="D42" s="18"/>
      <c r="E42" s="18"/>
      <c r="F42" s="18"/>
      <c r="G42" s="18"/>
      <c r="H42" s="18"/>
      <c r="I42" s="19"/>
      <c r="J42" s="20"/>
      <c r="K42" s="20"/>
      <c r="L42" s="20"/>
      <c r="M42" s="20"/>
      <c r="N42" s="20"/>
      <c r="O42" s="20"/>
      <c r="P42" s="20"/>
      <c r="Q42" s="20"/>
      <c r="R42" s="17"/>
      <c r="S42" s="18"/>
      <c r="T42" s="18"/>
      <c r="U42" s="18"/>
      <c r="V42" s="18"/>
      <c r="W42" s="18"/>
      <c r="X42" s="18"/>
      <c r="Y42" s="17"/>
      <c r="Z42" s="28"/>
      <c r="AA42" s="21"/>
      <c r="AB42" s="22"/>
      <c r="AC42" s="29"/>
      <c r="AD42" s="38"/>
      <c r="AE42" s="30"/>
      <c r="AF42" s="30"/>
      <c r="AG42" s="30"/>
      <c r="AH42" s="30"/>
      <c r="AI42" s="30"/>
      <c r="AJ42" s="30"/>
      <c r="AK42" s="30"/>
      <c r="AL42" s="30"/>
      <c r="AM42" s="30"/>
      <c r="AN42" s="30"/>
      <c r="AO42" s="31"/>
      <c r="AP42" s="31"/>
      <c r="AQ42" s="31"/>
      <c r="AR42" s="31"/>
      <c r="AS42" s="32"/>
      <c r="AT42" s="33"/>
      <c r="AU42" s="51"/>
      <c r="AV42" s="51"/>
      <c r="AW42" s="51"/>
      <c r="AX42" s="51"/>
      <c r="AY42" s="51"/>
      <c r="AZ42" s="51"/>
      <c r="BA42" s="51"/>
      <c r="BB42" s="51"/>
      <c r="BC42" s="51"/>
      <c r="BD42" s="52"/>
    </row>
    <row r="43" spans="1:56" ht="14.4" customHeight="1">
      <c r="A43" s="37" t="str">
        <f>IF(B43="","",COUNTA($B$8:$B43))</f>
        <v/>
      </c>
      <c r="B43" s="26"/>
      <c r="C43" s="34"/>
      <c r="D43" s="34"/>
      <c r="E43" s="34"/>
      <c r="F43" s="34"/>
      <c r="G43" s="34"/>
      <c r="H43" s="34"/>
      <c r="I43" s="19"/>
      <c r="J43" s="27"/>
      <c r="K43" s="27"/>
      <c r="L43" s="27"/>
      <c r="M43" s="27"/>
      <c r="N43" s="27"/>
      <c r="O43" s="27"/>
      <c r="P43" s="27"/>
      <c r="Q43" s="27"/>
      <c r="R43" s="26"/>
      <c r="S43" s="34"/>
      <c r="T43" s="34"/>
      <c r="U43" s="34"/>
      <c r="V43" s="34"/>
      <c r="W43" s="34"/>
      <c r="X43" s="34"/>
      <c r="Y43" s="589"/>
      <c r="Z43" s="590"/>
      <c r="AA43" s="591"/>
      <c r="AB43" s="592"/>
      <c r="AC43" s="593"/>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 customHeight="1">
      <c r="A44" s="37" t="str">
        <f>IF(B44="","",COUNTA($B$8:$B44))</f>
        <v/>
      </c>
      <c r="B44" s="26"/>
      <c r="C44" s="34"/>
      <c r="D44" s="34"/>
      <c r="E44" s="34"/>
      <c r="F44" s="34"/>
      <c r="G44" s="34"/>
      <c r="H44" s="34"/>
      <c r="I44" s="19"/>
      <c r="J44" s="27"/>
      <c r="K44" s="27"/>
      <c r="L44" s="27"/>
      <c r="M44" s="27"/>
      <c r="N44" s="27"/>
      <c r="O44" s="27"/>
      <c r="P44" s="27"/>
      <c r="Q44" s="27"/>
      <c r="R44" s="26"/>
      <c r="S44" s="34"/>
      <c r="T44" s="34"/>
      <c r="U44" s="34"/>
      <c r="V44" s="34"/>
      <c r="W44" s="34"/>
      <c r="X44" s="34"/>
      <c r="Y44" s="589"/>
      <c r="Z44" s="590"/>
      <c r="AA44" s="591"/>
      <c r="AB44" s="592"/>
      <c r="AC44" s="593"/>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 customHeight="1">
      <c r="A45" s="37" t="str">
        <f>IF(B45="","",COUNTA($B$8:$B45))</f>
        <v/>
      </c>
      <c r="B45" s="26"/>
      <c r="C45" s="34"/>
      <c r="D45" s="34"/>
      <c r="E45" s="34"/>
      <c r="F45" s="34"/>
      <c r="G45" s="34"/>
      <c r="H45" s="34"/>
      <c r="I45" s="19"/>
      <c r="J45" s="27"/>
      <c r="K45" s="27"/>
      <c r="L45" s="27"/>
      <c r="M45" s="27"/>
      <c r="N45" s="27"/>
      <c r="O45" s="27"/>
      <c r="P45" s="27"/>
      <c r="Q45" s="27"/>
      <c r="R45" s="26"/>
      <c r="S45" s="34"/>
      <c r="T45" s="34"/>
      <c r="U45" s="34"/>
      <c r="V45" s="34"/>
      <c r="W45" s="34"/>
      <c r="X45" s="34"/>
      <c r="Y45" s="589"/>
      <c r="Z45" s="590"/>
      <c r="AA45" s="591"/>
      <c r="AB45" s="592"/>
      <c r="AC45" s="593"/>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 customHeight="1">
      <c r="A46" s="37" t="str">
        <f>IF(B46="","",COUNTA($B$8:$B46))</f>
        <v/>
      </c>
      <c r="B46" s="26"/>
      <c r="C46" s="34"/>
      <c r="D46" s="34"/>
      <c r="E46" s="34"/>
      <c r="F46" s="34"/>
      <c r="G46" s="34"/>
      <c r="H46" s="34"/>
      <c r="I46" s="19"/>
      <c r="J46" s="27"/>
      <c r="K46" s="27"/>
      <c r="L46" s="27"/>
      <c r="M46" s="27"/>
      <c r="N46" s="27"/>
      <c r="O46" s="27"/>
      <c r="P46" s="27"/>
      <c r="Q46" s="27"/>
      <c r="R46" s="26"/>
      <c r="S46" s="34"/>
      <c r="T46" s="34"/>
      <c r="U46" s="34"/>
      <c r="V46" s="34"/>
      <c r="W46" s="34"/>
      <c r="X46" s="34"/>
      <c r="Y46" s="589"/>
      <c r="Z46" s="590"/>
      <c r="AA46" s="591"/>
      <c r="AB46" s="592"/>
      <c r="AC46" s="593"/>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88">
    <mergeCell ref="Y19:Z19"/>
    <mergeCell ref="AA19:AC19"/>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AZ4:BD4"/>
    <mergeCell ref="A6:A7"/>
    <mergeCell ref="B6:H7"/>
    <mergeCell ref="I6:Q7"/>
    <mergeCell ref="R6:X7"/>
    <mergeCell ref="Y6:Z7"/>
    <mergeCell ref="AA6:AC7"/>
    <mergeCell ref="AD6:AD7"/>
    <mergeCell ref="AE6:AE7"/>
    <mergeCell ref="AF6:AF7"/>
    <mergeCell ref="A1:H4"/>
    <mergeCell ref="AU4:AY4"/>
    <mergeCell ref="AG6:AG7"/>
    <mergeCell ref="AH6:AH7"/>
    <mergeCell ref="AI6:AR6"/>
    <mergeCell ref="AS6:BD7"/>
    <mergeCell ref="Y8:Z8"/>
    <mergeCell ref="AA8:AC8"/>
    <mergeCell ref="Y9:Z9"/>
    <mergeCell ref="AA9:AC9"/>
    <mergeCell ref="Y11:Z11"/>
    <mergeCell ref="AA11:AC11"/>
    <mergeCell ref="Y12:Z12"/>
    <mergeCell ref="AA12:AC12"/>
    <mergeCell ref="Y10:Z10"/>
    <mergeCell ref="AA10:AC10"/>
    <mergeCell ref="Y13:Z13"/>
    <mergeCell ref="AA13:AC13"/>
    <mergeCell ref="Y14:Z14"/>
    <mergeCell ref="AA14:AC14"/>
    <mergeCell ref="Y17:Z17"/>
    <mergeCell ref="AA17:AC17"/>
    <mergeCell ref="Y18:Z18"/>
    <mergeCell ref="AA18:AC18"/>
    <mergeCell ref="Y15:Z15"/>
    <mergeCell ref="AA15:AC15"/>
    <mergeCell ref="Y16:Z16"/>
    <mergeCell ref="AA16:AC16"/>
    <mergeCell ref="Y26:Z26"/>
    <mergeCell ref="AA26:AC26"/>
    <mergeCell ref="Y20:Z20"/>
    <mergeCell ref="AA20:AC20"/>
    <mergeCell ref="Y21:Z21"/>
    <mergeCell ref="AA21:AC21"/>
    <mergeCell ref="Y22:Z22"/>
    <mergeCell ref="AA22:AC22"/>
    <mergeCell ref="Y23:Z23"/>
    <mergeCell ref="AA23:AC23"/>
    <mergeCell ref="Y24:Z24"/>
    <mergeCell ref="AA24:AC24"/>
    <mergeCell ref="Y25:Z25"/>
    <mergeCell ref="AA25:AC25"/>
    <mergeCell ref="Y27:Z27"/>
    <mergeCell ref="AA27:AC27"/>
    <mergeCell ref="Y28:Z28"/>
    <mergeCell ref="AA28:AC28"/>
    <mergeCell ref="Y29:Z29"/>
    <mergeCell ref="AA29:AC29"/>
    <mergeCell ref="Y30:Z30"/>
    <mergeCell ref="AA30:AC30"/>
    <mergeCell ref="Y31:Z31"/>
    <mergeCell ref="AA31:AC31"/>
    <mergeCell ref="Y43:Z43"/>
    <mergeCell ref="AA43:AC43"/>
    <mergeCell ref="Y44:Z44"/>
    <mergeCell ref="AA44:AC44"/>
    <mergeCell ref="Y45:Z45"/>
    <mergeCell ref="AA45:AC45"/>
    <mergeCell ref="Y46:Z46"/>
    <mergeCell ref="AA46:AC46"/>
  </mergeCells>
  <phoneticPr fontId="12"/>
  <dataValidations count="3">
    <dataValidation imeMode="hiragana" allowBlank="1" showInputMessage="1" showErrorMessage="1" sqref="JG65518:JR65520 TC65518:TN65520 ACY65518:ADJ65520 AMU65518:ANF65520 AWQ65518:AXB65520 BGM65518:BGX65520 BQI65518:BQT65520 CAE65518:CAP65520 CKA65518:CKL65520 CTW65518:CUH65520 DDS65518:DED65520 DNO65518:DNZ65520 DXK65518:DXV65520 EHG65518:EHR65520 ERC65518:ERN65520 FAY65518:FBJ65520 FKU65518:FLF65520 FUQ65518:FVB65520 GEM65518:GEX65520 GOI65518:GOT65520 GYE65518:GYP65520 HIA65518:HIL65520 HRW65518:HSH65520 IBS65518:ICD65520 ILO65518:ILZ65520 IVK65518:IVV65520 JFG65518:JFR65520 JPC65518:JPN65520 JYY65518:JZJ65520 KIU65518:KJF65520 KSQ65518:KTB65520 LCM65518:LCX65520 LMI65518:LMT65520 LWE65518:LWP65520 MGA65518:MGL65520 MPW65518:MQH65520 MZS65518:NAD65520 NJO65518:NJZ65520 NTK65518:NTV65520 ODG65518:ODR65520 ONC65518:ONN65520 OWY65518:OXJ65520 PGU65518:PHF65520 PQQ65518:PRB65520 QAM65518:QAX65520 QKI65518:QKT65520 QUE65518:QUP65520 REA65518:REL65520 RNW65518:ROH65520 RXS65518:RYD65520 SHO65518:SHZ65520 SRK65518:SRV65520 TBG65518:TBR65520 TLC65518:TLN65520 TUY65518:TVJ65520 UEU65518:UFF65520 UOQ65518:UPB65520 UYM65518:UYX65520 VII65518:VIT65520 VSE65518:VSP65520 WCA65518:WCL65520 WLW65518:WMH65520 WVS65518:WWD65520 JG131054:JR131056 TC131054:TN131056 ACY131054:ADJ131056 AMU131054:ANF131056 AWQ131054:AXB131056 BGM131054:BGX131056 BQI131054:BQT131056 CAE131054:CAP131056 CKA131054:CKL131056 CTW131054:CUH131056 DDS131054:DED131056 DNO131054:DNZ131056 DXK131054:DXV131056 EHG131054:EHR131056 ERC131054:ERN131056 FAY131054:FBJ131056 FKU131054:FLF131056 FUQ131054:FVB131056 GEM131054:GEX131056 GOI131054:GOT131056 GYE131054:GYP131056 HIA131054:HIL131056 HRW131054:HSH131056 IBS131054:ICD131056 ILO131054:ILZ131056 IVK131054:IVV131056 JFG131054:JFR131056 JPC131054:JPN131056 JYY131054:JZJ131056 KIU131054:KJF131056 KSQ131054:KTB131056 LCM131054:LCX131056 LMI131054:LMT131056 LWE131054:LWP131056 MGA131054:MGL131056 MPW131054:MQH131056 MZS131054:NAD131056 NJO131054:NJZ131056 NTK131054:NTV131056 ODG131054:ODR131056 ONC131054:ONN131056 OWY131054:OXJ131056 PGU131054:PHF131056 PQQ131054:PRB131056 QAM131054:QAX131056 QKI131054:QKT131056 QUE131054:QUP131056 REA131054:REL131056 RNW131054:ROH131056 RXS131054:RYD131056 SHO131054:SHZ131056 SRK131054:SRV131056 TBG131054:TBR131056 TLC131054:TLN131056 TUY131054:TVJ131056 UEU131054:UFF131056 UOQ131054:UPB131056 UYM131054:UYX131056 VII131054:VIT131056 VSE131054:VSP131056 WCA131054:WCL131056 WLW131054:WMH131056 WVS131054:WWD131056 JG196590:JR196592 TC196590:TN196592 ACY196590:ADJ196592 AMU196590:ANF196592 AWQ196590:AXB196592 BGM196590:BGX196592 BQI196590:BQT196592 CAE196590:CAP196592 CKA196590:CKL196592 CTW196590:CUH196592 DDS196590:DED196592 DNO196590:DNZ196592 DXK196590:DXV196592 EHG196590:EHR196592 ERC196590:ERN196592 FAY196590:FBJ196592 FKU196590:FLF196592 FUQ196590:FVB196592 GEM196590:GEX196592 GOI196590:GOT196592 GYE196590:GYP196592 HIA196590:HIL196592 HRW196590:HSH196592 IBS196590:ICD196592 ILO196590:ILZ196592 IVK196590:IVV196592 JFG196590:JFR196592 JPC196590:JPN196592 JYY196590:JZJ196592 KIU196590:KJF196592 KSQ196590:KTB196592 LCM196590:LCX196592 LMI196590:LMT196592 LWE196590:LWP196592 MGA196590:MGL196592 MPW196590:MQH196592 MZS196590:NAD196592 NJO196590:NJZ196592 NTK196590:NTV196592 ODG196590:ODR196592 ONC196590:ONN196592 OWY196590:OXJ196592 PGU196590:PHF196592 PQQ196590:PRB196592 QAM196590:QAX196592 QKI196590:QKT196592 QUE196590:QUP196592 REA196590:REL196592 RNW196590:ROH196592 RXS196590:RYD196592 SHO196590:SHZ196592 SRK196590:SRV196592 TBG196590:TBR196592 TLC196590:TLN196592 TUY196590:TVJ196592 UEU196590:UFF196592 UOQ196590:UPB196592 UYM196590:UYX196592 VII196590:VIT196592 VSE196590:VSP196592 WCA196590:WCL196592 WLW196590:WMH196592 WVS196590:WWD196592 JG262126:JR262128 TC262126:TN262128 ACY262126:ADJ262128 AMU262126:ANF262128 AWQ262126:AXB262128 BGM262126:BGX262128 BQI262126:BQT262128 CAE262126:CAP262128 CKA262126:CKL262128 CTW262126:CUH262128 DDS262126:DED262128 DNO262126:DNZ262128 DXK262126:DXV262128 EHG262126:EHR262128 ERC262126:ERN262128 FAY262126:FBJ262128 FKU262126:FLF262128 FUQ262126:FVB262128 GEM262126:GEX262128 GOI262126:GOT262128 GYE262126:GYP262128 HIA262126:HIL262128 HRW262126:HSH262128 IBS262126:ICD262128 ILO262126:ILZ262128 IVK262126:IVV262128 JFG262126:JFR262128 JPC262126:JPN262128 JYY262126:JZJ262128 KIU262126:KJF262128 KSQ262126:KTB262128 LCM262126:LCX262128 LMI262126:LMT262128 LWE262126:LWP262128 MGA262126:MGL262128 MPW262126:MQH262128 MZS262126:NAD262128 NJO262126:NJZ262128 NTK262126:NTV262128 ODG262126:ODR262128 ONC262126:ONN262128 OWY262126:OXJ262128 PGU262126:PHF262128 PQQ262126:PRB262128 QAM262126:QAX262128 QKI262126:QKT262128 QUE262126:QUP262128 REA262126:REL262128 RNW262126:ROH262128 RXS262126:RYD262128 SHO262126:SHZ262128 SRK262126:SRV262128 TBG262126:TBR262128 TLC262126:TLN262128 TUY262126:TVJ262128 UEU262126:UFF262128 UOQ262126:UPB262128 UYM262126:UYX262128 VII262126:VIT262128 VSE262126:VSP262128 WCA262126:WCL262128 WLW262126:WMH262128 WVS262126:WWD262128 JG327662:JR327664 TC327662:TN327664 ACY327662:ADJ327664 AMU327662:ANF327664 AWQ327662:AXB327664 BGM327662:BGX327664 BQI327662:BQT327664 CAE327662:CAP327664 CKA327662:CKL327664 CTW327662:CUH327664 DDS327662:DED327664 DNO327662:DNZ327664 DXK327662:DXV327664 EHG327662:EHR327664 ERC327662:ERN327664 FAY327662:FBJ327664 FKU327662:FLF327664 FUQ327662:FVB327664 GEM327662:GEX327664 GOI327662:GOT327664 GYE327662:GYP327664 HIA327662:HIL327664 HRW327662:HSH327664 IBS327662:ICD327664 ILO327662:ILZ327664 IVK327662:IVV327664 JFG327662:JFR327664 JPC327662:JPN327664 JYY327662:JZJ327664 KIU327662:KJF327664 KSQ327662:KTB327664 LCM327662:LCX327664 LMI327662:LMT327664 LWE327662:LWP327664 MGA327662:MGL327664 MPW327662:MQH327664 MZS327662:NAD327664 NJO327662:NJZ327664 NTK327662:NTV327664 ODG327662:ODR327664 ONC327662:ONN327664 OWY327662:OXJ327664 PGU327662:PHF327664 PQQ327662:PRB327664 QAM327662:QAX327664 QKI327662:QKT327664 QUE327662:QUP327664 REA327662:REL327664 RNW327662:ROH327664 RXS327662:RYD327664 SHO327662:SHZ327664 SRK327662:SRV327664 TBG327662:TBR327664 TLC327662:TLN327664 TUY327662:TVJ327664 UEU327662:UFF327664 UOQ327662:UPB327664 UYM327662:UYX327664 VII327662:VIT327664 VSE327662:VSP327664 WCA327662:WCL327664 WLW327662:WMH327664 WVS327662:WWD327664 JG393198:JR393200 TC393198:TN393200 ACY393198:ADJ393200 AMU393198:ANF393200 AWQ393198:AXB393200 BGM393198:BGX393200 BQI393198:BQT393200 CAE393198:CAP393200 CKA393198:CKL393200 CTW393198:CUH393200 DDS393198:DED393200 DNO393198:DNZ393200 DXK393198:DXV393200 EHG393198:EHR393200 ERC393198:ERN393200 FAY393198:FBJ393200 FKU393198:FLF393200 FUQ393198:FVB393200 GEM393198:GEX393200 GOI393198:GOT393200 GYE393198:GYP393200 HIA393198:HIL393200 HRW393198:HSH393200 IBS393198:ICD393200 ILO393198:ILZ393200 IVK393198:IVV393200 JFG393198:JFR393200 JPC393198:JPN393200 JYY393198:JZJ393200 KIU393198:KJF393200 KSQ393198:KTB393200 LCM393198:LCX393200 LMI393198:LMT393200 LWE393198:LWP393200 MGA393198:MGL393200 MPW393198:MQH393200 MZS393198:NAD393200 NJO393198:NJZ393200 NTK393198:NTV393200 ODG393198:ODR393200 ONC393198:ONN393200 OWY393198:OXJ393200 PGU393198:PHF393200 PQQ393198:PRB393200 QAM393198:QAX393200 QKI393198:QKT393200 QUE393198:QUP393200 REA393198:REL393200 RNW393198:ROH393200 RXS393198:RYD393200 SHO393198:SHZ393200 SRK393198:SRV393200 TBG393198:TBR393200 TLC393198:TLN393200 TUY393198:TVJ393200 UEU393198:UFF393200 UOQ393198:UPB393200 UYM393198:UYX393200 VII393198:VIT393200 VSE393198:VSP393200 WCA393198:WCL393200 WLW393198:WMH393200 WVS393198:WWD393200 JG458734:JR458736 TC458734:TN458736 ACY458734:ADJ458736 AMU458734:ANF458736 AWQ458734:AXB458736 BGM458734:BGX458736 BQI458734:BQT458736 CAE458734:CAP458736 CKA458734:CKL458736 CTW458734:CUH458736 DDS458734:DED458736 DNO458734:DNZ458736 DXK458734:DXV458736 EHG458734:EHR458736 ERC458734:ERN458736 FAY458734:FBJ458736 FKU458734:FLF458736 FUQ458734:FVB458736 GEM458734:GEX458736 GOI458734:GOT458736 GYE458734:GYP458736 HIA458734:HIL458736 HRW458734:HSH458736 IBS458734:ICD458736 ILO458734:ILZ458736 IVK458734:IVV458736 JFG458734:JFR458736 JPC458734:JPN458736 JYY458734:JZJ458736 KIU458734:KJF458736 KSQ458734:KTB458736 LCM458734:LCX458736 LMI458734:LMT458736 LWE458734:LWP458736 MGA458734:MGL458736 MPW458734:MQH458736 MZS458734:NAD458736 NJO458734:NJZ458736 NTK458734:NTV458736 ODG458734:ODR458736 ONC458734:ONN458736 OWY458734:OXJ458736 PGU458734:PHF458736 PQQ458734:PRB458736 QAM458734:QAX458736 QKI458734:QKT458736 QUE458734:QUP458736 REA458734:REL458736 RNW458734:ROH458736 RXS458734:RYD458736 SHO458734:SHZ458736 SRK458734:SRV458736 TBG458734:TBR458736 TLC458734:TLN458736 TUY458734:TVJ458736 UEU458734:UFF458736 UOQ458734:UPB458736 UYM458734:UYX458736 VII458734:VIT458736 VSE458734:VSP458736 WCA458734:WCL458736 WLW458734:WMH458736 WVS458734:WWD458736 JG524270:JR524272 TC524270:TN524272 ACY524270:ADJ524272 AMU524270:ANF524272 AWQ524270:AXB524272 BGM524270:BGX524272 BQI524270:BQT524272 CAE524270:CAP524272 CKA524270:CKL524272 CTW524270:CUH524272 DDS524270:DED524272 DNO524270:DNZ524272 DXK524270:DXV524272 EHG524270:EHR524272 ERC524270:ERN524272 FAY524270:FBJ524272 FKU524270:FLF524272 FUQ524270:FVB524272 GEM524270:GEX524272 GOI524270:GOT524272 GYE524270:GYP524272 HIA524270:HIL524272 HRW524270:HSH524272 IBS524270:ICD524272 ILO524270:ILZ524272 IVK524270:IVV524272 JFG524270:JFR524272 JPC524270:JPN524272 JYY524270:JZJ524272 KIU524270:KJF524272 KSQ524270:KTB524272 LCM524270:LCX524272 LMI524270:LMT524272 LWE524270:LWP524272 MGA524270:MGL524272 MPW524270:MQH524272 MZS524270:NAD524272 NJO524270:NJZ524272 NTK524270:NTV524272 ODG524270:ODR524272 ONC524270:ONN524272 OWY524270:OXJ524272 PGU524270:PHF524272 PQQ524270:PRB524272 QAM524270:QAX524272 QKI524270:QKT524272 QUE524270:QUP524272 REA524270:REL524272 RNW524270:ROH524272 RXS524270:RYD524272 SHO524270:SHZ524272 SRK524270:SRV524272 TBG524270:TBR524272 TLC524270:TLN524272 TUY524270:TVJ524272 UEU524270:UFF524272 UOQ524270:UPB524272 UYM524270:UYX524272 VII524270:VIT524272 VSE524270:VSP524272 WCA524270:WCL524272 WLW524270:WMH524272 WVS524270:WWD524272 JG589806:JR589808 TC589806:TN589808 ACY589806:ADJ589808 AMU589806:ANF589808 AWQ589806:AXB589808 BGM589806:BGX589808 BQI589806:BQT589808 CAE589806:CAP589808 CKA589806:CKL589808 CTW589806:CUH589808 DDS589806:DED589808 DNO589806:DNZ589808 DXK589806:DXV589808 EHG589806:EHR589808 ERC589806:ERN589808 FAY589806:FBJ589808 FKU589806:FLF589808 FUQ589806:FVB589808 GEM589806:GEX589808 GOI589806:GOT589808 GYE589806:GYP589808 HIA589806:HIL589808 HRW589806:HSH589808 IBS589806:ICD589808 ILO589806:ILZ589808 IVK589806:IVV589808 JFG589806:JFR589808 JPC589806:JPN589808 JYY589806:JZJ589808 KIU589806:KJF589808 KSQ589806:KTB589808 LCM589806:LCX589808 LMI589806:LMT589808 LWE589806:LWP589808 MGA589806:MGL589808 MPW589806:MQH589808 MZS589806:NAD589808 NJO589806:NJZ589808 NTK589806:NTV589808 ODG589806:ODR589808 ONC589806:ONN589808 OWY589806:OXJ589808 PGU589806:PHF589808 PQQ589806:PRB589808 QAM589806:QAX589808 QKI589806:QKT589808 QUE589806:QUP589808 REA589806:REL589808 RNW589806:ROH589808 RXS589806:RYD589808 SHO589806:SHZ589808 SRK589806:SRV589808 TBG589806:TBR589808 TLC589806:TLN589808 TUY589806:TVJ589808 UEU589806:UFF589808 UOQ589806:UPB589808 UYM589806:UYX589808 VII589806:VIT589808 VSE589806:VSP589808 WCA589806:WCL589808 WLW589806:WMH589808 WVS589806:WWD589808 JG655342:JR655344 TC655342:TN655344 ACY655342:ADJ655344 AMU655342:ANF655344 AWQ655342:AXB655344 BGM655342:BGX655344 BQI655342:BQT655344 CAE655342:CAP655344 CKA655342:CKL655344 CTW655342:CUH655344 DDS655342:DED655344 DNO655342:DNZ655344 DXK655342:DXV655344 EHG655342:EHR655344 ERC655342:ERN655344 FAY655342:FBJ655344 FKU655342:FLF655344 FUQ655342:FVB655344 GEM655342:GEX655344 GOI655342:GOT655344 GYE655342:GYP655344 HIA655342:HIL655344 HRW655342:HSH655344 IBS655342:ICD655344 ILO655342:ILZ655344 IVK655342:IVV655344 JFG655342:JFR655344 JPC655342:JPN655344 JYY655342:JZJ655344 KIU655342:KJF655344 KSQ655342:KTB655344 LCM655342:LCX655344 LMI655342:LMT655344 LWE655342:LWP655344 MGA655342:MGL655344 MPW655342:MQH655344 MZS655342:NAD655344 NJO655342:NJZ655344 NTK655342:NTV655344 ODG655342:ODR655344 ONC655342:ONN655344 OWY655342:OXJ655344 PGU655342:PHF655344 PQQ655342:PRB655344 QAM655342:QAX655344 QKI655342:QKT655344 QUE655342:QUP655344 REA655342:REL655344 RNW655342:ROH655344 RXS655342:RYD655344 SHO655342:SHZ655344 SRK655342:SRV655344 TBG655342:TBR655344 TLC655342:TLN655344 TUY655342:TVJ655344 UEU655342:UFF655344 UOQ655342:UPB655344 UYM655342:UYX655344 VII655342:VIT655344 VSE655342:VSP655344 WCA655342:WCL655344 WLW655342:WMH655344 WVS655342:WWD655344 JG720878:JR720880 TC720878:TN720880 ACY720878:ADJ720880 AMU720878:ANF720880 AWQ720878:AXB720880 BGM720878:BGX720880 BQI720878:BQT720880 CAE720878:CAP720880 CKA720878:CKL720880 CTW720878:CUH720880 DDS720878:DED720880 DNO720878:DNZ720880 DXK720878:DXV720880 EHG720878:EHR720880 ERC720878:ERN720880 FAY720878:FBJ720880 FKU720878:FLF720880 FUQ720878:FVB720880 GEM720878:GEX720880 GOI720878:GOT720880 GYE720878:GYP720880 HIA720878:HIL720880 HRW720878:HSH720880 IBS720878:ICD720880 ILO720878:ILZ720880 IVK720878:IVV720880 JFG720878:JFR720880 JPC720878:JPN720880 JYY720878:JZJ720880 KIU720878:KJF720880 KSQ720878:KTB720880 LCM720878:LCX720880 LMI720878:LMT720880 LWE720878:LWP720880 MGA720878:MGL720880 MPW720878:MQH720880 MZS720878:NAD720880 NJO720878:NJZ720880 NTK720878:NTV720880 ODG720878:ODR720880 ONC720878:ONN720880 OWY720878:OXJ720880 PGU720878:PHF720880 PQQ720878:PRB720880 QAM720878:QAX720880 QKI720878:QKT720880 QUE720878:QUP720880 REA720878:REL720880 RNW720878:ROH720880 RXS720878:RYD720880 SHO720878:SHZ720880 SRK720878:SRV720880 TBG720878:TBR720880 TLC720878:TLN720880 TUY720878:TVJ720880 UEU720878:UFF720880 UOQ720878:UPB720880 UYM720878:UYX720880 VII720878:VIT720880 VSE720878:VSP720880 WCA720878:WCL720880 WLW720878:WMH720880 WVS720878:WWD720880 JG786414:JR786416 TC786414:TN786416 ACY786414:ADJ786416 AMU786414:ANF786416 AWQ786414:AXB786416 BGM786414:BGX786416 BQI786414:BQT786416 CAE786414:CAP786416 CKA786414:CKL786416 CTW786414:CUH786416 DDS786414:DED786416 DNO786414:DNZ786416 DXK786414:DXV786416 EHG786414:EHR786416 ERC786414:ERN786416 FAY786414:FBJ786416 FKU786414:FLF786416 FUQ786414:FVB786416 GEM786414:GEX786416 GOI786414:GOT786416 GYE786414:GYP786416 HIA786414:HIL786416 HRW786414:HSH786416 IBS786414:ICD786416 ILO786414:ILZ786416 IVK786414:IVV786416 JFG786414:JFR786416 JPC786414:JPN786416 JYY786414:JZJ786416 KIU786414:KJF786416 KSQ786414:KTB786416 LCM786414:LCX786416 LMI786414:LMT786416 LWE786414:LWP786416 MGA786414:MGL786416 MPW786414:MQH786416 MZS786414:NAD786416 NJO786414:NJZ786416 NTK786414:NTV786416 ODG786414:ODR786416 ONC786414:ONN786416 OWY786414:OXJ786416 PGU786414:PHF786416 PQQ786414:PRB786416 QAM786414:QAX786416 QKI786414:QKT786416 QUE786414:QUP786416 REA786414:REL786416 RNW786414:ROH786416 RXS786414:RYD786416 SHO786414:SHZ786416 SRK786414:SRV786416 TBG786414:TBR786416 TLC786414:TLN786416 TUY786414:TVJ786416 UEU786414:UFF786416 UOQ786414:UPB786416 UYM786414:UYX786416 VII786414:VIT786416 VSE786414:VSP786416 WCA786414:WCL786416 WLW786414:WMH786416 WVS786414:WWD786416 JG851950:JR851952 TC851950:TN851952 ACY851950:ADJ851952 AMU851950:ANF851952 AWQ851950:AXB851952 BGM851950:BGX851952 BQI851950:BQT851952 CAE851950:CAP851952 CKA851950:CKL851952 CTW851950:CUH851952 DDS851950:DED851952 DNO851950:DNZ851952 DXK851950:DXV851952 EHG851950:EHR851952 ERC851950:ERN851952 FAY851950:FBJ851952 FKU851950:FLF851952 FUQ851950:FVB851952 GEM851950:GEX851952 GOI851950:GOT851952 GYE851950:GYP851952 HIA851950:HIL851952 HRW851950:HSH851952 IBS851950:ICD851952 ILO851950:ILZ851952 IVK851950:IVV851952 JFG851950:JFR851952 JPC851950:JPN851952 JYY851950:JZJ851952 KIU851950:KJF851952 KSQ851950:KTB851952 LCM851950:LCX851952 LMI851950:LMT851952 LWE851950:LWP851952 MGA851950:MGL851952 MPW851950:MQH851952 MZS851950:NAD851952 NJO851950:NJZ851952 NTK851950:NTV851952 ODG851950:ODR851952 ONC851950:ONN851952 OWY851950:OXJ851952 PGU851950:PHF851952 PQQ851950:PRB851952 QAM851950:QAX851952 QKI851950:QKT851952 QUE851950:QUP851952 REA851950:REL851952 RNW851950:ROH851952 RXS851950:RYD851952 SHO851950:SHZ851952 SRK851950:SRV851952 TBG851950:TBR851952 TLC851950:TLN851952 TUY851950:TVJ851952 UEU851950:UFF851952 UOQ851950:UPB851952 UYM851950:UYX851952 VII851950:VIT851952 VSE851950:VSP851952 WCA851950:WCL851952 WLW851950:WMH851952 WVS851950:WWD851952 JG917486:JR917488 TC917486:TN917488 ACY917486:ADJ917488 AMU917486:ANF917488 AWQ917486:AXB917488 BGM917486:BGX917488 BQI917486:BQT917488 CAE917486:CAP917488 CKA917486:CKL917488 CTW917486:CUH917488 DDS917486:DED917488 DNO917486:DNZ917488 DXK917486:DXV917488 EHG917486:EHR917488 ERC917486:ERN917488 FAY917486:FBJ917488 FKU917486:FLF917488 FUQ917486:FVB917488 GEM917486:GEX917488 GOI917486:GOT917488 GYE917486:GYP917488 HIA917486:HIL917488 HRW917486:HSH917488 IBS917486:ICD917488 ILO917486:ILZ917488 IVK917486:IVV917488 JFG917486:JFR917488 JPC917486:JPN917488 JYY917486:JZJ917488 KIU917486:KJF917488 KSQ917486:KTB917488 LCM917486:LCX917488 LMI917486:LMT917488 LWE917486:LWP917488 MGA917486:MGL917488 MPW917486:MQH917488 MZS917486:NAD917488 NJO917486:NJZ917488 NTK917486:NTV917488 ODG917486:ODR917488 ONC917486:ONN917488 OWY917486:OXJ917488 PGU917486:PHF917488 PQQ917486:PRB917488 QAM917486:QAX917488 QKI917486:QKT917488 QUE917486:QUP917488 REA917486:REL917488 RNW917486:ROH917488 RXS917486:RYD917488 SHO917486:SHZ917488 SRK917486:SRV917488 TBG917486:TBR917488 TLC917486:TLN917488 TUY917486:TVJ917488 UEU917486:UFF917488 UOQ917486:UPB917488 UYM917486:UYX917488 VII917486:VIT917488 VSE917486:VSP917488 WCA917486:WCL917488 WLW917486:WMH917488 WVS917486:WWD917488 JG983022:JR983024 TC983022:TN983024 ACY983022:ADJ983024 AMU983022:ANF983024 AWQ983022:AXB983024 BGM983022:BGX983024 BQI983022:BQT983024 CAE983022:CAP983024 CKA983022:CKL983024 CTW983022:CUH983024 DDS983022:DED983024 DNO983022:DNZ983024 DXK983022:DXV983024 EHG983022:EHR983024 ERC983022:ERN983024 FAY983022:FBJ983024 FKU983022:FLF983024 FUQ983022:FVB983024 GEM983022:GEX983024 GOI983022:GOT983024 GYE983022:GYP983024 HIA983022:HIL983024 HRW983022:HSH983024 IBS983022:ICD983024 ILO983022:ILZ983024 IVK983022:IVV983024 JFG983022:JFR983024 JPC983022:JPN983024 JYY983022:JZJ983024 KIU983022:KJF983024 KSQ983022:KTB983024 LCM983022:LCX983024 LMI983022:LMT983024 LWE983022:LWP983024 MGA983022:MGL983024 MPW983022:MQH983024 MZS983022:NAD983024 NJO983022:NJZ983024 NTK983022:NTV983024 ODG983022:ODR983024 ONC983022:ONN983024 OWY983022:OXJ983024 PGU983022:PHF983024 PQQ983022:PRB983024 QAM983022:QAX983024 QKI983022:QKT983024 QUE983022:QUP983024 REA983022:REL983024 RNW983022:ROH983024 RXS983022:RYD983024 SHO983022:SHZ983024 SRK983022:SRV983024 TBG983022:TBR983024 TLC983022:TLN983024 TUY983022:TVJ983024 UEU983022:UFF983024 UOQ983022:UPB983024 UYM983022:UYX983024 VII983022:VIT983024 VSE983022:VSP983024 WCA983022:WCL983024 WLW983022:WMH983024 WVS983022:WWD983024 WVS983027:WWD983029 JG65523:JR65525 TC65523:TN65525 ACY65523:ADJ65525 AMU65523:ANF65525 AWQ65523:AXB65525 BGM65523:BGX65525 BQI65523:BQT65525 CAE65523:CAP65525 CKA65523:CKL65525 CTW65523:CUH65525 DDS65523:DED65525 DNO65523:DNZ65525 DXK65523:DXV65525 EHG65523:EHR65525 ERC65523:ERN65525 FAY65523:FBJ65525 FKU65523:FLF65525 FUQ65523:FVB65525 GEM65523:GEX65525 GOI65523:GOT65525 GYE65523:GYP65525 HIA65523:HIL65525 HRW65523:HSH65525 IBS65523:ICD65525 ILO65523:ILZ65525 IVK65523:IVV65525 JFG65523:JFR65525 JPC65523:JPN65525 JYY65523:JZJ65525 KIU65523:KJF65525 KSQ65523:KTB65525 LCM65523:LCX65525 LMI65523:LMT65525 LWE65523:LWP65525 MGA65523:MGL65525 MPW65523:MQH65525 MZS65523:NAD65525 NJO65523:NJZ65525 NTK65523:NTV65525 ODG65523:ODR65525 ONC65523:ONN65525 OWY65523:OXJ65525 PGU65523:PHF65525 PQQ65523:PRB65525 QAM65523:QAX65525 QKI65523:QKT65525 QUE65523:QUP65525 REA65523:REL65525 RNW65523:ROH65525 RXS65523:RYD65525 SHO65523:SHZ65525 SRK65523:SRV65525 TBG65523:TBR65525 TLC65523:TLN65525 TUY65523:TVJ65525 UEU65523:UFF65525 UOQ65523:UPB65525 UYM65523:UYX65525 VII65523:VIT65525 VSE65523:VSP65525 WCA65523:WCL65525 WLW65523:WMH65525 WVS65523:WWD65525 JG131059:JR131061 TC131059:TN131061 ACY131059:ADJ131061 AMU131059:ANF131061 AWQ131059:AXB131061 BGM131059:BGX131061 BQI131059:BQT131061 CAE131059:CAP131061 CKA131059:CKL131061 CTW131059:CUH131061 DDS131059:DED131061 DNO131059:DNZ131061 DXK131059:DXV131061 EHG131059:EHR131061 ERC131059:ERN131061 FAY131059:FBJ131061 FKU131059:FLF131061 FUQ131059:FVB131061 GEM131059:GEX131061 GOI131059:GOT131061 GYE131059:GYP131061 HIA131059:HIL131061 HRW131059:HSH131061 IBS131059:ICD131061 ILO131059:ILZ131061 IVK131059:IVV131061 JFG131059:JFR131061 JPC131059:JPN131061 JYY131059:JZJ131061 KIU131059:KJF131061 KSQ131059:KTB131061 LCM131059:LCX131061 LMI131059:LMT131061 LWE131059:LWP131061 MGA131059:MGL131061 MPW131059:MQH131061 MZS131059:NAD131061 NJO131059:NJZ131061 NTK131059:NTV131061 ODG131059:ODR131061 ONC131059:ONN131061 OWY131059:OXJ131061 PGU131059:PHF131061 PQQ131059:PRB131061 QAM131059:QAX131061 QKI131059:QKT131061 QUE131059:QUP131061 REA131059:REL131061 RNW131059:ROH131061 RXS131059:RYD131061 SHO131059:SHZ131061 SRK131059:SRV131061 TBG131059:TBR131061 TLC131059:TLN131061 TUY131059:TVJ131061 UEU131059:UFF131061 UOQ131059:UPB131061 UYM131059:UYX131061 VII131059:VIT131061 VSE131059:VSP131061 WCA131059:WCL131061 WLW131059:WMH131061 WVS131059:WWD131061 JG196595:JR196597 TC196595:TN196597 ACY196595:ADJ196597 AMU196595:ANF196597 AWQ196595:AXB196597 BGM196595:BGX196597 BQI196595:BQT196597 CAE196595:CAP196597 CKA196595:CKL196597 CTW196595:CUH196597 DDS196595:DED196597 DNO196595:DNZ196597 DXK196595:DXV196597 EHG196595:EHR196597 ERC196595:ERN196597 FAY196595:FBJ196597 FKU196595:FLF196597 FUQ196595:FVB196597 GEM196595:GEX196597 GOI196595:GOT196597 GYE196595:GYP196597 HIA196595:HIL196597 HRW196595:HSH196597 IBS196595:ICD196597 ILO196595:ILZ196597 IVK196595:IVV196597 JFG196595:JFR196597 JPC196595:JPN196597 JYY196595:JZJ196597 KIU196595:KJF196597 KSQ196595:KTB196597 LCM196595:LCX196597 LMI196595:LMT196597 LWE196595:LWP196597 MGA196595:MGL196597 MPW196595:MQH196597 MZS196595:NAD196597 NJO196595:NJZ196597 NTK196595:NTV196597 ODG196595:ODR196597 ONC196595:ONN196597 OWY196595:OXJ196597 PGU196595:PHF196597 PQQ196595:PRB196597 QAM196595:QAX196597 QKI196595:QKT196597 QUE196595:QUP196597 REA196595:REL196597 RNW196595:ROH196597 RXS196595:RYD196597 SHO196595:SHZ196597 SRK196595:SRV196597 TBG196595:TBR196597 TLC196595:TLN196597 TUY196595:TVJ196597 UEU196595:UFF196597 UOQ196595:UPB196597 UYM196595:UYX196597 VII196595:VIT196597 VSE196595:VSP196597 WCA196595:WCL196597 WLW196595:WMH196597 WVS196595:WWD196597 JG262131:JR262133 TC262131:TN262133 ACY262131:ADJ262133 AMU262131:ANF262133 AWQ262131:AXB262133 BGM262131:BGX262133 BQI262131:BQT262133 CAE262131:CAP262133 CKA262131:CKL262133 CTW262131:CUH262133 DDS262131:DED262133 DNO262131:DNZ262133 DXK262131:DXV262133 EHG262131:EHR262133 ERC262131:ERN262133 FAY262131:FBJ262133 FKU262131:FLF262133 FUQ262131:FVB262133 GEM262131:GEX262133 GOI262131:GOT262133 GYE262131:GYP262133 HIA262131:HIL262133 HRW262131:HSH262133 IBS262131:ICD262133 ILO262131:ILZ262133 IVK262131:IVV262133 JFG262131:JFR262133 JPC262131:JPN262133 JYY262131:JZJ262133 KIU262131:KJF262133 KSQ262131:KTB262133 LCM262131:LCX262133 LMI262131:LMT262133 LWE262131:LWP262133 MGA262131:MGL262133 MPW262131:MQH262133 MZS262131:NAD262133 NJO262131:NJZ262133 NTK262131:NTV262133 ODG262131:ODR262133 ONC262131:ONN262133 OWY262131:OXJ262133 PGU262131:PHF262133 PQQ262131:PRB262133 QAM262131:QAX262133 QKI262131:QKT262133 QUE262131:QUP262133 REA262131:REL262133 RNW262131:ROH262133 RXS262131:RYD262133 SHO262131:SHZ262133 SRK262131:SRV262133 TBG262131:TBR262133 TLC262131:TLN262133 TUY262131:TVJ262133 UEU262131:UFF262133 UOQ262131:UPB262133 UYM262131:UYX262133 VII262131:VIT262133 VSE262131:VSP262133 WCA262131:WCL262133 WLW262131:WMH262133 WVS262131:WWD262133 JG327667:JR327669 TC327667:TN327669 ACY327667:ADJ327669 AMU327667:ANF327669 AWQ327667:AXB327669 BGM327667:BGX327669 BQI327667:BQT327669 CAE327667:CAP327669 CKA327667:CKL327669 CTW327667:CUH327669 DDS327667:DED327669 DNO327667:DNZ327669 DXK327667:DXV327669 EHG327667:EHR327669 ERC327667:ERN327669 FAY327667:FBJ327669 FKU327667:FLF327669 FUQ327667:FVB327669 GEM327667:GEX327669 GOI327667:GOT327669 GYE327667:GYP327669 HIA327667:HIL327669 HRW327667:HSH327669 IBS327667:ICD327669 ILO327667:ILZ327669 IVK327667:IVV327669 JFG327667:JFR327669 JPC327667:JPN327669 JYY327667:JZJ327669 KIU327667:KJF327669 KSQ327667:KTB327669 LCM327667:LCX327669 LMI327667:LMT327669 LWE327667:LWP327669 MGA327667:MGL327669 MPW327667:MQH327669 MZS327667:NAD327669 NJO327667:NJZ327669 NTK327667:NTV327669 ODG327667:ODR327669 ONC327667:ONN327669 OWY327667:OXJ327669 PGU327667:PHF327669 PQQ327667:PRB327669 QAM327667:QAX327669 QKI327667:QKT327669 QUE327667:QUP327669 REA327667:REL327669 RNW327667:ROH327669 RXS327667:RYD327669 SHO327667:SHZ327669 SRK327667:SRV327669 TBG327667:TBR327669 TLC327667:TLN327669 TUY327667:TVJ327669 UEU327667:UFF327669 UOQ327667:UPB327669 UYM327667:UYX327669 VII327667:VIT327669 VSE327667:VSP327669 WCA327667:WCL327669 WLW327667:WMH327669 WVS327667:WWD327669 JG393203:JR393205 TC393203:TN393205 ACY393203:ADJ393205 AMU393203:ANF393205 AWQ393203:AXB393205 BGM393203:BGX393205 BQI393203:BQT393205 CAE393203:CAP393205 CKA393203:CKL393205 CTW393203:CUH393205 DDS393203:DED393205 DNO393203:DNZ393205 DXK393203:DXV393205 EHG393203:EHR393205 ERC393203:ERN393205 FAY393203:FBJ393205 FKU393203:FLF393205 FUQ393203:FVB393205 GEM393203:GEX393205 GOI393203:GOT393205 GYE393203:GYP393205 HIA393203:HIL393205 HRW393203:HSH393205 IBS393203:ICD393205 ILO393203:ILZ393205 IVK393203:IVV393205 JFG393203:JFR393205 JPC393203:JPN393205 JYY393203:JZJ393205 KIU393203:KJF393205 KSQ393203:KTB393205 LCM393203:LCX393205 LMI393203:LMT393205 LWE393203:LWP393205 MGA393203:MGL393205 MPW393203:MQH393205 MZS393203:NAD393205 NJO393203:NJZ393205 NTK393203:NTV393205 ODG393203:ODR393205 ONC393203:ONN393205 OWY393203:OXJ393205 PGU393203:PHF393205 PQQ393203:PRB393205 QAM393203:QAX393205 QKI393203:QKT393205 QUE393203:QUP393205 REA393203:REL393205 RNW393203:ROH393205 RXS393203:RYD393205 SHO393203:SHZ393205 SRK393203:SRV393205 TBG393203:TBR393205 TLC393203:TLN393205 TUY393203:TVJ393205 UEU393203:UFF393205 UOQ393203:UPB393205 UYM393203:UYX393205 VII393203:VIT393205 VSE393203:VSP393205 WCA393203:WCL393205 WLW393203:WMH393205 WVS393203:WWD393205 JG458739:JR458741 TC458739:TN458741 ACY458739:ADJ458741 AMU458739:ANF458741 AWQ458739:AXB458741 BGM458739:BGX458741 BQI458739:BQT458741 CAE458739:CAP458741 CKA458739:CKL458741 CTW458739:CUH458741 DDS458739:DED458741 DNO458739:DNZ458741 DXK458739:DXV458741 EHG458739:EHR458741 ERC458739:ERN458741 FAY458739:FBJ458741 FKU458739:FLF458741 FUQ458739:FVB458741 GEM458739:GEX458741 GOI458739:GOT458741 GYE458739:GYP458741 HIA458739:HIL458741 HRW458739:HSH458741 IBS458739:ICD458741 ILO458739:ILZ458741 IVK458739:IVV458741 JFG458739:JFR458741 JPC458739:JPN458741 JYY458739:JZJ458741 KIU458739:KJF458741 KSQ458739:KTB458741 LCM458739:LCX458741 LMI458739:LMT458741 LWE458739:LWP458741 MGA458739:MGL458741 MPW458739:MQH458741 MZS458739:NAD458741 NJO458739:NJZ458741 NTK458739:NTV458741 ODG458739:ODR458741 ONC458739:ONN458741 OWY458739:OXJ458741 PGU458739:PHF458741 PQQ458739:PRB458741 QAM458739:QAX458741 QKI458739:QKT458741 QUE458739:QUP458741 REA458739:REL458741 RNW458739:ROH458741 RXS458739:RYD458741 SHO458739:SHZ458741 SRK458739:SRV458741 TBG458739:TBR458741 TLC458739:TLN458741 TUY458739:TVJ458741 UEU458739:UFF458741 UOQ458739:UPB458741 UYM458739:UYX458741 VII458739:VIT458741 VSE458739:VSP458741 WCA458739:WCL458741 WLW458739:WMH458741 WVS458739:WWD458741 JG524275:JR524277 TC524275:TN524277 ACY524275:ADJ524277 AMU524275:ANF524277 AWQ524275:AXB524277 BGM524275:BGX524277 BQI524275:BQT524277 CAE524275:CAP524277 CKA524275:CKL524277 CTW524275:CUH524277 DDS524275:DED524277 DNO524275:DNZ524277 DXK524275:DXV524277 EHG524275:EHR524277 ERC524275:ERN524277 FAY524275:FBJ524277 FKU524275:FLF524277 FUQ524275:FVB524277 GEM524275:GEX524277 GOI524275:GOT524277 GYE524275:GYP524277 HIA524275:HIL524277 HRW524275:HSH524277 IBS524275:ICD524277 ILO524275:ILZ524277 IVK524275:IVV524277 JFG524275:JFR524277 JPC524275:JPN524277 JYY524275:JZJ524277 KIU524275:KJF524277 KSQ524275:KTB524277 LCM524275:LCX524277 LMI524275:LMT524277 LWE524275:LWP524277 MGA524275:MGL524277 MPW524275:MQH524277 MZS524275:NAD524277 NJO524275:NJZ524277 NTK524275:NTV524277 ODG524275:ODR524277 ONC524275:ONN524277 OWY524275:OXJ524277 PGU524275:PHF524277 PQQ524275:PRB524277 QAM524275:QAX524277 QKI524275:QKT524277 QUE524275:QUP524277 REA524275:REL524277 RNW524275:ROH524277 RXS524275:RYD524277 SHO524275:SHZ524277 SRK524275:SRV524277 TBG524275:TBR524277 TLC524275:TLN524277 TUY524275:TVJ524277 UEU524275:UFF524277 UOQ524275:UPB524277 UYM524275:UYX524277 VII524275:VIT524277 VSE524275:VSP524277 WCA524275:WCL524277 WLW524275:WMH524277 WVS524275:WWD524277 JG589811:JR589813 TC589811:TN589813 ACY589811:ADJ589813 AMU589811:ANF589813 AWQ589811:AXB589813 BGM589811:BGX589813 BQI589811:BQT589813 CAE589811:CAP589813 CKA589811:CKL589813 CTW589811:CUH589813 DDS589811:DED589813 DNO589811:DNZ589813 DXK589811:DXV589813 EHG589811:EHR589813 ERC589811:ERN589813 FAY589811:FBJ589813 FKU589811:FLF589813 FUQ589811:FVB589813 GEM589811:GEX589813 GOI589811:GOT589813 GYE589811:GYP589813 HIA589811:HIL589813 HRW589811:HSH589813 IBS589811:ICD589813 ILO589811:ILZ589813 IVK589811:IVV589813 JFG589811:JFR589813 JPC589811:JPN589813 JYY589811:JZJ589813 KIU589811:KJF589813 KSQ589811:KTB589813 LCM589811:LCX589813 LMI589811:LMT589813 LWE589811:LWP589813 MGA589811:MGL589813 MPW589811:MQH589813 MZS589811:NAD589813 NJO589811:NJZ589813 NTK589811:NTV589813 ODG589811:ODR589813 ONC589811:ONN589813 OWY589811:OXJ589813 PGU589811:PHF589813 PQQ589811:PRB589813 QAM589811:QAX589813 QKI589811:QKT589813 QUE589811:QUP589813 REA589811:REL589813 RNW589811:ROH589813 RXS589811:RYD589813 SHO589811:SHZ589813 SRK589811:SRV589813 TBG589811:TBR589813 TLC589811:TLN589813 TUY589811:TVJ589813 UEU589811:UFF589813 UOQ589811:UPB589813 UYM589811:UYX589813 VII589811:VIT589813 VSE589811:VSP589813 WCA589811:WCL589813 WLW589811:WMH589813 WVS589811:WWD589813 JG655347:JR655349 TC655347:TN655349 ACY655347:ADJ655349 AMU655347:ANF655349 AWQ655347:AXB655349 BGM655347:BGX655349 BQI655347:BQT655349 CAE655347:CAP655349 CKA655347:CKL655349 CTW655347:CUH655349 DDS655347:DED655349 DNO655347:DNZ655349 DXK655347:DXV655349 EHG655347:EHR655349 ERC655347:ERN655349 FAY655347:FBJ655349 FKU655347:FLF655349 FUQ655347:FVB655349 GEM655347:GEX655349 GOI655347:GOT655349 GYE655347:GYP655349 HIA655347:HIL655349 HRW655347:HSH655349 IBS655347:ICD655349 ILO655347:ILZ655349 IVK655347:IVV655349 JFG655347:JFR655349 JPC655347:JPN655349 JYY655347:JZJ655349 KIU655347:KJF655349 KSQ655347:KTB655349 LCM655347:LCX655349 LMI655347:LMT655349 LWE655347:LWP655349 MGA655347:MGL655349 MPW655347:MQH655349 MZS655347:NAD655349 NJO655347:NJZ655349 NTK655347:NTV655349 ODG655347:ODR655349 ONC655347:ONN655349 OWY655347:OXJ655349 PGU655347:PHF655349 PQQ655347:PRB655349 QAM655347:QAX655349 QKI655347:QKT655349 QUE655347:QUP655349 REA655347:REL655349 RNW655347:ROH655349 RXS655347:RYD655349 SHO655347:SHZ655349 SRK655347:SRV655349 TBG655347:TBR655349 TLC655347:TLN655349 TUY655347:TVJ655349 UEU655347:UFF655349 UOQ655347:UPB655349 UYM655347:UYX655349 VII655347:VIT655349 VSE655347:VSP655349 WCA655347:WCL655349 WLW655347:WMH655349 WVS655347:WWD655349 JG720883:JR720885 TC720883:TN720885 ACY720883:ADJ720885 AMU720883:ANF720885 AWQ720883:AXB720885 BGM720883:BGX720885 BQI720883:BQT720885 CAE720883:CAP720885 CKA720883:CKL720885 CTW720883:CUH720885 DDS720883:DED720885 DNO720883:DNZ720885 DXK720883:DXV720885 EHG720883:EHR720885 ERC720883:ERN720885 FAY720883:FBJ720885 FKU720883:FLF720885 FUQ720883:FVB720885 GEM720883:GEX720885 GOI720883:GOT720885 GYE720883:GYP720885 HIA720883:HIL720885 HRW720883:HSH720885 IBS720883:ICD720885 ILO720883:ILZ720885 IVK720883:IVV720885 JFG720883:JFR720885 JPC720883:JPN720885 JYY720883:JZJ720885 KIU720883:KJF720885 KSQ720883:KTB720885 LCM720883:LCX720885 LMI720883:LMT720885 LWE720883:LWP720885 MGA720883:MGL720885 MPW720883:MQH720885 MZS720883:NAD720885 NJO720883:NJZ720885 NTK720883:NTV720885 ODG720883:ODR720885 ONC720883:ONN720885 OWY720883:OXJ720885 PGU720883:PHF720885 PQQ720883:PRB720885 QAM720883:QAX720885 QKI720883:QKT720885 QUE720883:QUP720885 REA720883:REL720885 RNW720883:ROH720885 RXS720883:RYD720885 SHO720883:SHZ720885 SRK720883:SRV720885 TBG720883:TBR720885 TLC720883:TLN720885 TUY720883:TVJ720885 UEU720883:UFF720885 UOQ720883:UPB720885 UYM720883:UYX720885 VII720883:VIT720885 VSE720883:VSP720885 WCA720883:WCL720885 WLW720883:WMH720885 WVS720883:WWD720885 JG786419:JR786421 TC786419:TN786421 ACY786419:ADJ786421 AMU786419:ANF786421 AWQ786419:AXB786421 BGM786419:BGX786421 BQI786419:BQT786421 CAE786419:CAP786421 CKA786419:CKL786421 CTW786419:CUH786421 DDS786419:DED786421 DNO786419:DNZ786421 DXK786419:DXV786421 EHG786419:EHR786421 ERC786419:ERN786421 FAY786419:FBJ786421 FKU786419:FLF786421 FUQ786419:FVB786421 GEM786419:GEX786421 GOI786419:GOT786421 GYE786419:GYP786421 HIA786419:HIL786421 HRW786419:HSH786421 IBS786419:ICD786421 ILO786419:ILZ786421 IVK786419:IVV786421 JFG786419:JFR786421 JPC786419:JPN786421 JYY786419:JZJ786421 KIU786419:KJF786421 KSQ786419:KTB786421 LCM786419:LCX786421 LMI786419:LMT786421 LWE786419:LWP786421 MGA786419:MGL786421 MPW786419:MQH786421 MZS786419:NAD786421 NJO786419:NJZ786421 NTK786419:NTV786421 ODG786419:ODR786421 ONC786419:ONN786421 OWY786419:OXJ786421 PGU786419:PHF786421 PQQ786419:PRB786421 QAM786419:QAX786421 QKI786419:QKT786421 QUE786419:QUP786421 REA786419:REL786421 RNW786419:ROH786421 RXS786419:RYD786421 SHO786419:SHZ786421 SRK786419:SRV786421 TBG786419:TBR786421 TLC786419:TLN786421 TUY786419:TVJ786421 UEU786419:UFF786421 UOQ786419:UPB786421 UYM786419:UYX786421 VII786419:VIT786421 VSE786419:VSP786421 WCA786419:WCL786421 WLW786419:WMH786421 WVS786419:WWD786421 JG851955:JR851957 TC851955:TN851957 ACY851955:ADJ851957 AMU851955:ANF851957 AWQ851955:AXB851957 BGM851955:BGX851957 BQI851955:BQT851957 CAE851955:CAP851957 CKA851955:CKL851957 CTW851955:CUH851957 DDS851955:DED851957 DNO851955:DNZ851957 DXK851955:DXV851957 EHG851955:EHR851957 ERC851955:ERN851957 FAY851955:FBJ851957 FKU851955:FLF851957 FUQ851955:FVB851957 GEM851955:GEX851957 GOI851955:GOT851957 GYE851955:GYP851957 HIA851955:HIL851957 HRW851955:HSH851957 IBS851955:ICD851957 ILO851955:ILZ851957 IVK851955:IVV851957 JFG851955:JFR851957 JPC851955:JPN851957 JYY851955:JZJ851957 KIU851955:KJF851957 KSQ851955:KTB851957 LCM851955:LCX851957 LMI851955:LMT851957 LWE851955:LWP851957 MGA851955:MGL851957 MPW851955:MQH851957 MZS851955:NAD851957 NJO851955:NJZ851957 NTK851955:NTV851957 ODG851955:ODR851957 ONC851955:ONN851957 OWY851955:OXJ851957 PGU851955:PHF851957 PQQ851955:PRB851957 QAM851955:QAX851957 QKI851955:QKT851957 QUE851955:QUP851957 REA851955:REL851957 RNW851955:ROH851957 RXS851955:RYD851957 SHO851955:SHZ851957 SRK851955:SRV851957 TBG851955:TBR851957 TLC851955:TLN851957 TUY851955:TVJ851957 UEU851955:UFF851957 UOQ851955:UPB851957 UYM851955:UYX851957 VII851955:VIT851957 VSE851955:VSP851957 WCA851955:WCL851957 WLW851955:WMH851957 WVS851955:WWD851957 JG917491:JR917493 TC917491:TN917493 ACY917491:ADJ917493 AMU917491:ANF917493 AWQ917491:AXB917493 BGM917491:BGX917493 BQI917491:BQT917493 CAE917491:CAP917493 CKA917491:CKL917493 CTW917491:CUH917493 DDS917491:DED917493 DNO917491:DNZ917493 DXK917491:DXV917493 EHG917491:EHR917493 ERC917491:ERN917493 FAY917491:FBJ917493 FKU917491:FLF917493 FUQ917491:FVB917493 GEM917491:GEX917493 GOI917491:GOT917493 GYE917491:GYP917493 HIA917491:HIL917493 HRW917491:HSH917493 IBS917491:ICD917493 ILO917491:ILZ917493 IVK917491:IVV917493 JFG917491:JFR917493 JPC917491:JPN917493 JYY917491:JZJ917493 KIU917491:KJF917493 KSQ917491:KTB917493 LCM917491:LCX917493 LMI917491:LMT917493 LWE917491:LWP917493 MGA917491:MGL917493 MPW917491:MQH917493 MZS917491:NAD917493 NJO917491:NJZ917493 NTK917491:NTV917493 ODG917491:ODR917493 ONC917491:ONN917493 OWY917491:OXJ917493 PGU917491:PHF917493 PQQ917491:PRB917493 QAM917491:QAX917493 QKI917491:QKT917493 QUE917491:QUP917493 REA917491:REL917493 RNW917491:ROH917493 RXS917491:RYD917493 SHO917491:SHZ917493 SRK917491:SRV917493 TBG917491:TBR917493 TLC917491:TLN917493 TUY917491:TVJ917493 UEU917491:UFF917493 UOQ917491:UPB917493 UYM917491:UYX917493 VII917491:VIT917493 VSE917491:VSP917493 WCA917491:WCL917493 WLW917491:WMH917493 WVS917491:WWD917493 JG983027:JR983029 TC983027:TN983029 ACY983027:ADJ983029 AMU983027:ANF983029 AWQ983027:AXB983029 BGM983027:BGX983029 BQI983027:BQT983029 CAE983027:CAP983029 CKA983027:CKL983029 CTW983027:CUH983029 DDS983027:DED983029 DNO983027:DNZ983029 DXK983027:DXV983029 EHG983027:EHR983029 ERC983027:ERN983029 FAY983027:FBJ983029 FKU983027:FLF983029 FUQ983027:FVB983029 GEM983027:GEX983029 GOI983027:GOT983029 GYE983027:GYP983029 HIA983027:HIL983029 HRW983027:HSH983029 IBS983027:ICD983029 ILO983027:ILZ983029 IVK983027:IVV983029 JFG983027:JFR983029 JPC983027:JPN983029 JYY983027:JZJ983029 KIU983027:KJF983029 KSQ983027:KTB983029 LCM983027:LCX983029 LMI983027:LMT983029 LWE983027:LWP983029 MGA983027:MGL983029 MPW983027:MQH983029 MZS983027:NAD983029 NJO983027:NJZ983029 NTK983027:NTV983029 ODG983027:ODR983029 ONC983027:ONN983029 OWY983027:OXJ983029 PGU983027:PHF983029 PQQ983027:PRB983029 QAM983027:QAX983029 QKI983027:QKT983029 QUE983027:QUP983029 REA983027:REL983029 RNW983027:ROH983029 RXS983027:RYD983029 SHO983027:SHZ983029 SRK983027:SRV983029 TBG983027:TBR983029 TLC983027:TLN983029 TUY983027:TVJ983029 UEU983027:UFF983029 UOQ983027:UPB983029 UYM983027:UYX983029 VII983027:VIT983029 VSE983027:VSP983029 WCA983027:WCL983029 WLW983027:WMH983029 Z262126:AJ262128 Z196590:AJ196592 Z131054:AJ131056 Z65518:AJ65520 Z983027:AJ983029 Z917491:AJ917493 Z851955:AJ851957 Z786419:AJ786421 Z720883:AJ720885 Z655347:AJ655349 Z589811:AJ589813 Z524275:AJ524277 Z458739:AJ458741 Z393203:AJ393205 Z327667:AJ327669 Z262131:AJ262133 Z196595:AJ196597 Z131059:AJ131061 Z65523:AJ65525 Z983022:AJ983024 Z917486:AJ917488 Z851950:AJ851952 Z786414:AJ786416 Z720878:AJ720880 Z655342:AJ655344 Z589806:AJ589808 Z524270:AJ524272 Z458734:AJ458736 Z393198:AJ393200 Z327662:AJ327664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Y8:Z46">
      <formula1>"文字,数値,日付,時間"</formula1>
    </dataValidation>
    <dataValidation type="list" allowBlank="1" showInputMessage="1" showErrorMessage="1" sqref="AA8:AA46">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pageSetUpPr autoPageBreaks="0"/>
  </sheetPr>
  <dimension ref="A1:BE46"/>
  <sheetViews>
    <sheetView showGridLines="0" zoomScaleNormal="100" zoomScaleSheetLayoutView="100"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6"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6"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資材在庫予定情報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6"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6"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t_shizai_zaiko_yotei</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6"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6"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6" ht="14.4" customHeight="1">
      <c r="A8" s="37">
        <f>IF(B8="","",COUNTA($B$8:B8))</f>
        <v>1</v>
      </c>
      <c r="B8" s="17" t="s">
        <v>1656</v>
      </c>
      <c r="C8" s="18"/>
      <c r="D8" s="18"/>
      <c r="E8" s="18"/>
      <c r="F8" s="18"/>
      <c r="G8" s="18"/>
      <c r="H8" s="18"/>
      <c r="I8" s="19" t="s">
        <v>1400</v>
      </c>
      <c r="J8" s="20"/>
      <c r="K8" s="20"/>
      <c r="L8" s="20"/>
      <c r="M8" s="20"/>
      <c r="N8" s="20"/>
      <c r="O8" s="20"/>
      <c r="P8" s="20"/>
      <c r="Q8" s="20"/>
      <c r="R8" s="17" t="s">
        <v>1565</v>
      </c>
      <c r="S8" s="18"/>
      <c r="T8" s="18"/>
      <c r="U8" s="18"/>
      <c r="V8" s="18"/>
      <c r="W8" s="18"/>
      <c r="X8" s="18"/>
      <c r="Y8" s="589" t="s">
        <v>1504</v>
      </c>
      <c r="Z8" s="590"/>
      <c r="AA8" s="591" t="s">
        <v>1505</v>
      </c>
      <c r="AB8" s="592"/>
      <c r="AC8" s="593"/>
      <c r="AD8" s="53">
        <v>15</v>
      </c>
      <c r="AE8" s="24" t="s">
        <v>1585</v>
      </c>
      <c r="AF8" s="24" t="s">
        <v>116</v>
      </c>
      <c r="AG8" s="24"/>
      <c r="AH8" s="24"/>
      <c r="AI8" s="24"/>
      <c r="AJ8" s="24"/>
      <c r="AK8" s="24"/>
      <c r="AL8" s="24"/>
      <c r="AM8" s="24"/>
      <c r="AN8" s="24"/>
      <c r="AO8" s="25"/>
      <c r="AP8" s="25"/>
      <c r="AQ8" s="25"/>
      <c r="AR8" s="25"/>
      <c r="AS8" s="35" t="s">
        <v>1182</v>
      </c>
      <c r="AT8" s="36"/>
      <c r="AU8" s="36"/>
      <c r="AV8" s="36"/>
      <c r="AW8" s="36"/>
      <c r="AX8" s="36"/>
      <c r="AY8" s="36"/>
      <c r="AZ8" s="36"/>
      <c r="BA8" s="36"/>
      <c r="BB8" s="36"/>
      <c r="BC8" s="36"/>
      <c r="BD8" s="50"/>
    </row>
    <row r="9" spans="1:56" ht="14.4" customHeight="1">
      <c r="A9" s="37">
        <f>IF(B9="","",COUNTA($B$8:B9))</f>
        <v>2</v>
      </c>
      <c r="B9" s="17" t="s">
        <v>1613</v>
      </c>
      <c r="C9" s="18"/>
      <c r="D9" s="18"/>
      <c r="E9" s="18"/>
      <c r="F9" s="18"/>
      <c r="G9" s="18"/>
      <c r="H9" s="18"/>
      <c r="I9" s="276" t="s">
        <v>1398</v>
      </c>
      <c r="J9" s="20"/>
      <c r="K9" s="20"/>
      <c r="L9" s="20"/>
      <c r="M9" s="20"/>
      <c r="N9" s="20"/>
      <c r="O9" s="20"/>
      <c r="P9" s="20"/>
      <c r="Q9" s="20"/>
      <c r="R9" s="17" t="s">
        <v>1613</v>
      </c>
      <c r="S9" s="18"/>
      <c r="T9" s="18"/>
      <c r="U9" s="18"/>
      <c r="V9" s="18"/>
      <c r="W9" s="18"/>
      <c r="X9" s="18"/>
      <c r="Y9" s="589" t="s">
        <v>1504</v>
      </c>
      <c r="Z9" s="590"/>
      <c r="AA9" s="591" t="s">
        <v>1505</v>
      </c>
      <c r="AB9" s="592"/>
      <c r="AC9" s="593"/>
      <c r="AD9" s="53">
        <v>11</v>
      </c>
      <c r="AE9" s="24" t="s">
        <v>1585</v>
      </c>
      <c r="AF9" s="24"/>
      <c r="AG9" s="24"/>
      <c r="AH9" s="24"/>
      <c r="AI9" s="24"/>
      <c r="AJ9" s="24"/>
      <c r="AK9" s="24"/>
      <c r="AL9" s="24"/>
      <c r="AM9" s="24"/>
      <c r="AN9" s="24"/>
      <c r="AO9" s="25"/>
      <c r="AP9" s="25"/>
      <c r="AQ9" s="25"/>
      <c r="AR9" s="25"/>
      <c r="AS9" s="35" t="s">
        <v>1184</v>
      </c>
      <c r="AT9" s="36"/>
      <c r="AU9" s="36"/>
      <c r="AV9" s="36"/>
      <c r="AW9" s="36"/>
      <c r="AX9" s="36"/>
      <c r="AY9" s="36"/>
      <c r="AZ9" s="36"/>
      <c r="BA9" s="36"/>
      <c r="BB9" s="36"/>
      <c r="BC9" s="36"/>
      <c r="BD9" s="50"/>
    </row>
    <row r="10" spans="1:56" ht="14.4" customHeight="1">
      <c r="A10" s="37">
        <f>IF(B10="","",COUNTA($B$8:B10))</f>
        <v>3</v>
      </c>
      <c r="B10" s="17" t="s">
        <v>1615</v>
      </c>
      <c r="C10" s="18"/>
      <c r="D10" s="18"/>
      <c r="E10" s="18"/>
      <c r="F10" s="18"/>
      <c r="G10" s="18"/>
      <c r="H10" s="18"/>
      <c r="I10" s="19" t="s">
        <v>1566</v>
      </c>
      <c r="J10" s="20"/>
      <c r="K10" s="20"/>
      <c r="L10" s="20"/>
      <c r="M10" s="20"/>
      <c r="N10" s="20"/>
      <c r="O10" s="20"/>
      <c r="P10" s="20"/>
      <c r="Q10" s="20"/>
      <c r="R10" s="17" t="s">
        <v>1615</v>
      </c>
      <c r="S10" s="18"/>
      <c r="T10" s="18"/>
      <c r="U10" s="18"/>
      <c r="V10" s="18"/>
      <c r="W10" s="18"/>
      <c r="X10" s="18"/>
      <c r="Y10" s="589" t="s">
        <v>1504</v>
      </c>
      <c r="Z10" s="590"/>
      <c r="AA10" s="591" t="s">
        <v>1505</v>
      </c>
      <c r="AB10" s="592"/>
      <c r="AC10" s="593"/>
      <c r="AD10" s="53">
        <v>11</v>
      </c>
      <c r="AE10" s="24" t="s">
        <v>1585</v>
      </c>
      <c r="AF10" s="24"/>
      <c r="AG10" s="24"/>
      <c r="AH10" s="24"/>
      <c r="AI10" s="24"/>
      <c r="AJ10" s="24"/>
      <c r="AK10" s="24"/>
      <c r="AL10" s="24"/>
      <c r="AM10" s="24"/>
      <c r="AN10" s="24"/>
      <c r="AO10" s="25"/>
      <c r="AP10" s="25"/>
      <c r="AQ10" s="25"/>
      <c r="AR10" s="25"/>
      <c r="AS10" s="35" t="s">
        <v>1184</v>
      </c>
      <c r="AT10" s="36"/>
      <c r="AU10" s="36"/>
      <c r="AV10" s="36"/>
      <c r="AW10" s="36"/>
      <c r="AX10" s="36"/>
      <c r="AY10" s="36"/>
      <c r="AZ10" s="36"/>
      <c r="BA10" s="36"/>
      <c r="BB10" s="36"/>
      <c r="BC10" s="36"/>
      <c r="BD10" s="50"/>
    </row>
    <row r="11" spans="1:56" ht="14.4" customHeight="1">
      <c r="A11" s="37">
        <f>IF(B11="","",COUNTA($B$8:B11))</f>
        <v>4</v>
      </c>
      <c r="B11" s="17" t="s">
        <v>1614</v>
      </c>
      <c r="C11" s="18"/>
      <c r="D11" s="18"/>
      <c r="E11" s="18"/>
      <c r="F11" s="18"/>
      <c r="G11" s="18"/>
      <c r="H11" s="18"/>
      <c r="I11" s="19" t="s">
        <v>1399</v>
      </c>
      <c r="J11" s="20"/>
      <c r="K11" s="20"/>
      <c r="L11" s="20"/>
      <c r="M11" s="20"/>
      <c r="N11" s="20"/>
      <c r="O11" s="20"/>
      <c r="P11" s="20"/>
      <c r="Q11" s="20"/>
      <c r="R11" s="17" t="s">
        <v>1614</v>
      </c>
      <c r="S11" s="18"/>
      <c r="T11" s="18"/>
      <c r="U11" s="18"/>
      <c r="V11" s="18"/>
      <c r="W11" s="18"/>
      <c r="X11" s="18"/>
      <c r="Y11" s="589" t="s">
        <v>1516</v>
      </c>
      <c r="Z11" s="590"/>
      <c r="AA11" s="591" t="s">
        <v>1517</v>
      </c>
      <c r="AB11" s="592"/>
      <c r="AC11" s="593"/>
      <c r="AD11" s="53">
        <v>3</v>
      </c>
      <c r="AE11" s="24" t="s">
        <v>1585</v>
      </c>
      <c r="AF11" s="24"/>
      <c r="AG11" s="24"/>
      <c r="AH11" s="24"/>
      <c r="AI11" s="24"/>
      <c r="AJ11" s="24"/>
      <c r="AK11" s="24"/>
      <c r="AL11" s="24"/>
      <c r="AM11" s="24"/>
      <c r="AN11" s="24"/>
      <c r="AO11" s="25"/>
      <c r="AP11" s="25"/>
      <c r="AQ11" s="25"/>
      <c r="AR11" s="25"/>
      <c r="AS11" s="35" t="s">
        <v>1184</v>
      </c>
      <c r="AT11" s="36"/>
      <c r="AU11" s="36"/>
      <c r="AV11" s="36"/>
      <c r="AW11" s="36"/>
      <c r="AX11" s="36"/>
      <c r="AY11" s="36"/>
      <c r="AZ11" s="36"/>
      <c r="BA11" s="36"/>
      <c r="BB11" s="36"/>
      <c r="BC11" s="36"/>
      <c r="BD11" s="50"/>
    </row>
    <row r="12" spans="1:56" ht="14.4" customHeight="1">
      <c r="A12" s="37">
        <f>IF(B12="","",COUNTA($B$8:B12))</f>
        <v>5</v>
      </c>
      <c r="B12" s="17" t="s">
        <v>1611</v>
      </c>
      <c r="C12" s="18"/>
      <c r="D12" s="18"/>
      <c r="E12" s="18"/>
      <c r="F12" s="18"/>
      <c r="G12" s="18"/>
      <c r="H12" s="18"/>
      <c r="I12" s="26" t="s">
        <v>1389</v>
      </c>
      <c r="J12" s="20"/>
      <c r="K12" s="20"/>
      <c r="L12" s="20"/>
      <c r="M12" s="20"/>
      <c r="N12" s="20"/>
      <c r="O12" s="20"/>
      <c r="P12" s="20"/>
      <c r="Q12" s="20"/>
      <c r="R12" s="17" t="s">
        <v>1611</v>
      </c>
      <c r="S12" s="18"/>
      <c r="T12" s="18"/>
      <c r="U12" s="18"/>
      <c r="V12" s="18"/>
      <c r="W12" s="18"/>
      <c r="X12" s="18"/>
      <c r="Y12" s="647" t="s">
        <v>141</v>
      </c>
      <c r="Z12" s="675"/>
      <c r="AA12" s="649" t="s">
        <v>1505</v>
      </c>
      <c r="AB12" s="650"/>
      <c r="AC12" s="651"/>
      <c r="AD12" s="118">
        <v>2</v>
      </c>
      <c r="AE12" s="24" t="s">
        <v>1585</v>
      </c>
      <c r="AF12" s="24"/>
      <c r="AG12" s="24"/>
      <c r="AH12" s="24"/>
      <c r="AI12" s="24"/>
      <c r="AJ12" s="24"/>
      <c r="AK12" s="24"/>
      <c r="AL12" s="24"/>
      <c r="AM12" s="24"/>
      <c r="AN12" s="24"/>
      <c r="AO12" s="25"/>
      <c r="AP12" s="25"/>
      <c r="AQ12" s="25"/>
      <c r="AR12" s="25"/>
      <c r="AS12" s="35" t="s">
        <v>1352</v>
      </c>
      <c r="AT12" s="36"/>
      <c r="AU12" s="36"/>
      <c r="AV12" s="36"/>
      <c r="AW12" s="36"/>
      <c r="AX12" s="36"/>
      <c r="AY12" s="36"/>
      <c r="AZ12" s="36"/>
      <c r="BA12" s="36"/>
      <c r="BB12" s="36"/>
      <c r="BC12" s="36"/>
      <c r="BD12" s="50"/>
    </row>
    <row r="13" spans="1:56" ht="14.4" customHeight="1">
      <c r="A13" s="37">
        <f>IF(B13="","",COUNTA($B$8:B13))</f>
        <v>6</v>
      </c>
      <c r="B13" s="17" t="s">
        <v>1610</v>
      </c>
      <c r="C13" s="18"/>
      <c r="D13" s="18"/>
      <c r="E13" s="18"/>
      <c r="F13" s="18"/>
      <c r="G13" s="18"/>
      <c r="H13" s="18"/>
      <c r="I13" s="19" t="s">
        <v>1567</v>
      </c>
      <c r="J13" s="20"/>
      <c r="K13" s="20"/>
      <c r="L13" s="20"/>
      <c r="M13" s="20"/>
      <c r="N13" s="20"/>
      <c r="O13" s="20"/>
      <c r="P13" s="20"/>
      <c r="Q13" s="20"/>
      <c r="R13" s="17" t="s">
        <v>1610</v>
      </c>
      <c r="S13" s="18"/>
      <c r="T13" s="18"/>
      <c r="U13" s="18"/>
      <c r="V13" s="18"/>
      <c r="W13" s="18"/>
      <c r="X13" s="18"/>
      <c r="Y13" s="647" t="s">
        <v>141</v>
      </c>
      <c r="Z13" s="675"/>
      <c r="AA13" s="649" t="s">
        <v>1505</v>
      </c>
      <c r="AB13" s="650"/>
      <c r="AC13" s="651"/>
      <c r="AD13" s="118">
        <v>2</v>
      </c>
      <c r="AE13" s="95"/>
      <c r="AF13" s="24"/>
      <c r="AG13" s="24"/>
      <c r="AH13" s="24"/>
      <c r="AI13" s="24"/>
      <c r="AJ13" s="24"/>
      <c r="AK13" s="24"/>
      <c r="AL13" s="24"/>
      <c r="AM13" s="24"/>
      <c r="AN13" s="24"/>
      <c r="AO13" s="25"/>
      <c r="AP13" s="25"/>
      <c r="AQ13" s="25"/>
      <c r="AR13" s="25"/>
      <c r="AS13" s="35" t="s">
        <v>1352</v>
      </c>
      <c r="AT13" s="36"/>
      <c r="AU13" s="36"/>
      <c r="AV13" s="36"/>
      <c r="AW13" s="36"/>
      <c r="AX13" s="36"/>
      <c r="AY13" s="36"/>
      <c r="AZ13" s="36"/>
      <c r="BA13" s="36"/>
      <c r="BB13" s="36"/>
      <c r="BC13" s="36"/>
      <c r="BD13" s="50"/>
    </row>
    <row r="14" spans="1:56" ht="14.4" customHeight="1">
      <c r="A14" s="37">
        <f>IF(B14="","",COUNTA($B$8:B14))</f>
        <v>7</v>
      </c>
      <c r="B14" s="17" t="s">
        <v>1612</v>
      </c>
      <c r="C14" s="18"/>
      <c r="D14" s="18"/>
      <c r="E14" s="18"/>
      <c r="F14" s="18"/>
      <c r="G14" s="18"/>
      <c r="H14" s="18"/>
      <c r="I14" s="19" t="s">
        <v>1396</v>
      </c>
      <c r="J14" s="20"/>
      <c r="K14" s="20"/>
      <c r="L14" s="20"/>
      <c r="M14" s="20"/>
      <c r="N14" s="20"/>
      <c r="O14" s="20"/>
      <c r="P14" s="20"/>
      <c r="Q14" s="20"/>
      <c r="R14" s="17" t="s">
        <v>1612</v>
      </c>
      <c r="S14" s="18"/>
      <c r="T14" s="18"/>
      <c r="U14" s="18"/>
      <c r="V14" s="18"/>
      <c r="W14" s="18"/>
      <c r="X14" s="18"/>
      <c r="Y14" s="589" t="s">
        <v>1516</v>
      </c>
      <c r="Z14" s="636"/>
      <c r="AA14" s="591" t="s">
        <v>1517</v>
      </c>
      <c r="AB14" s="592"/>
      <c r="AC14" s="593"/>
      <c r="AD14" s="23">
        <v>3</v>
      </c>
      <c r="AE14" s="24" t="s">
        <v>1585</v>
      </c>
      <c r="AF14" s="24"/>
      <c r="AG14" s="24"/>
      <c r="AH14" s="24"/>
      <c r="AI14" s="24"/>
      <c r="AJ14" s="24"/>
      <c r="AK14" s="24"/>
      <c r="AL14" s="24"/>
      <c r="AM14" s="24"/>
      <c r="AN14" s="24"/>
      <c r="AO14" s="25"/>
      <c r="AP14" s="25"/>
      <c r="AQ14" s="25"/>
      <c r="AR14" s="25"/>
      <c r="AS14" s="35" t="s">
        <v>1352</v>
      </c>
      <c r="AT14" s="36"/>
      <c r="AU14" s="36"/>
      <c r="AV14" s="36"/>
      <c r="AW14" s="36"/>
      <c r="AX14" s="36"/>
      <c r="AY14" s="36"/>
      <c r="AZ14" s="36"/>
      <c r="BA14" s="36"/>
      <c r="BB14" s="36"/>
      <c r="BC14" s="36"/>
      <c r="BD14" s="50"/>
    </row>
    <row r="15" spans="1:56" ht="14.4" customHeight="1">
      <c r="A15" s="37">
        <f>IF(B15="","",COUNTA($B$8:B15))</f>
        <v>8</v>
      </c>
      <c r="B15" s="35" t="s">
        <v>1728</v>
      </c>
      <c r="C15" s="34"/>
      <c r="D15" s="34"/>
      <c r="E15" s="34"/>
      <c r="F15" s="34"/>
      <c r="G15" s="34"/>
      <c r="H15" s="34"/>
      <c r="I15" s="35" t="s">
        <v>1390</v>
      </c>
      <c r="J15" s="27"/>
      <c r="K15" s="27"/>
      <c r="L15" s="27"/>
      <c r="M15" s="27"/>
      <c r="N15" s="27"/>
      <c r="O15" s="27"/>
      <c r="P15" s="27"/>
      <c r="Q15" s="27"/>
      <c r="R15" s="35" t="s">
        <v>1728</v>
      </c>
      <c r="S15" s="34"/>
      <c r="T15" s="34"/>
      <c r="U15" s="34"/>
      <c r="V15" s="34"/>
      <c r="W15" s="34"/>
      <c r="X15" s="34"/>
      <c r="Y15" s="589" t="s">
        <v>1510</v>
      </c>
      <c r="Z15" s="590"/>
      <c r="AA15" s="591" t="s">
        <v>1511</v>
      </c>
      <c r="AB15" s="592"/>
      <c r="AC15" s="593"/>
      <c r="AD15" s="53"/>
      <c r="AE15" s="25"/>
      <c r="AF15" s="25"/>
      <c r="AG15" s="25"/>
      <c r="AH15" s="25"/>
      <c r="AI15" s="25"/>
      <c r="AJ15" s="25"/>
      <c r="AK15" s="25"/>
      <c r="AL15" s="25"/>
      <c r="AM15" s="25"/>
      <c r="AN15" s="25"/>
      <c r="AO15" s="25"/>
      <c r="AP15" s="25"/>
      <c r="AQ15" s="25"/>
      <c r="AR15" s="25"/>
      <c r="AS15" s="35" t="s">
        <v>224</v>
      </c>
      <c r="AT15" s="36"/>
      <c r="AU15" s="36"/>
      <c r="AV15" s="36"/>
      <c r="AW15" s="36"/>
      <c r="AX15" s="36"/>
      <c r="AY15" s="36"/>
      <c r="AZ15" s="36"/>
      <c r="BA15" s="36"/>
      <c r="BB15" s="36"/>
      <c r="BC15" s="36"/>
      <c r="BD15" s="50"/>
    </row>
    <row r="16" spans="1:56" ht="14.4" customHeight="1">
      <c r="A16" s="37">
        <f>IF(B16="","",COUNTA($B$8:B16))</f>
        <v>9</v>
      </c>
      <c r="B16" s="35" t="s">
        <v>1726</v>
      </c>
      <c r="C16" s="34"/>
      <c r="D16" s="34"/>
      <c r="E16" s="34"/>
      <c r="F16" s="34"/>
      <c r="G16" s="34"/>
      <c r="H16" s="34"/>
      <c r="I16" s="35" t="s">
        <v>1391</v>
      </c>
      <c r="J16" s="27"/>
      <c r="K16" s="27"/>
      <c r="L16" s="27"/>
      <c r="M16" s="27"/>
      <c r="N16" s="27"/>
      <c r="O16" s="27"/>
      <c r="P16" s="27"/>
      <c r="Q16" s="27"/>
      <c r="R16" s="35" t="s">
        <v>1726</v>
      </c>
      <c r="S16" s="34"/>
      <c r="T16" s="34"/>
      <c r="U16" s="34"/>
      <c r="V16" s="34"/>
      <c r="W16" s="34"/>
      <c r="X16" s="34"/>
      <c r="Y16" s="589" t="s">
        <v>1504</v>
      </c>
      <c r="Z16" s="590"/>
      <c r="AA16" s="591" t="s">
        <v>1505</v>
      </c>
      <c r="AB16" s="592"/>
      <c r="AC16" s="593"/>
      <c r="AD16" s="53">
        <v>3</v>
      </c>
      <c r="AE16" s="25"/>
      <c r="AF16" s="25"/>
      <c r="AG16" s="25"/>
      <c r="AH16" s="25"/>
      <c r="AI16" s="25"/>
      <c r="AJ16" s="25"/>
      <c r="AK16" s="25"/>
      <c r="AL16" s="25"/>
      <c r="AM16" s="25"/>
      <c r="AN16" s="25"/>
      <c r="AO16" s="25"/>
      <c r="AP16" s="25"/>
      <c r="AQ16" s="25"/>
      <c r="AR16" s="25"/>
      <c r="AS16" s="35" t="s">
        <v>271</v>
      </c>
      <c r="AT16" s="36"/>
      <c r="AU16" s="36"/>
      <c r="AV16" s="36"/>
      <c r="AW16" s="36"/>
      <c r="AX16" s="36"/>
      <c r="AY16" s="36"/>
      <c r="AZ16" s="36"/>
      <c r="BA16" s="36"/>
      <c r="BB16" s="36"/>
      <c r="BC16" s="36"/>
      <c r="BD16" s="50"/>
    </row>
    <row r="17" spans="1:57" ht="14.4" customHeight="1">
      <c r="A17" s="37">
        <f>IF(B17="","",COUNTA($B$8:B17))</f>
        <v>10</v>
      </c>
      <c r="B17" s="87" t="s">
        <v>1621</v>
      </c>
      <c r="C17" s="34"/>
      <c r="D17" s="34"/>
      <c r="E17" s="34"/>
      <c r="F17" s="34"/>
      <c r="G17" s="34"/>
      <c r="H17" s="34"/>
      <c r="I17" s="35" t="s">
        <v>1393</v>
      </c>
      <c r="J17" s="27"/>
      <c r="K17" s="27"/>
      <c r="L17" s="27"/>
      <c r="M17" s="27"/>
      <c r="N17" s="27"/>
      <c r="O17" s="27"/>
      <c r="P17" s="27"/>
      <c r="Q17" s="27"/>
      <c r="R17" s="87" t="s">
        <v>1621</v>
      </c>
      <c r="S17" s="34"/>
      <c r="T17" s="34"/>
      <c r="U17" s="34"/>
      <c r="V17" s="34"/>
      <c r="W17" s="34"/>
      <c r="X17" s="34"/>
      <c r="Y17" s="589" t="s">
        <v>1504</v>
      </c>
      <c r="Z17" s="590"/>
      <c r="AA17" s="591" t="s">
        <v>1505</v>
      </c>
      <c r="AB17" s="592"/>
      <c r="AC17" s="593"/>
      <c r="AD17" s="53">
        <v>3</v>
      </c>
      <c r="AE17" s="25"/>
      <c r="AF17" s="25"/>
      <c r="AG17" s="25"/>
      <c r="AH17" s="25"/>
      <c r="AI17" s="25"/>
      <c r="AJ17" s="25"/>
      <c r="AK17" s="25"/>
      <c r="AL17" s="25"/>
      <c r="AM17" s="25"/>
      <c r="AN17" s="25"/>
      <c r="AO17" s="25"/>
      <c r="AP17" s="25"/>
      <c r="AQ17" s="25"/>
      <c r="AR17" s="25"/>
      <c r="AS17" s="35" t="s">
        <v>1213</v>
      </c>
      <c r="AT17" s="36"/>
      <c r="AU17" s="36"/>
      <c r="AV17" s="36"/>
      <c r="AW17" s="36"/>
      <c r="AX17" s="36"/>
      <c r="AY17" s="36"/>
      <c r="AZ17" s="36"/>
      <c r="BA17" s="36"/>
      <c r="BB17" s="36"/>
      <c r="BC17" s="36"/>
      <c r="BD17" s="50"/>
    </row>
    <row r="18" spans="1:57" ht="14.4" customHeight="1">
      <c r="A18" s="231">
        <f>IF(B18="","",COUNTA($B$8:B18))</f>
        <v>11</v>
      </c>
      <c r="B18" s="232" t="s">
        <v>1344</v>
      </c>
      <c r="C18" s="233"/>
      <c r="D18" s="233"/>
      <c r="E18" s="233"/>
      <c r="F18" s="233"/>
      <c r="G18" s="233"/>
      <c r="H18" s="233"/>
      <c r="I18" s="232" t="s">
        <v>1444</v>
      </c>
      <c r="J18" s="234"/>
      <c r="K18" s="234"/>
      <c r="L18" s="234"/>
      <c r="M18" s="234"/>
      <c r="N18" s="234"/>
      <c r="O18" s="234"/>
      <c r="P18" s="234"/>
      <c r="Q18" s="234"/>
      <c r="R18" s="232" t="s">
        <v>1344</v>
      </c>
      <c r="S18" s="233"/>
      <c r="T18" s="233"/>
      <c r="U18" s="233"/>
      <c r="V18" s="233"/>
      <c r="W18" s="233"/>
      <c r="X18" s="233"/>
      <c r="Y18" s="690" t="s">
        <v>1504</v>
      </c>
      <c r="Z18" s="691"/>
      <c r="AA18" s="681" t="s">
        <v>1505</v>
      </c>
      <c r="AB18" s="682"/>
      <c r="AC18" s="683"/>
      <c r="AD18" s="239">
        <v>4</v>
      </c>
      <c r="AE18" s="240"/>
      <c r="AF18" s="240"/>
      <c r="AG18" s="240"/>
      <c r="AH18" s="240"/>
      <c r="AI18" s="240"/>
      <c r="AJ18" s="240"/>
      <c r="AK18" s="240"/>
      <c r="AL18" s="240"/>
      <c r="AM18" s="240"/>
      <c r="AN18" s="240"/>
      <c r="AO18" s="240"/>
      <c r="AP18" s="240"/>
      <c r="AQ18" s="240"/>
      <c r="AR18" s="240"/>
      <c r="AS18" s="232" t="s">
        <v>1359</v>
      </c>
      <c r="AT18" s="241"/>
      <c r="AU18" s="241"/>
      <c r="AV18" s="241"/>
      <c r="AW18" s="241"/>
      <c r="AX18" s="241"/>
      <c r="AY18" s="241"/>
      <c r="AZ18" s="241"/>
      <c r="BA18" s="241"/>
      <c r="BB18" s="241"/>
      <c r="BC18" s="241"/>
      <c r="BD18" s="242"/>
      <c r="BE18" s="16" t="s">
        <v>1360</v>
      </c>
    </row>
    <row r="19" spans="1:57" ht="14.4" customHeight="1">
      <c r="A19" s="231">
        <f>IF(B19="","",COUNTA($B$8:B19))</f>
        <v>12</v>
      </c>
      <c r="B19" s="232" t="s">
        <v>1529</v>
      </c>
      <c r="C19" s="233"/>
      <c r="D19" s="233"/>
      <c r="E19" s="233"/>
      <c r="F19" s="233"/>
      <c r="G19" s="233"/>
      <c r="H19" s="233"/>
      <c r="I19" s="232" t="s">
        <v>457</v>
      </c>
      <c r="J19" s="234"/>
      <c r="K19" s="234"/>
      <c r="L19" s="234"/>
      <c r="M19" s="234"/>
      <c r="N19" s="234"/>
      <c r="O19" s="234"/>
      <c r="P19" s="234"/>
      <c r="Q19" s="234"/>
      <c r="R19" s="232" t="s">
        <v>1529</v>
      </c>
      <c r="S19" s="233"/>
      <c r="T19" s="233"/>
      <c r="U19" s="233"/>
      <c r="V19" s="233"/>
      <c r="W19" s="233"/>
      <c r="X19" s="233"/>
      <c r="Y19" s="690" t="s">
        <v>1504</v>
      </c>
      <c r="Z19" s="692"/>
      <c r="AA19" s="681" t="s">
        <v>1505</v>
      </c>
      <c r="AB19" s="682"/>
      <c r="AC19" s="683"/>
      <c r="AD19" s="239">
        <v>5</v>
      </c>
      <c r="AE19" s="240"/>
      <c r="AF19" s="240"/>
      <c r="AG19" s="240"/>
      <c r="AH19" s="240"/>
      <c r="AI19" s="240"/>
      <c r="AJ19" s="240"/>
      <c r="AK19" s="240"/>
      <c r="AL19" s="240"/>
      <c r="AM19" s="240"/>
      <c r="AN19" s="240"/>
      <c r="AO19" s="240"/>
      <c r="AP19" s="240"/>
      <c r="AQ19" s="240"/>
      <c r="AR19" s="240"/>
      <c r="AS19" s="232" t="s">
        <v>1359</v>
      </c>
      <c r="AT19" s="241"/>
      <c r="AU19" s="241"/>
      <c r="AV19" s="241"/>
      <c r="AW19" s="241"/>
      <c r="AX19" s="241"/>
      <c r="AY19" s="241"/>
      <c r="AZ19" s="241"/>
      <c r="BA19" s="241"/>
      <c r="BB19" s="241"/>
      <c r="BC19" s="241"/>
      <c r="BD19" s="242"/>
      <c r="BE19" s="16" t="s">
        <v>1361</v>
      </c>
    </row>
    <row r="20" spans="1:57" ht="14.4" customHeight="1">
      <c r="A20" s="37">
        <f>IF(B20="","",COUNTA($B$8:B20))</f>
        <v>13</v>
      </c>
      <c r="B20" s="35" t="s">
        <v>1514</v>
      </c>
      <c r="C20" s="34"/>
      <c r="D20" s="34"/>
      <c r="E20" s="34"/>
      <c r="F20" s="34"/>
      <c r="G20" s="34"/>
      <c r="H20" s="34"/>
      <c r="I20" s="275" t="s">
        <v>1394</v>
      </c>
      <c r="J20" s="27"/>
      <c r="K20" s="27"/>
      <c r="L20" s="27"/>
      <c r="M20" s="27"/>
      <c r="N20" s="27"/>
      <c r="O20" s="27"/>
      <c r="P20" s="27"/>
      <c r="Q20" s="27"/>
      <c r="R20" s="35" t="s">
        <v>1514</v>
      </c>
      <c r="S20" s="34"/>
      <c r="T20" s="34"/>
      <c r="U20" s="34"/>
      <c r="V20" s="34"/>
      <c r="W20" s="34"/>
      <c r="X20" s="34"/>
      <c r="Y20" s="589" t="s">
        <v>1504</v>
      </c>
      <c r="Z20" s="590"/>
      <c r="AA20" s="591" t="s">
        <v>1505</v>
      </c>
      <c r="AB20" s="592"/>
      <c r="AC20" s="593"/>
      <c r="AD20" s="53">
        <v>20</v>
      </c>
      <c r="AE20" s="25"/>
      <c r="AF20" s="25"/>
      <c r="AG20" s="25"/>
      <c r="AH20" s="25"/>
      <c r="AI20" s="25"/>
      <c r="AJ20" s="25"/>
      <c r="AK20" s="25"/>
      <c r="AL20" s="25"/>
      <c r="AM20" s="25"/>
      <c r="AN20" s="25"/>
      <c r="AO20" s="25"/>
      <c r="AP20" s="25"/>
      <c r="AQ20" s="25"/>
      <c r="AR20" s="25"/>
      <c r="AS20" s="35" t="s">
        <v>1359</v>
      </c>
      <c r="AT20" s="36"/>
      <c r="AU20" s="36"/>
      <c r="AV20" s="36"/>
      <c r="AW20" s="36"/>
      <c r="AX20" s="36"/>
      <c r="AY20" s="36"/>
      <c r="AZ20" s="36"/>
      <c r="BA20" s="36"/>
      <c r="BB20" s="36"/>
      <c r="BC20" s="36"/>
      <c r="BD20" s="50"/>
    </row>
    <row r="21" spans="1:57" ht="14.4" customHeight="1">
      <c r="A21" s="37">
        <f>IF(B21="","",COUNTA($B$8:B21))</f>
        <v>14</v>
      </c>
      <c r="B21" s="35" t="s">
        <v>1506</v>
      </c>
      <c r="C21" s="34"/>
      <c r="D21" s="34"/>
      <c r="E21" s="34"/>
      <c r="F21" s="34"/>
      <c r="G21" s="34"/>
      <c r="H21" s="34"/>
      <c r="I21" s="35" t="s">
        <v>1507</v>
      </c>
      <c r="J21" s="27"/>
      <c r="K21" s="27"/>
      <c r="L21" s="27"/>
      <c r="M21" s="27"/>
      <c r="N21" s="27"/>
      <c r="O21" s="27"/>
      <c r="P21" s="27"/>
      <c r="Q21" s="27"/>
      <c r="R21" s="35" t="s">
        <v>1506</v>
      </c>
      <c r="S21" s="34"/>
      <c r="T21" s="34"/>
      <c r="U21" s="34"/>
      <c r="V21" s="34"/>
      <c r="W21" s="34"/>
      <c r="X21" s="34"/>
      <c r="Y21" s="589" t="s">
        <v>1504</v>
      </c>
      <c r="Z21" s="590"/>
      <c r="AA21" s="591" t="s">
        <v>1505</v>
      </c>
      <c r="AB21" s="592"/>
      <c r="AC21" s="593"/>
      <c r="AD21" s="53">
        <v>3</v>
      </c>
      <c r="AE21" s="25"/>
      <c r="AF21" s="25"/>
      <c r="AG21" s="25"/>
      <c r="AH21" s="25"/>
      <c r="AI21" s="25"/>
      <c r="AJ21" s="25"/>
      <c r="AK21" s="25"/>
      <c r="AL21" s="25"/>
      <c r="AM21" s="25"/>
      <c r="AN21" s="25"/>
      <c r="AO21" s="25"/>
      <c r="AP21" s="25"/>
      <c r="AQ21" s="25"/>
      <c r="AR21" s="25"/>
      <c r="AS21" s="35" t="s">
        <v>1359</v>
      </c>
      <c r="AT21" s="36"/>
      <c r="AU21" s="36"/>
      <c r="AV21" s="36"/>
      <c r="AW21" s="36"/>
      <c r="AX21" s="36"/>
      <c r="AY21" s="36"/>
      <c r="AZ21" s="36"/>
      <c r="BA21" s="36"/>
      <c r="BB21" s="36"/>
      <c r="BC21" s="36"/>
      <c r="BD21" s="50"/>
    </row>
    <row r="22" spans="1:57" ht="14.4" customHeight="1">
      <c r="A22" s="231">
        <f>IF(B22="","",COUNTA($B$8:B22))</f>
        <v>15</v>
      </c>
      <c r="B22" s="232" t="s">
        <v>1716</v>
      </c>
      <c r="C22" s="233"/>
      <c r="D22" s="233"/>
      <c r="E22" s="233"/>
      <c r="F22" s="233"/>
      <c r="G22" s="233"/>
      <c r="H22" s="233"/>
      <c r="I22" s="232" t="s">
        <v>570</v>
      </c>
      <c r="J22" s="234"/>
      <c r="K22" s="234"/>
      <c r="L22" s="234"/>
      <c r="M22" s="234"/>
      <c r="N22" s="234"/>
      <c r="O22" s="234"/>
      <c r="P22" s="234"/>
      <c r="Q22" s="234"/>
      <c r="R22" s="232" t="s">
        <v>1716</v>
      </c>
      <c r="S22" s="233"/>
      <c r="T22" s="233"/>
      <c r="U22" s="233"/>
      <c r="V22" s="233"/>
      <c r="W22" s="233"/>
      <c r="X22" s="233"/>
      <c r="Y22" s="690" t="s">
        <v>1504</v>
      </c>
      <c r="Z22" s="692"/>
      <c r="AA22" s="681" t="s">
        <v>1505</v>
      </c>
      <c r="AB22" s="682"/>
      <c r="AC22" s="683"/>
      <c r="AD22" s="239">
        <v>2</v>
      </c>
      <c r="AE22" s="240"/>
      <c r="AF22" s="240"/>
      <c r="AG22" s="240"/>
      <c r="AH22" s="240"/>
      <c r="AI22" s="240"/>
      <c r="AJ22" s="240"/>
      <c r="AK22" s="240"/>
      <c r="AL22" s="240"/>
      <c r="AM22" s="240"/>
      <c r="AN22" s="240"/>
      <c r="AO22" s="240"/>
      <c r="AP22" s="240"/>
      <c r="AQ22" s="240"/>
      <c r="AR22" s="240"/>
      <c r="AS22" s="232" t="s">
        <v>1359</v>
      </c>
      <c r="AT22" s="241"/>
      <c r="AU22" s="241"/>
      <c r="AV22" s="241"/>
      <c r="AW22" s="241"/>
      <c r="AX22" s="241"/>
      <c r="AY22" s="241"/>
      <c r="AZ22" s="241"/>
      <c r="BA22" s="241"/>
      <c r="BB22" s="241"/>
      <c r="BC22" s="241"/>
      <c r="BD22" s="242"/>
      <c r="BE22" s="16" t="s">
        <v>1361</v>
      </c>
    </row>
    <row r="23" spans="1:57" ht="14.4" customHeight="1">
      <c r="A23" s="231">
        <f>IF(B23="","",COUNTA($B$8:B23))</f>
        <v>16</v>
      </c>
      <c r="B23" s="232" t="s">
        <v>1718</v>
      </c>
      <c r="C23" s="233"/>
      <c r="D23" s="233"/>
      <c r="E23" s="233"/>
      <c r="F23" s="233"/>
      <c r="G23" s="233"/>
      <c r="H23" s="233"/>
      <c r="I23" s="232" t="s">
        <v>572</v>
      </c>
      <c r="J23" s="234"/>
      <c r="K23" s="234"/>
      <c r="L23" s="234"/>
      <c r="M23" s="234"/>
      <c r="N23" s="234"/>
      <c r="O23" s="234"/>
      <c r="P23" s="234"/>
      <c r="Q23" s="234"/>
      <c r="R23" s="232" t="s">
        <v>1718</v>
      </c>
      <c r="S23" s="233"/>
      <c r="T23" s="233"/>
      <c r="U23" s="233"/>
      <c r="V23" s="233"/>
      <c r="W23" s="233"/>
      <c r="X23" s="233"/>
      <c r="Y23" s="690" t="s">
        <v>1504</v>
      </c>
      <c r="Z23" s="692"/>
      <c r="AA23" s="681" t="s">
        <v>1505</v>
      </c>
      <c r="AB23" s="682"/>
      <c r="AC23" s="683"/>
      <c r="AD23" s="239">
        <v>2</v>
      </c>
      <c r="AE23" s="240"/>
      <c r="AF23" s="240"/>
      <c r="AG23" s="240"/>
      <c r="AH23" s="240"/>
      <c r="AI23" s="240"/>
      <c r="AJ23" s="240"/>
      <c r="AK23" s="240"/>
      <c r="AL23" s="240"/>
      <c r="AM23" s="240"/>
      <c r="AN23" s="240"/>
      <c r="AO23" s="240"/>
      <c r="AP23" s="240"/>
      <c r="AQ23" s="240"/>
      <c r="AR23" s="240"/>
      <c r="AS23" s="232" t="s">
        <v>1359</v>
      </c>
      <c r="AT23" s="241"/>
      <c r="AU23" s="241"/>
      <c r="AV23" s="241"/>
      <c r="AW23" s="241"/>
      <c r="AX23" s="241"/>
      <c r="AY23" s="241"/>
      <c r="AZ23" s="241"/>
      <c r="BA23" s="241"/>
      <c r="BB23" s="241"/>
      <c r="BC23" s="241"/>
      <c r="BD23" s="242"/>
      <c r="BE23" s="16" t="s">
        <v>1361</v>
      </c>
    </row>
    <row r="24" spans="1:57" ht="14.4" customHeight="1">
      <c r="A24" s="37">
        <f>IF(B24="","",COUNTA($B$8:B24))</f>
        <v>17</v>
      </c>
      <c r="B24" s="35" t="s">
        <v>505</v>
      </c>
      <c r="C24" s="34"/>
      <c r="D24" s="34"/>
      <c r="E24" s="34"/>
      <c r="F24" s="34"/>
      <c r="G24" s="34"/>
      <c r="H24" s="34"/>
      <c r="I24" s="35" t="s">
        <v>1525</v>
      </c>
      <c r="J24" s="27"/>
      <c r="K24" s="27"/>
      <c r="L24" s="27"/>
      <c r="M24" s="27"/>
      <c r="N24" s="27"/>
      <c r="O24" s="27"/>
      <c r="P24" s="27"/>
      <c r="Q24" s="27"/>
      <c r="R24" s="35" t="s">
        <v>260</v>
      </c>
      <c r="S24" s="34"/>
      <c r="T24" s="34"/>
      <c r="U24" s="34"/>
      <c r="V24" s="34"/>
      <c r="W24" s="34"/>
      <c r="X24" s="34"/>
      <c r="Y24" s="589" t="s">
        <v>1504</v>
      </c>
      <c r="Z24" s="590"/>
      <c r="AA24" s="591" t="s">
        <v>1505</v>
      </c>
      <c r="AB24" s="592"/>
      <c r="AC24" s="593"/>
      <c r="AD24" s="53">
        <v>4</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7" ht="14.4" customHeight="1">
      <c r="A25" s="37">
        <f>IF(B25="","",COUNTA($B$8:B25))</f>
        <v>18</v>
      </c>
      <c r="B25" s="35" t="s">
        <v>1526</v>
      </c>
      <c r="C25" s="34"/>
      <c r="D25" s="34"/>
      <c r="E25" s="34"/>
      <c r="F25" s="34"/>
      <c r="G25" s="34"/>
      <c r="H25" s="34"/>
      <c r="I25" s="35" t="s">
        <v>1388</v>
      </c>
      <c r="J25" s="27"/>
      <c r="K25" s="27"/>
      <c r="L25" s="27"/>
      <c r="M25" s="27"/>
      <c r="N25" s="27"/>
      <c r="O25" s="27"/>
      <c r="P25" s="27"/>
      <c r="Q25" s="27"/>
      <c r="R25" s="35" t="s">
        <v>1526</v>
      </c>
      <c r="S25" s="34"/>
      <c r="T25" s="34"/>
      <c r="U25" s="34"/>
      <c r="V25" s="34"/>
      <c r="W25" s="34"/>
      <c r="X25" s="34"/>
      <c r="Y25" s="589" t="s">
        <v>1516</v>
      </c>
      <c r="Z25" s="590"/>
      <c r="AA25" s="591" t="s">
        <v>1517</v>
      </c>
      <c r="AB25" s="592"/>
      <c r="AC25" s="593"/>
      <c r="AD25" s="53">
        <v>7</v>
      </c>
      <c r="AE25" s="25">
        <v>2</v>
      </c>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7" ht="14.4" customHeight="1">
      <c r="A26" s="37">
        <f>IF(B26="","",COUNTA($B$8:B26))</f>
        <v>19</v>
      </c>
      <c r="B26" s="35" t="s">
        <v>431</v>
      </c>
      <c r="C26" s="34"/>
      <c r="D26" s="34"/>
      <c r="E26" s="34"/>
      <c r="F26" s="34"/>
      <c r="G26" s="34"/>
      <c r="H26" s="34"/>
      <c r="I26" s="35" t="s">
        <v>432</v>
      </c>
      <c r="J26" s="27"/>
      <c r="K26" s="27"/>
      <c r="L26" s="27"/>
      <c r="M26" s="27"/>
      <c r="N26" s="27"/>
      <c r="O26" s="27"/>
      <c r="P26" s="27"/>
      <c r="Q26" s="27"/>
      <c r="R26" s="35" t="s">
        <v>431</v>
      </c>
      <c r="S26" s="34"/>
      <c r="T26" s="34"/>
      <c r="U26" s="34"/>
      <c r="V26" s="34"/>
      <c r="W26" s="34"/>
      <c r="X26" s="34"/>
      <c r="Y26" s="589" t="s">
        <v>1516</v>
      </c>
      <c r="Z26" s="636"/>
      <c r="AA26" s="591" t="s">
        <v>1517</v>
      </c>
      <c r="AB26" s="592"/>
      <c r="AC26" s="593"/>
      <c r="AD26" s="53">
        <v>7</v>
      </c>
      <c r="AE26" s="25">
        <v>3</v>
      </c>
      <c r="AF26" s="25"/>
      <c r="AG26" s="25"/>
      <c r="AH26" s="25"/>
      <c r="AI26" s="25"/>
      <c r="AJ26" s="25"/>
      <c r="AK26" s="25"/>
      <c r="AL26" s="25"/>
      <c r="AM26" s="25"/>
      <c r="AN26" s="25"/>
      <c r="AO26" s="25"/>
      <c r="AP26" s="25"/>
      <c r="AQ26" s="25"/>
      <c r="AR26" s="25"/>
      <c r="AS26" s="35" t="s">
        <v>1359</v>
      </c>
      <c r="AT26" s="36"/>
      <c r="AU26" s="36"/>
      <c r="AV26" s="36"/>
      <c r="AW26" s="36"/>
      <c r="AX26" s="36"/>
      <c r="AY26" s="36"/>
      <c r="AZ26" s="36"/>
      <c r="BA26" s="36"/>
      <c r="BB26" s="36"/>
      <c r="BC26" s="36"/>
      <c r="BD26" s="50"/>
    </row>
    <row r="27" spans="1:57" ht="14.4" customHeight="1">
      <c r="A27" s="37">
        <f>IF(B27="","",COUNTA($B$8:B27))</f>
        <v>20</v>
      </c>
      <c r="B27" s="35" t="s">
        <v>1632</v>
      </c>
      <c r="C27" s="34"/>
      <c r="D27" s="34"/>
      <c r="E27" s="34"/>
      <c r="F27" s="34"/>
      <c r="G27" s="34"/>
      <c r="H27" s="34"/>
      <c r="I27" s="276" t="s">
        <v>1568</v>
      </c>
      <c r="J27" s="27"/>
      <c r="K27" s="27"/>
      <c r="L27" s="27"/>
      <c r="M27" s="27"/>
      <c r="N27" s="27"/>
      <c r="O27" s="27"/>
      <c r="P27" s="27"/>
      <c r="Q27" s="27"/>
      <c r="R27" s="35" t="s">
        <v>1632</v>
      </c>
      <c r="S27" s="34"/>
      <c r="T27" s="34"/>
      <c r="U27" s="34"/>
      <c r="V27" s="34"/>
      <c r="W27" s="34"/>
      <c r="X27" s="34"/>
      <c r="Y27" s="589" t="s">
        <v>1516</v>
      </c>
      <c r="Z27" s="636"/>
      <c r="AA27" s="591" t="s">
        <v>1517</v>
      </c>
      <c r="AB27" s="592"/>
      <c r="AC27" s="593"/>
      <c r="AD27" s="53">
        <v>7</v>
      </c>
      <c r="AE27" s="25">
        <v>1</v>
      </c>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7" ht="14.4" customHeight="1">
      <c r="A28" s="37">
        <f>IF(B28="","",COUNTA($B$8:B28))</f>
        <v>21</v>
      </c>
      <c r="B28" s="17" t="s">
        <v>1302</v>
      </c>
      <c r="C28" s="18"/>
      <c r="D28" s="18"/>
      <c r="E28" s="18"/>
      <c r="F28" s="18"/>
      <c r="G28" s="18"/>
      <c r="H28" s="203"/>
      <c r="I28" s="26" t="s">
        <v>1303</v>
      </c>
      <c r="J28" s="20"/>
      <c r="K28" s="20"/>
      <c r="L28" s="20"/>
      <c r="M28" s="20"/>
      <c r="N28" s="20"/>
      <c r="O28" s="20"/>
      <c r="P28" s="20"/>
      <c r="Q28" s="204"/>
      <c r="R28" s="17" t="s">
        <v>1302</v>
      </c>
      <c r="S28" s="20"/>
      <c r="T28" s="20"/>
      <c r="U28" s="20"/>
      <c r="V28" s="20"/>
      <c r="W28" s="20"/>
      <c r="X28" s="203"/>
      <c r="Y28" s="589" t="s">
        <v>141</v>
      </c>
      <c r="Z28" s="636"/>
      <c r="AA28" s="591" t="s">
        <v>1285</v>
      </c>
      <c r="AB28" s="592"/>
      <c r="AC28" s="593"/>
      <c r="AD28" s="23">
        <v>10</v>
      </c>
      <c r="AE28" s="25"/>
      <c r="AF28" s="25"/>
      <c r="AG28" s="25"/>
      <c r="AH28" s="25"/>
      <c r="AI28" s="25"/>
      <c r="AJ28" s="25"/>
      <c r="AK28" s="25"/>
      <c r="AL28" s="25"/>
      <c r="AM28" s="25"/>
      <c r="AN28" s="25"/>
      <c r="AO28" s="25"/>
      <c r="AP28" s="25"/>
      <c r="AQ28" s="25"/>
      <c r="AR28" s="25"/>
      <c r="AS28" s="35"/>
      <c r="AT28" s="51"/>
      <c r="AU28" s="51"/>
      <c r="AV28" s="51"/>
      <c r="AW28" s="51"/>
      <c r="AX28" s="51"/>
      <c r="AY28" s="51"/>
      <c r="AZ28" s="51"/>
      <c r="BA28" s="51"/>
      <c r="BB28" s="51"/>
      <c r="BC28" s="51"/>
      <c r="BD28" s="52"/>
    </row>
    <row r="29" spans="1:57" ht="14.4" customHeight="1">
      <c r="A29" s="37">
        <f>IF(B29="","",COUNTA($B$8:B29))</f>
        <v>22</v>
      </c>
      <c r="B29" s="17" t="s">
        <v>543</v>
      </c>
      <c r="C29" s="18"/>
      <c r="D29" s="18"/>
      <c r="E29" s="18"/>
      <c r="F29" s="18"/>
      <c r="G29" s="18"/>
      <c r="H29" s="203"/>
      <c r="I29" s="26" t="s">
        <v>1303</v>
      </c>
      <c r="J29" s="20"/>
      <c r="K29" s="20"/>
      <c r="L29" s="20"/>
      <c r="M29" s="20"/>
      <c r="N29" s="20"/>
      <c r="O29" s="20"/>
      <c r="P29" s="20"/>
      <c r="Q29" s="204"/>
      <c r="R29" s="17" t="s">
        <v>543</v>
      </c>
      <c r="S29" s="20"/>
      <c r="T29" s="20"/>
      <c r="U29" s="20"/>
      <c r="V29" s="20"/>
      <c r="W29" s="20"/>
      <c r="X29" s="203"/>
      <c r="Y29" s="589" t="s">
        <v>141</v>
      </c>
      <c r="Z29" s="636"/>
      <c r="AA29" s="591" t="s">
        <v>1285</v>
      </c>
      <c r="AB29" s="592"/>
      <c r="AC29" s="593"/>
      <c r="AD29" s="23">
        <v>10</v>
      </c>
      <c r="AE29" s="25"/>
      <c r="AF29" s="25"/>
      <c r="AG29" s="25"/>
      <c r="AH29" s="25"/>
      <c r="AI29" s="25"/>
      <c r="AJ29" s="25"/>
      <c r="AK29" s="25"/>
      <c r="AL29" s="25"/>
      <c r="AM29" s="25"/>
      <c r="AN29" s="25"/>
      <c r="AO29" s="25"/>
      <c r="AP29" s="25"/>
      <c r="AQ29" s="25"/>
      <c r="AR29" s="25"/>
      <c r="AS29" s="26"/>
      <c r="AT29" s="51"/>
      <c r="AU29" s="51"/>
      <c r="AV29" s="51"/>
      <c r="AW29" s="51"/>
      <c r="AX29" s="51"/>
      <c r="AY29" s="51"/>
      <c r="AZ29" s="51"/>
      <c r="BA29" s="51"/>
      <c r="BB29" s="51"/>
      <c r="BC29" s="51"/>
      <c r="BD29" s="52"/>
    </row>
    <row r="30" spans="1:57" ht="14.4" customHeight="1">
      <c r="A30" s="37">
        <f>IF(B30="","",COUNTA($B$8:B30))</f>
        <v>23</v>
      </c>
      <c r="B30" s="17" t="s">
        <v>547</v>
      </c>
      <c r="C30" s="18"/>
      <c r="D30" s="18"/>
      <c r="E30" s="18"/>
      <c r="F30" s="18"/>
      <c r="G30" s="18"/>
      <c r="H30" s="203"/>
      <c r="I30" s="26" t="s">
        <v>1304</v>
      </c>
      <c r="J30" s="20"/>
      <c r="K30" s="20"/>
      <c r="L30" s="20"/>
      <c r="M30" s="20"/>
      <c r="N30" s="20"/>
      <c r="O30" s="20"/>
      <c r="P30" s="20"/>
      <c r="Q30" s="204"/>
      <c r="R30" s="17" t="s">
        <v>547</v>
      </c>
      <c r="S30" s="20"/>
      <c r="T30" s="20"/>
      <c r="U30" s="20"/>
      <c r="V30" s="20"/>
      <c r="W30" s="20"/>
      <c r="X30" s="203"/>
      <c r="Y30" s="589" t="s">
        <v>1286</v>
      </c>
      <c r="Z30" s="636"/>
      <c r="AA30" s="591" t="s">
        <v>1305</v>
      </c>
      <c r="AB30" s="592"/>
      <c r="AC30" s="593"/>
      <c r="AD30" s="205"/>
      <c r="AE30" s="25"/>
      <c r="AF30" s="25"/>
      <c r="AG30" s="25"/>
      <c r="AH30" s="25"/>
      <c r="AI30" s="25"/>
      <c r="AJ30" s="25"/>
      <c r="AK30" s="25"/>
      <c r="AL30" s="25"/>
      <c r="AM30" s="25"/>
      <c r="AN30" s="25"/>
      <c r="AO30" s="25"/>
      <c r="AP30" s="25"/>
      <c r="AQ30" s="25"/>
      <c r="AR30" s="25"/>
      <c r="AS30" s="26"/>
      <c r="AT30" s="51"/>
      <c r="AU30" s="51"/>
      <c r="AV30" s="51"/>
      <c r="AW30" s="51"/>
      <c r="AX30" s="51"/>
      <c r="AY30" s="51"/>
      <c r="AZ30" s="51"/>
      <c r="BA30" s="51"/>
      <c r="BB30" s="51"/>
      <c r="BC30" s="51"/>
      <c r="BD30" s="52"/>
    </row>
    <row r="31" spans="1:57" ht="14.4" customHeight="1">
      <c r="A31" s="37">
        <f>IF(B31="","",COUNTA($B$8:B31))</f>
        <v>24</v>
      </c>
      <c r="B31" s="17" t="s">
        <v>1306</v>
      </c>
      <c r="C31" s="18"/>
      <c r="D31" s="18"/>
      <c r="E31" s="18"/>
      <c r="F31" s="18"/>
      <c r="G31" s="18"/>
      <c r="H31" s="203"/>
      <c r="I31" s="26" t="s">
        <v>1307</v>
      </c>
      <c r="J31" s="20"/>
      <c r="K31" s="20"/>
      <c r="L31" s="20"/>
      <c r="M31" s="20"/>
      <c r="N31" s="20"/>
      <c r="O31" s="20"/>
      <c r="P31" s="20"/>
      <c r="Q31" s="204"/>
      <c r="R31" s="17" t="s">
        <v>1306</v>
      </c>
      <c r="S31" s="20"/>
      <c r="T31" s="20"/>
      <c r="U31" s="20"/>
      <c r="V31" s="20"/>
      <c r="W31" s="20"/>
      <c r="X31" s="203"/>
      <c r="Y31" s="589" t="s">
        <v>141</v>
      </c>
      <c r="Z31" s="636"/>
      <c r="AA31" s="591" t="s">
        <v>1285</v>
      </c>
      <c r="AB31" s="592"/>
      <c r="AC31" s="593"/>
      <c r="AD31" s="23">
        <v>10</v>
      </c>
      <c r="AE31" s="25"/>
      <c r="AF31" s="25"/>
      <c r="AG31" s="25"/>
      <c r="AH31" s="25"/>
      <c r="AI31" s="25"/>
      <c r="AJ31" s="25"/>
      <c r="AK31" s="25"/>
      <c r="AL31" s="25"/>
      <c r="AM31" s="25"/>
      <c r="AN31" s="25"/>
      <c r="AO31" s="25"/>
      <c r="AP31" s="25"/>
      <c r="AQ31" s="25"/>
      <c r="AR31" s="25"/>
      <c r="AS31" s="26"/>
      <c r="AT31" s="51"/>
      <c r="AU31" s="51"/>
      <c r="AV31" s="51"/>
      <c r="AW31" s="51"/>
      <c r="AX31" s="51"/>
      <c r="AY31" s="51"/>
      <c r="AZ31" s="51"/>
      <c r="BA31" s="51"/>
      <c r="BB31" s="51"/>
      <c r="BC31" s="51"/>
      <c r="BD31" s="52"/>
    </row>
    <row r="32" spans="1:57" ht="14.4" customHeight="1">
      <c r="A32" s="37">
        <f>IF(B32="","",COUNTA($B$8:B32))</f>
        <v>25</v>
      </c>
      <c r="B32" s="17" t="s">
        <v>389</v>
      </c>
      <c r="C32" s="18"/>
      <c r="D32" s="18"/>
      <c r="E32" s="18"/>
      <c r="F32" s="18"/>
      <c r="G32" s="18"/>
      <c r="H32" s="203"/>
      <c r="I32" s="26" t="s">
        <v>1308</v>
      </c>
      <c r="J32" s="20"/>
      <c r="K32" s="20"/>
      <c r="L32" s="20"/>
      <c r="M32" s="20"/>
      <c r="N32" s="20"/>
      <c r="O32" s="20"/>
      <c r="P32" s="20"/>
      <c r="Q32" s="204"/>
      <c r="R32" s="17" t="s">
        <v>389</v>
      </c>
      <c r="S32" s="20"/>
      <c r="T32" s="20"/>
      <c r="U32" s="20"/>
      <c r="V32" s="20"/>
      <c r="W32" s="20"/>
      <c r="X32" s="203"/>
      <c r="Y32" s="589" t="s">
        <v>141</v>
      </c>
      <c r="Z32" s="636"/>
      <c r="AA32" s="591" t="s">
        <v>1285</v>
      </c>
      <c r="AB32" s="592"/>
      <c r="AC32" s="593"/>
      <c r="AD32" s="205">
        <v>10</v>
      </c>
      <c r="AE32" s="30" t="s">
        <v>1585</v>
      </c>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4.4" customHeight="1">
      <c r="A33" s="37">
        <f>IF(B33="","",COUNTA($B$8:B33))</f>
        <v>26</v>
      </c>
      <c r="B33" s="17" t="s">
        <v>393</v>
      </c>
      <c r="C33" s="18"/>
      <c r="D33" s="18"/>
      <c r="E33" s="18"/>
      <c r="F33" s="18"/>
      <c r="G33" s="18"/>
      <c r="H33" s="203"/>
      <c r="I33" s="26" t="s">
        <v>1309</v>
      </c>
      <c r="J33" s="20"/>
      <c r="K33" s="20"/>
      <c r="L33" s="20"/>
      <c r="M33" s="20"/>
      <c r="N33" s="20"/>
      <c r="O33" s="20"/>
      <c r="P33" s="20"/>
      <c r="Q33" s="204"/>
      <c r="R33" s="19" t="s">
        <v>393</v>
      </c>
      <c r="S33" s="20"/>
      <c r="T33" s="20"/>
      <c r="U33" s="20"/>
      <c r="V33" s="20"/>
      <c r="W33" s="20"/>
      <c r="X33" s="203"/>
      <c r="Y33" s="589" t="s">
        <v>1286</v>
      </c>
      <c r="Z33" s="636"/>
      <c r="AA33" s="591" t="s">
        <v>1305</v>
      </c>
      <c r="AB33" s="592"/>
      <c r="AC33" s="593"/>
      <c r="AD33" s="205"/>
      <c r="AE33" s="30" t="s">
        <v>1585</v>
      </c>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4.4" customHeight="1">
      <c r="A34" s="37" t="str">
        <f>IF(B34="","",COUNTA($B$8:B34))</f>
        <v/>
      </c>
      <c r="B34" s="17"/>
      <c r="C34" s="18"/>
      <c r="D34" s="18"/>
      <c r="E34" s="18"/>
      <c r="F34" s="18"/>
      <c r="G34" s="18"/>
      <c r="H34" s="18"/>
      <c r="I34" s="19"/>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 customHeight="1">
      <c r="A35" s="37" t="str">
        <f>IF(B35="","",COUNTA($B$8:B35))</f>
        <v/>
      </c>
      <c r="B35" s="17"/>
      <c r="C35" s="18"/>
      <c r="D35" s="18"/>
      <c r="E35" s="18"/>
      <c r="F35" s="18"/>
      <c r="G35" s="18"/>
      <c r="H35" s="18"/>
      <c r="I35" s="19"/>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 customHeight="1">
      <c r="A36" s="37" t="str">
        <f>IF(B36="","",COUNTA($B$8:B36))</f>
        <v/>
      </c>
      <c r="B36" s="17"/>
      <c r="C36" s="18"/>
      <c r="D36" s="18"/>
      <c r="E36" s="18"/>
      <c r="F36" s="18"/>
      <c r="G36" s="18"/>
      <c r="H36" s="18"/>
      <c r="I36" s="19"/>
      <c r="J36" s="20"/>
      <c r="K36" s="20"/>
      <c r="L36" s="20"/>
      <c r="M36" s="20"/>
      <c r="N36" s="20"/>
      <c r="O36" s="20"/>
      <c r="P36" s="20"/>
      <c r="Q36" s="20"/>
      <c r="R36" s="17"/>
      <c r="S36" s="18"/>
      <c r="T36" s="18"/>
      <c r="U36" s="18"/>
      <c r="V36" s="18"/>
      <c r="W36" s="18"/>
      <c r="X36" s="18"/>
      <c r="Y36" s="17"/>
      <c r="Z36" s="28"/>
      <c r="AA36" s="21"/>
      <c r="AB36" s="22"/>
      <c r="AC36" s="29"/>
      <c r="AD36" s="38"/>
      <c r="AE36" s="30"/>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4.4" customHeight="1">
      <c r="A37" s="37" t="str">
        <f>IF(B37="","",COUNTA($B$8:B37))</f>
        <v/>
      </c>
      <c r="B37" s="17"/>
      <c r="C37" s="18"/>
      <c r="D37" s="18"/>
      <c r="E37" s="18"/>
      <c r="F37" s="18"/>
      <c r="G37" s="18"/>
      <c r="H37" s="18"/>
      <c r="I37" s="19"/>
      <c r="J37" s="20"/>
      <c r="K37" s="20"/>
      <c r="L37" s="20"/>
      <c r="M37" s="20"/>
      <c r="N37" s="20"/>
      <c r="O37" s="20"/>
      <c r="P37" s="20"/>
      <c r="Q37" s="20"/>
      <c r="R37" s="17"/>
      <c r="S37" s="18"/>
      <c r="T37" s="18"/>
      <c r="U37" s="18"/>
      <c r="V37" s="18"/>
      <c r="W37" s="18"/>
      <c r="X37" s="18"/>
      <c r="Y37" s="17"/>
      <c r="Z37" s="28"/>
      <c r="AA37" s="21"/>
      <c r="AB37" s="22"/>
      <c r="AC37" s="29"/>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4.4" customHeight="1">
      <c r="A38" s="37" t="str">
        <f>IF(B38="","",COUNTA($B$8:B38))</f>
        <v/>
      </c>
      <c r="B38" s="17"/>
      <c r="C38" s="18"/>
      <c r="D38" s="18"/>
      <c r="E38" s="18"/>
      <c r="F38" s="18"/>
      <c r="G38" s="18"/>
      <c r="H38" s="18"/>
      <c r="I38" s="19"/>
      <c r="J38" s="20"/>
      <c r="K38" s="20"/>
      <c r="L38" s="20"/>
      <c r="M38" s="20"/>
      <c r="N38" s="20"/>
      <c r="O38" s="20"/>
      <c r="P38" s="20"/>
      <c r="Q38" s="20"/>
      <c r="R38" s="17"/>
      <c r="S38" s="18"/>
      <c r="T38" s="18"/>
      <c r="U38" s="18"/>
      <c r="V38" s="18"/>
      <c r="W38" s="18"/>
      <c r="X38" s="18"/>
      <c r="Y38" s="17"/>
      <c r="Z38" s="28"/>
      <c r="AA38" s="21"/>
      <c r="AB38" s="22"/>
      <c r="AC38" s="29"/>
      <c r="AD38" s="38"/>
      <c r="AE38" s="30"/>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4.4" customHeight="1">
      <c r="A39" s="37" t="str">
        <f>IF(B39="","",COUNTA($B$8:B39))</f>
        <v/>
      </c>
      <c r="B39" s="17"/>
      <c r="C39" s="18"/>
      <c r="D39" s="18"/>
      <c r="E39" s="18"/>
      <c r="F39" s="18"/>
      <c r="G39" s="18"/>
      <c r="H39" s="18"/>
      <c r="I39" s="19"/>
      <c r="J39" s="20"/>
      <c r="K39" s="20"/>
      <c r="L39" s="20"/>
      <c r="M39" s="20"/>
      <c r="N39" s="20"/>
      <c r="O39" s="20"/>
      <c r="P39" s="20"/>
      <c r="Q39" s="20"/>
      <c r="R39" s="17"/>
      <c r="S39" s="18"/>
      <c r="T39" s="18"/>
      <c r="U39" s="18"/>
      <c r="V39" s="18"/>
      <c r="W39" s="18"/>
      <c r="X39" s="18"/>
      <c r="Y39" s="17"/>
      <c r="Z39" s="28"/>
      <c r="AA39" s="21"/>
      <c r="AB39" s="22"/>
      <c r="AC39" s="29"/>
      <c r="AD39" s="38"/>
      <c r="AE39" s="30"/>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4.4" customHeight="1">
      <c r="A40" s="37" t="str">
        <f>IF(B40="","",COUNTA($B$8:B40))</f>
        <v/>
      </c>
      <c r="B40" s="17"/>
      <c r="C40" s="18"/>
      <c r="D40" s="18"/>
      <c r="E40" s="18"/>
      <c r="F40" s="18"/>
      <c r="G40" s="18"/>
      <c r="H40" s="18"/>
      <c r="I40" s="19"/>
      <c r="J40" s="20"/>
      <c r="K40" s="20"/>
      <c r="L40" s="20"/>
      <c r="M40" s="20"/>
      <c r="N40" s="20"/>
      <c r="O40" s="20"/>
      <c r="P40" s="20"/>
      <c r="Q40" s="20"/>
      <c r="R40" s="17"/>
      <c r="S40" s="18"/>
      <c r="T40" s="18"/>
      <c r="U40" s="18"/>
      <c r="V40" s="18"/>
      <c r="W40" s="18"/>
      <c r="X40" s="18"/>
      <c r="Y40" s="17"/>
      <c r="Z40" s="28"/>
      <c r="AA40" s="21"/>
      <c r="AB40" s="22"/>
      <c r="AC40" s="29"/>
      <c r="AD40" s="38"/>
      <c r="AE40" s="30"/>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4.4" customHeight="1">
      <c r="A41" s="37" t="str">
        <f>IF(B41="","",COUNTA($B$8:B41))</f>
        <v/>
      </c>
      <c r="B41" s="26"/>
      <c r="C41" s="34"/>
      <c r="D41" s="34"/>
      <c r="E41" s="34"/>
      <c r="F41" s="34"/>
      <c r="G41" s="34"/>
      <c r="H41" s="34"/>
      <c r="I41" s="19"/>
      <c r="J41" s="27"/>
      <c r="K41" s="27"/>
      <c r="L41" s="27"/>
      <c r="M41" s="27"/>
      <c r="N41" s="27"/>
      <c r="O41" s="27"/>
      <c r="P41" s="27"/>
      <c r="Q41" s="27"/>
      <c r="R41" s="26"/>
      <c r="S41" s="34"/>
      <c r="T41" s="34"/>
      <c r="U41" s="34"/>
      <c r="V41" s="34"/>
      <c r="W41" s="34"/>
      <c r="X41" s="34"/>
      <c r="Y41" s="589"/>
      <c r="Z41" s="590"/>
      <c r="AA41" s="591"/>
      <c r="AB41" s="592"/>
      <c r="AC41" s="593"/>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 customHeight="1">
      <c r="A42" s="37" t="str">
        <f>IF(B42="","",COUNTA($B$8:B42))</f>
        <v/>
      </c>
      <c r="B42" s="26"/>
      <c r="C42" s="34"/>
      <c r="D42" s="34"/>
      <c r="E42" s="34"/>
      <c r="F42" s="34"/>
      <c r="G42" s="34"/>
      <c r="H42" s="34"/>
      <c r="I42" s="19"/>
      <c r="J42" s="27"/>
      <c r="K42" s="27"/>
      <c r="L42" s="27"/>
      <c r="M42" s="27"/>
      <c r="N42" s="27"/>
      <c r="O42" s="27"/>
      <c r="P42" s="27"/>
      <c r="Q42" s="27"/>
      <c r="R42" s="26"/>
      <c r="S42" s="34"/>
      <c r="T42" s="34"/>
      <c r="U42" s="34"/>
      <c r="V42" s="34"/>
      <c r="W42" s="34"/>
      <c r="X42" s="34"/>
      <c r="Y42" s="589"/>
      <c r="Z42" s="590"/>
      <c r="AA42" s="591"/>
      <c r="AB42" s="592"/>
      <c r="AC42" s="593"/>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 customHeight="1">
      <c r="A43" s="37" t="str">
        <f>IF(B43="","",COUNTA($B$8:B43))</f>
        <v/>
      </c>
      <c r="B43" s="26"/>
      <c r="C43" s="34"/>
      <c r="D43" s="34"/>
      <c r="E43" s="34"/>
      <c r="F43" s="34"/>
      <c r="G43" s="34"/>
      <c r="H43" s="34"/>
      <c r="I43" s="19"/>
      <c r="J43" s="27"/>
      <c r="K43" s="27"/>
      <c r="L43" s="27"/>
      <c r="M43" s="27"/>
      <c r="N43" s="27"/>
      <c r="O43" s="27"/>
      <c r="P43" s="27"/>
      <c r="Q43" s="27"/>
      <c r="R43" s="26"/>
      <c r="S43" s="34"/>
      <c r="T43" s="34"/>
      <c r="U43" s="34"/>
      <c r="V43" s="34"/>
      <c r="W43" s="34"/>
      <c r="X43" s="34"/>
      <c r="Y43" s="589"/>
      <c r="Z43" s="590"/>
      <c r="AA43" s="591"/>
      <c r="AB43" s="592"/>
      <c r="AC43" s="593"/>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 customHeight="1">
      <c r="A44" s="37" t="str">
        <f>IF(B44="","",COUNTA($B$8:B44))</f>
        <v/>
      </c>
      <c r="B44" s="26"/>
      <c r="C44" s="34"/>
      <c r="D44" s="34"/>
      <c r="E44" s="34"/>
      <c r="F44" s="34"/>
      <c r="G44" s="34"/>
      <c r="H44" s="34"/>
      <c r="I44" s="19"/>
      <c r="J44" s="27"/>
      <c r="K44" s="27"/>
      <c r="L44" s="27"/>
      <c r="M44" s="27"/>
      <c r="N44" s="27"/>
      <c r="O44" s="27"/>
      <c r="P44" s="27"/>
      <c r="Q44" s="27"/>
      <c r="R44" s="26"/>
      <c r="S44" s="34"/>
      <c r="T44" s="34"/>
      <c r="U44" s="34"/>
      <c r="V44" s="34"/>
      <c r="W44" s="34"/>
      <c r="X44" s="34"/>
      <c r="Y44" s="589"/>
      <c r="Z44" s="590"/>
      <c r="AA44" s="591"/>
      <c r="AB44" s="592"/>
      <c r="AC44" s="593"/>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 customHeight="1">
      <c r="A45" s="37" t="str">
        <f>IF(B45="","",COUNTA($B$8:B45))</f>
        <v/>
      </c>
      <c r="B45" s="26"/>
      <c r="C45" s="34"/>
      <c r="D45" s="34"/>
      <c r="E45" s="34"/>
      <c r="F45" s="34"/>
      <c r="G45" s="34"/>
      <c r="H45" s="34"/>
      <c r="I45" s="19"/>
      <c r="J45" s="27"/>
      <c r="K45" s="27"/>
      <c r="L45" s="27"/>
      <c r="M45" s="27"/>
      <c r="N45" s="27"/>
      <c r="O45" s="27"/>
      <c r="P45" s="27"/>
      <c r="Q45" s="27"/>
      <c r="R45" s="26"/>
      <c r="S45" s="34"/>
      <c r="T45" s="34"/>
      <c r="U45" s="34"/>
      <c r="V45" s="34"/>
      <c r="W45" s="34"/>
      <c r="X45" s="34"/>
      <c r="Y45" s="589"/>
      <c r="Z45" s="590"/>
      <c r="AA45" s="591"/>
      <c r="AB45" s="592"/>
      <c r="AC45" s="593"/>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 customHeight="1">
      <c r="A46" s="37" t="str">
        <f>IF(B46="","",COUNTA($B$8:B46))</f>
        <v/>
      </c>
      <c r="B46" s="26"/>
      <c r="C46" s="34"/>
      <c r="D46" s="34"/>
      <c r="E46" s="34"/>
      <c r="F46" s="34"/>
      <c r="G46" s="34"/>
      <c r="H46" s="34"/>
      <c r="I46" s="19"/>
      <c r="J46" s="27"/>
      <c r="K46" s="27"/>
      <c r="L46" s="27"/>
      <c r="M46" s="27"/>
      <c r="N46" s="27"/>
      <c r="O46" s="27"/>
      <c r="P46" s="27"/>
      <c r="Q46" s="27"/>
      <c r="R46" s="26"/>
      <c r="S46" s="34"/>
      <c r="T46" s="34"/>
      <c r="U46" s="34"/>
      <c r="V46" s="34"/>
      <c r="W46" s="34"/>
      <c r="X46" s="34"/>
      <c r="Y46" s="589"/>
      <c r="Z46" s="590"/>
      <c r="AA46" s="591"/>
      <c r="AB46" s="592"/>
      <c r="AC46" s="593"/>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96">
    <mergeCell ref="AZ4:BD4"/>
    <mergeCell ref="AS6:BD7"/>
    <mergeCell ref="Y8:Z8"/>
    <mergeCell ref="AA8:AC8"/>
    <mergeCell ref="AA6:AC7"/>
    <mergeCell ref="AD6:AD7"/>
    <mergeCell ref="AE6:AE7"/>
    <mergeCell ref="AF6:AF7"/>
    <mergeCell ref="Y9:Z9"/>
    <mergeCell ref="AA9:AC9"/>
    <mergeCell ref="Y11:Z11"/>
    <mergeCell ref="AA11:AC11"/>
    <mergeCell ref="Y16:Z16"/>
    <mergeCell ref="AA16:AC16"/>
    <mergeCell ref="Y12:Z12"/>
    <mergeCell ref="AA12:AC12"/>
    <mergeCell ref="Y13:Z13"/>
    <mergeCell ref="AA13:AC13"/>
    <mergeCell ref="Y14:Z14"/>
    <mergeCell ref="AA14:AC14"/>
    <mergeCell ref="AU1:AY1"/>
    <mergeCell ref="I2:Q4"/>
    <mergeCell ref="R2:X4"/>
    <mergeCell ref="Y2:AO3"/>
    <mergeCell ref="AP2:AT2"/>
    <mergeCell ref="I1:Q1"/>
    <mergeCell ref="R1:X1"/>
    <mergeCell ref="Y1:AO1"/>
    <mergeCell ref="AP1:AT1"/>
    <mergeCell ref="AP4:AT4"/>
    <mergeCell ref="A1:H4"/>
    <mergeCell ref="AU4:AY4"/>
    <mergeCell ref="AZ1:BD1"/>
    <mergeCell ref="AG6:AG7"/>
    <mergeCell ref="AH6:AH7"/>
    <mergeCell ref="AI6:AR6"/>
    <mergeCell ref="A6:A7"/>
    <mergeCell ref="B6:H7"/>
    <mergeCell ref="I6:Q7"/>
    <mergeCell ref="R6:X7"/>
    <mergeCell ref="Y6:Z7"/>
    <mergeCell ref="AZ2:BD2"/>
    <mergeCell ref="AP3:AT3"/>
    <mergeCell ref="AU3:AY3"/>
    <mergeCell ref="AZ3:BD3"/>
    <mergeCell ref="Y4:AO4"/>
    <mergeCell ref="Y23:Z23"/>
    <mergeCell ref="AA23:AC23"/>
    <mergeCell ref="Y21:Z21"/>
    <mergeCell ref="AA21:AC21"/>
    <mergeCell ref="Y19:Z19"/>
    <mergeCell ref="AA19:AC19"/>
    <mergeCell ref="Y20:Z20"/>
    <mergeCell ref="AA20:AC20"/>
    <mergeCell ref="Y22:Z22"/>
    <mergeCell ref="AA22:AC22"/>
    <mergeCell ref="Y29:Z29"/>
    <mergeCell ref="AA29:AC29"/>
    <mergeCell ref="Y30:Z30"/>
    <mergeCell ref="AA30:AC30"/>
    <mergeCell ref="Y41:Z41"/>
    <mergeCell ref="AA41:AC41"/>
    <mergeCell ref="Y31:Z31"/>
    <mergeCell ref="AA31:AC31"/>
    <mergeCell ref="Y32:Z32"/>
    <mergeCell ref="AA32:AC32"/>
    <mergeCell ref="Y33:Z33"/>
    <mergeCell ref="AA33:AC33"/>
    <mergeCell ref="Y28:Z28"/>
    <mergeCell ref="AA28:AC28"/>
    <mergeCell ref="Y27:Z27"/>
    <mergeCell ref="AA27:AC27"/>
    <mergeCell ref="Y24:Z24"/>
    <mergeCell ref="AA24:AC24"/>
    <mergeCell ref="Y25:Z25"/>
    <mergeCell ref="AA25:AC25"/>
    <mergeCell ref="Y26:Z26"/>
    <mergeCell ref="AA26:AC26"/>
    <mergeCell ref="Y18:Z18"/>
    <mergeCell ref="AA18:AC18"/>
    <mergeCell ref="Y17:Z17"/>
    <mergeCell ref="AA17:AC17"/>
    <mergeCell ref="Y10:Z10"/>
    <mergeCell ref="AA10:AC10"/>
    <mergeCell ref="Y15:Z15"/>
    <mergeCell ref="AA15:AC15"/>
    <mergeCell ref="Y45:Z45"/>
    <mergeCell ref="AA45:AC45"/>
    <mergeCell ref="Y46:Z46"/>
    <mergeCell ref="AA46:AC46"/>
    <mergeCell ref="Y42:Z42"/>
    <mergeCell ref="AA42:AC42"/>
    <mergeCell ref="Y43:Z43"/>
    <mergeCell ref="AA43:AC43"/>
    <mergeCell ref="Y44:Z44"/>
    <mergeCell ref="AA44:AC44"/>
  </mergeCells>
  <phoneticPr fontId="12"/>
  <dataValidations count="4">
    <dataValidation imeMode="hiragana" allowBlank="1" showInputMessage="1" showErrorMessage="1" sqref="JG65516:JR65518 TC65516:TN65518 ACY65516:ADJ65518 AMU65516:ANF65518 AWQ65516:AXB65518 BGM65516:BGX65518 BQI65516:BQT65518 CAE65516:CAP65518 CKA65516:CKL65518 CTW65516:CUH65518 DDS65516:DED65518 DNO65516:DNZ65518 DXK65516:DXV65518 EHG65516:EHR65518 ERC65516:ERN65518 FAY65516:FBJ65518 FKU65516:FLF65518 FUQ65516:FVB65518 GEM65516:GEX65518 GOI65516:GOT65518 GYE65516:GYP65518 HIA65516:HIL65518 HRW65516:HSH65518 IBS65516:ICD65518 ILO65516:ILZ65518 IVK65516:IVV65518 JFG65516:JFR65518 JPC65516:JPN65518 JYY65516:JZJ65518 KIU65516:KJF65518 KSQ65516:KTB65518 LCM65516:LCX65518 LMI65516:LMT65518 LWE65516:LWP65518 MGA65516:MGL65518 MPW65516:MQH65518 MZS65516:NAD65518 NJO65516:NJZ65518 NTK65516:NTV65518 ODG65516:ODR65518 ONC65516:ONN65518 OWY65516:OXJ65518 PGU65516:PHF65518 PQQ65516:PRB65518 QAM65516:QAX65518 QKI65516:QKT65518 QUE65516:QUP65518 REA65516:REL65518 RNW65516:ROH65518 RXS65516:RYD65518 SHO65516:SHZ65518 SRK65516:SRV65518 TBG65516:TBR65518 TLC65516:TLN65518 TUY65516:TVJ65518 UEU65516:UFF65518 UOQ65516:UPB65518 UYM65516:UYX65518 VII65516:VIT65518 VSE65516:VSP65518 WCA65516:WCL65518 WLW65516:WMH65518 WVS65516:WWD65518 JG131052:JR131054 TC131052:TN131054 ACY131052:ADJ131054 AMU131052:ANF131054 AWQ131052:AXB131054 BGM131052:BGX131054 BQI131052:BQT131054 CAE131052:CAP131054 CKA131052:CKL131054 CTW131052:CUH131054 DDS131052:DED131054 DNO131052:DNZ131054 DXK131052:DXV131054 EHG131052:EHR131054 ERC131052:ERN131054 FAY131052:FBJ131054 FKU131052:FLF131054 FUQ131052:FVB131054 GEM131052:GEX131054 GOI131052:GOT131054 GYE131052:GYP131054 HIA131052:HIL131054 HRW131052:HSH131054 IBS131052:ICD131054 ILO131052:ILZ131054 IVK131052:IVV131054 JFG131052:JFR131054 JPC131052:JPN131054 JYY131052:JZJ131054 KIU131052:KJF131054 KSQ131052:KTB131054 LCM131052:LCX131054 LMI131052:LMT131054 LWE131052:LWP131054 MGA131052:MGL131054 MPW131052:MQH131054 MZS131052:NAD131054 NJO131052:NJZ131054 NTK131052:NTV131054 ODG131052:ODR131054 ONC131052:ONN131054 OWY131052:OXJ131054 PGU131052:PHF131054 PQQ131052:PRB131054 QAM131052:QAX131054 QKI131052:QKT131054 QUE131052:QUP131054 REA131052:REL131054 RNW131052:ROH131054 RXS131052:RYD131054 SHO131052:SHZ131054 SRK131052:SRV131054 TBG131052:TBR131054 TLC131052:TLN131054 TUY131052:TVJ131054 UEU131052:UFF131054 UOQ131052:UPB131054 UYM131052:UYX131054 VII131052:VIT131054 VSE131052:VSP131054 WCA131052:WCL131054 WLW131052:WMH131054 WVS131052:WWD131054 JG196588:JR196590 TC196588:TN196590 ACY196588:ADJ196590 AMU196588:ANF196590 AWQ196588:AXB196590 BGM196588:BGX196590 BQI196588:BQT196590 CAE196588:CAP196590 CKA196588:CKL196590 CTW196588:CUH196590 DDS196588:DED196590 DNO196588:DNZ196590 DXK196588:DXV196590 EHG196588:EHR196590 ERC196588:ERN196590 FAY196588:FBJ196590 FKU196588:FLF196590 FUQ196588:FVB196590 GEM196588:GEX196590 GOI196588:GOT196590 GYE196588:GYP196590 HIA196588:HIL196590 HRW196588:HSH196590 IBS196588:ICD196590 ILO196588:ILZ196590 IVK196588:IVV196590 JFG196588:JFR196590 JPC196588:JPN196590 JYY196588:JZJ196590 KIU196588:KJF196590 KSQ196588:KTB196590 LCM196588:LCX196590 LMI196588:LMT196590 LWE196588:LWP196590 MGA196588:MGL196590 MPW196588:MQH196590 MZS196588:NAD196590 NJO196588:NJZ196590 NTK196588:NTV196590 ODG196588:ODR196590 ONC196588:ONN196590 OWY196588:OXJ196590 PGU196588:PHF196590 PQQ196588:PRB196590 QAM196588:QAX196590 QKI196588:QKT196590 QUE196588:QUP196590 REA196588:REL196590 RNW196588:ROH196590 RXS196588:RYD196590 SHO196588:SHZ196590 SRK196588:SRV196590 TBG196588:TBR196590 TLC196588:TLN196590 TUY196588:TVJ196590 UEU196588:UFF196590 UOQ196588:UPB196590 UYM196588:UYX196590 VII196588:VIT196590 VSE196588:VSP196590 WCA196588:WCL196590 WLW196588:WMH196590 WVS196588:WWD196590 JG262124:JR262126 TC262124:TN262126 ACY262124:ADJ262126 AMU262124:ANF262126 AWQ262124:AXB262126 BGM262124:BGX262126 BQI262124:BQT262126 CAE262124:CAP262126 CKA262124:CKL262126 CTW262124:CUH262126 DDS262124:DED262126 DNO262124:DNZ262126 DXK262124:DXV262126 EHG262124:EHR262126 ERC262124:ERN262126 FAY262124:FBJ262126 FKU262124:FLF262126 FUQ262124:FVB262126 GEM262124:GEX262126 GOI262124:GOT262126 GYE262124:GYP262126 HIA262124:HIL262126 HRW262124:HSH262126 IBS262124:ICD262126 ILO262124:ILZ262126 IVK262124:IVV262126 JFG262124:JFR262126 JPC262124:JPN262126 JYY262124:JZJ262126 KIU262124:KJF262126 KSQ262124:KTB262126 LCM262124:LCX262126 LMI262124:LMT262126 LWE262124:LWP262126 MGA262124:MGL262126 MPW262124:MQH262126 MZS262124:NAD262126 NJO262124:NJZ262126 NTK262124:NTV262126 ODG262124:ODR262126 ONC262124:ONN262126 OWY262124:OXJ262126 PGU262124:PHF262126 PQQ262124:PRB262126 QAM262124:QAX262126 QKI262124:QKT262126 QUE262124:QUP262126 REA262124:REL262126 RNW262124:ROH262126 RXS262124:RYD262126 SHO262124:SHZ262126 SRK262124:SRV262126 TBG262124:TBR262126 TLC262124:TLN262126 TUY262124:TVJ262126 UEU262124:UFF262126 UOQ262124:UPB262126 UYM262124:UYX262126 VII262124:VIT262126 VSE262124:VSP262126 WCA262124:WCL262126 WLW262124:WMH262126 WVS262124:WWD262126 JG327660:JR327662 TC327660:TN327662 ACY327660:ADJ327662 AMU327660:ANF327662 AWQ327660:AXB327662 BGM327660:BGX327662 BQI327660:BQT327662 CAE327660:CAP327662 CKA327660:CKL327662 CTW327660:CUH327662 DDS327660:DED327662 DNO327660:DNZ327662 DXK327660:DXV327662 EHG327660:EHR327662 ERC327660:ERN327662 FAY327660:FBJ327662 FKU327660:FLF327662 FUQ327660:FVB327662 GEM327660:GEX327662 GOI327660:GOT327662 GYE327660:GYP327662 HIA327660:HIL327662 HRW327660:HSH327662 IBS327660:ICD327662 ILO327660:ILZ327662 IVK327660:IVV327662 JFG327660:JFR327662 JPC327660:JPN327662 JYY327660:JZJ327662 KIU327660:KJF327662 KSQ327660:KTB327662 LCM327660:LCX327662 LMI327660:LMT327662 LWE327660:LWP327662 MGA327660:MGL327662 MPW327660:MQH327662 MZS327660:NAD327662 NJO327660:NJZ327662 NTK327660:NTV327662 ODG327660:ODR327662 ONC327660:ONN327662 OWY327660:OXJ327662 PGU327660:PHF327662 PQQ327660:PRB327662 QAM327660:QAX327662 QKI327660:QKT327662 QUE327660:QUP327662 REA327660:REL327662 RNW327660:ROH327662 RXS327660:RYD327662 SHO327660:SHZ327662 SRK327660:SRV327662 TBG327660:TBR327662 TLC327660:TLN327662 TUY327660:TVJ327662 UEU327660:UFF327662 UOQ327660:UPB327662 UYM327660:UYX327662 VII327660:VIT327662 VSE327660:VSP327662 WCA327660:WCL327662 WLW327660:WMH327662 WVS327660:WWD327662 JG393196:JR393198 TC393196:TN393198 ACY393196:ADJ393198 AMU393196:ANF393198 AWQ393196:AXB393198 BGM393196:BGX393198 BQI393196:BQT393198 CAE393196:CAP393198 CKA393196:CKL393198 CTW393196:CUH393198 DDS393196:DED393198 DNO393196:DNZ393198 DXK393196:DXV393198 EHG393196:EHR393198 ERC393196:ERN393198 FAY393196:FBJ393198 FKU393196:FLF393198 FUQ393196:FVB393198 GEM393196:GEX393198 GOI393196:GOT393198 GYE393196:GYP393198 HIA393196:HIL393198 HRW393196:HSH393198 IBS393196:ICD393198 ILO393196:ILZ393198 IVK393196:IVV393198 JFG393196:JFR393198 JPC393196:JPN393198 JYY393196:JZJ393198 KIU393196:KJF393198 KSQ393196:KTB393198 LCM393196:LCX393198 LMI393196:LMT393198 LWE393196:LWP393198 MGA393196:MGL393198 MPW393196:MQH393198 MZS393196:NAD393198 NJO393196:NJZ393198 NTK393196:NTV393198 ODG393196:ODR393198 ONC393196:ONN393198 OWY393196:OXJ393198 PGU393196:PHF393198 PQQ393196:PRB393198 QAM393196:QAX393198 QKI393196:QKT393198 QUE393196:QUP393198 REA393196:REL393198 RNW393196:ROH393198 RXS393196:RYD393198 SHO393196:SHZ393198 SRK393196:SRV393198 TBG393196:TBR393198 TLC393196:TLN393198 TUY393196:TVJ393198 UEU393196:UFF393198 UOQ393196:UPB393198 UYM393196:UYX393198 VII393196:VIT393198 VSE393196:VSP393198 WCA393196:WCL393198 WLW393196:WMH393198 WVS393196:WWD393198 JG458732:JR458734 TC458732:TN458734 ACY458732:ADJ458734 AMU458732:ANF458734 AWQ458732:AXB458734 BGM458732:BGX458734 BQI458732:BQT458734 CAE458732:CAP458734 CKA458732:CKL458734 CTW458732:CUH458734 DDS458732:DED458734 DNO458732:DNZ458734 DXK458732:DXV458734 EHG458732:EHR458734 ERC458732:ERN458734 FAY458732:FBJ458734 FKU458732:FLF458734 FUQ458732:FVB458734 GEM458732:GEX458734 GOI458732:GOT458734 GYE458732:GYP458734 HIA458732:HIL458734 HRW458732:HSH458734 IBS458732:ICD458734 ILO458732:ILZ458734 IVK458732:IVV458734 JFG458732:JFR458734 JPC458732:JPN458734 JYY458732:JZJ458734 KIU458732:KJF458734 KSQ458732:KTB458734 LCM458732:LCX458734 LMI458732:LMT458734 LWE458732:LWP458734 MGA458732:MGL458734 MPW458732:MQH458734 MZS458732:NAD458734 NJO458732:NJZ458734 NTK458732:NTV458734 ODG458732:ODR458734 ONC458732:ONN458734 OWY458732:OXJ458734 PGU458732:PHF458734 PQQ458732:PRB458734 QAM458732:QAX458734 QKI458732:QKT458734 QUE458732:QUP458734 REA458732:REL458734 RNW458732:ROH458734 RXS458732:RYD458734 SHO458732:SHZ458734 SRK458732:SRV458734 TBG458732:TBR458734 TLC458732:TLN458734 TUY458732:TVJ458734 UEU458732:UFF458734 UOQ458732:UPB458734 UYM458732:UYX458734 VII458732:VIT458734 VSE458732:VSP458734 WCA458732:WCL458734 WLW458732:WMH458734 WVS458732:WWD458734 JG524268:JR524270 TC524268:TN524270 ACY524268:ADJ524270 AMU524268:ANF524270 AWQ524268:AXB524270 BGM524268:BGX524270 BQI524268:BQT524270 CAE524268:CAP524270 CKA524268:CKL524270 CTW524268:CUH524270 DDS524268:DED524270 DNO524268:DNZ524270 DXK524268:DXV524270 EHG524268:EHR524270 ERC524268:ERN524270 FAY524268:FBJ524270 FKU524268:FLF524270 FUQ524268:FVB524270 GEM524268:GEX524270 GOI524268:GOT524270 GYE524268:GYP524270 HIA524268:HIL524270 HRW524268:HSH524270 IBS524268:ICD524270 ILO524268:ILZ524270 IVK524268:IVV524270 JFG524268:JFR524270 JPC524268:JPN524270 JYY524268:JZJ524270 KIU524268:KJF524270 KSQ524268:KTB524270 LCM524268:LCX524270 LMI524268:LMT524270 LWE524268:LWP524270 MGA524268:MGL524270 MPW524268:MQH524270 MZS524268:NAD524270 NJO524268:NJZ524270 NTK524268:NTV524270 ODG524268:ODR524270 ONC524268:ONN524270 OWY524268:OXJ524270 PGU524268:PHF524270 PQQ524268:PRB524270 QAM524268:QAX524270 QKI524268:QKT524270 QUE524268:QUP524270 REA524268:REL524270 RNW524268:ROH524270 RXS524268:RYD524270 SHO524268:SHZ524270 SRK524268:SRV524270 TBG524268:TBR524270 TLC524268:TLN524270 TUY524268:TVJ524270 UEU524268:UFF524270 UOQ524268:UPB524270 UYM524268:UYX524270 VII524268:VIT524270 VSE524268:VSP524270 WCA524268:WCL524270 WLW524268:WMH524270 WVS524268:WWD524270 JG589804:JR589806 TC589804:TN589806 ACY589804:ADJ589806 AMU589804:ANF589806 AWQ589804:AXB589806 BGM589804:BGX589806 BQI589804:BQT589806 CAE589804:CAP589806 CKA589804:CKL589806 CTW589804:CUH589806 DDS589804:DED589806 DNO589804:DNZ589806 DXK589804:DXV589806 EHG589804:EHR589806 ERC589804:ERN589806 FAY589804:FBJ589806 FKU589804:FLF589806 FUQ589804:FVB589806 GEM589804:GEX589806 GOI589804:GOT589806 GYE589804:GYP589806 HIA589804:HIL589806 HRW589804:HSH589806 IBS589804:ICD589806 ILO589804:ILZ589806 IVK589804:IVV589806 JFG589804:JFR589806 JPC589804:JPN589806 JYY589804:JZJ589806 KIU589804:KJF589806 KSQ589804:KTB589806 LCM589804:LCX589806 LMI589804:LMT589806 LWE589804:LWP589806 MGA589804:MGL589806 MPW589804:MQH589806 MZS589804:NAD589806 NJO589804:NJZ589806 NTK589804:NTV589806 ODG589804:ODR589806 ONC589804:ONN589806 OWY589804:OXJ589806 PGU589804:PHF589806 PQQ589804:PRB589806 QAM589804:QAX589806 QKI589804:QKT589806 QUE589804:QUP589806 REA589804:REL589806 RNW589804:ROH589806 RXS589804:RYD589806 SHO589804:SHZ589806 SRK589804:SRV589806 TBG589804:TBR589806 TLC589804:TLN589806 TUY589804:TVJ589806 UEU589804:UFF589806 UOQ589804:UPB589806 UYM589804:UYX589806 VII589804:VIT589806 VSE589804:VSP589806 WCA589804:WCL589806 WLW589804:WMH589806 WVS589804:WWD589806 JG655340:JR655342 TC655340:TN655342 ACY655340:ADJ655342 AMU655340:ANF655342 AWQ655340:AXB655342 BGM655340:BGX655342 BQI655340:BQT655342 CAE655340:CAP655342 CKA655340:CKL655342 CTW655340:CUH655342 DDS655340:DED655342 DNO655340:DNZ655342 DXK655340:DXV655342 EHG655340:EHR655342 ERC655340:ERN655342 FAY655340:FBJ655342 FKU655340:FLF655342 FUQ655340:FVB655342 GEM655340:GEX655342 GOI655340:GOT655342 GYE655340:GYP655342 HIA655340:HIL655342 HRW655340:HSH655342 IBS655340:ICD655342 ILO655340:ILZ655342 IVK655340:IVV655342 JFG655340:JFR655342 JPC655340:JPN655342 JYY655340:JZJ655342 KIU655340:KJF655342 KSQ655340:KTB655342 LCM655340:LCX655342 LMI655340:LMT655342 LWE655340:LWP655342 MGA655340:MGL655342 MPW655340:MQH655342 MZS655340:NAD655342 NJO655340:NJZ655342 NTK655340:NTV655342 ODG655340:ODR655342 ONC655340:ONN655342 OWY655340:OXJ655342 PGU655340:PHF655342 PQQ655340:PRB655342 QAM655340:QAX655342 QKI655340:QKT655342 QUE655340:QUP655342 REA655340:REL655342 RNW655340:ROH655342 RXS655340:RYD655342 SHO655340:SHZ655342 SRK655340:SRV655342 TBG655340:TBR655342 TLC655340:TLN655342 TUY655340:TVJ655342 UEU655340:UFF655342 UOQ655340:UPB655342 UYM655340:UYX655342 VII655340:VIT655342 VSE655340:VSP655342 WCA655340:WCL655342 WLW655340:WMH655342 WVS655340:WWD655342 JG720876:JR720878 TC720876:TN720878 ACY720876:ADJ720878 AMU720876:ANF720878 AWQ720876:AXB720878 BGM720876:BGX720878 BQI720876:BQT720878 CAE720876:CAP720878 CKA720876:CKL720878 CTW720876:CUH720878 DDS720876:DED720878 DNO720876:DNZ720878 DXK720876:DXV720878 EHG720876:EHR720878 ERC720876:ERN720878 FAY720876:FBJ720878 FKU720876:FLF720878 FUQ720876:FVB720878 GEM720876:GEX720878 GOI720876:GOT720878 GYE720876:GYP720878 HIA720876:HIL720878 HRW720876:HSH720878 IBS720876:ICD720878 ILO720876:ILZ720878 IVK720876:IVV720878 JFG720876:JFR720878 JPC720876:JPN720878 JYY720876:JZJ720878 KIU720876:KJF720878 KSQ720876:KTB720878 LCM720876:LCX720878 LMI720876:LMT720878 LWE720876:LWP720878 MGA720876:MGL720878 MPW720876:MQH720878 MZS720876:NAD720878 NJO720876:NJZ720878 NTK720876:NTV720878 ODG720876:ODR720878 ONC720876:ONN720878 OWY720876:OXJ720878 PGU720876:PHF720878 PQQ720876:PRB720878 QAM720876:QAX720878 QKI720876:QKT720878 QUE720876:QUP720878 REA720876:REL720878 RNW720876:ROH720878 RXS720876:RYD720878 SHO720876:SHZ720878 SRK720876:SRV720878 TBG720876:TBR720878 TLC720876:TLN720878 TUY720876:TVJ720878 UEU720876:UFF720878 UOQ720876:UPB720878 UYM720876:UYX720878 VII720876:VIT720878 VSE720876:VSP720878 WCA720876:WCL720878 WLW720876:WMH720878 WVS720876:WWD720878 JG786412:JR786414 TC786412:TN786414 ACY786412:ADJ786414 AMU786412:ANF786414 AWQ786412:AXB786414 BGM786412:BGX786414 BQI786412:BQT786414 CAE786412:CAP786414 CKA786412:CKL786414 CTW786412:CUH786414 DDS786412:DED786414 DNO786412:DNZ786414 DXK786412:DXV786414 EHG786412:EHR786414 ERC786412:ERN786414 FAY786412:FBJ786414 FKU786412:FLF786414 FUQ786412:FVB786414 GEM786412:GEX786414 GOI786412:GOT786414 GYE786412:GYP786414 HIA786412:HIL786414 HRW786412:HSH786414 IBS786412:ICD786414 ILO786412:ILZ786414 IVK786412:IVV786414 JFG786412:JFR786414 JPC786412:JPN786414 JYY786412:JZJ786414 KIU786412:KJF786414 KSQ786412:KTB786414 LCM786412:LCX786414 LMI786412:LMT786414 LWE786412:LWP786414 MGA786412:MGL786414 MPW786412:MQH786414 MZS786412:NAD786414 NJO786412:NJZ786414 NTK786412:NTV786414 ODG786412:ODR786414 ONC786412:ONN786414 OWY786412:OXJ786414 PGU786412:PHF786414 PQQ786412:PRB786414 QAM786412:QAX786414 QKI786412:QKT786414 QUE786412:QUP786414 REA786412:REL786414 RNW786412:ROH786414 RXS786412:RYD786414 SHO786412:SHZ786414 SRK786412:SRV786414 TBG786412:TBR786414 TLC786412:TLN786414 TUY786412:TVJ786414 UEU786412:UFF786414 UOQ786412:UPB786414 UYM786412:UYX786414 VII786412:VIT786414 VSE786412:VSP786414 WCA786412:WCL786414 WLW786412:WMH786414 WVS786412:WWD786414 JG851948:JR851950 TC851948:TN851950 ACY851948:ADJ851950 AMU851948:ANF851950 AWQ851948:AXB851950 BGM851948:BGX851950 BQI851948:BQT851950 CAE851948:CAP851950 CKA851948:CKL851950 CTW851948:CUH851950 DDS851948:DED851950 DNO851948:DNZ851950 DXK851948:DXV851950 EHG851948:EHR851950 ERC851948:ERN851950 FAY851948:FBJ851950 FKU851948:FLF851950 FUQ851948:FVB851950 GEM851948:GEX851950 GOI851948:GOT851950 GYE851948:GYP851950 HIA851948:HIL851950 HRW851948:HSH851950 IBS851948:ICD851950 ILO851948:ILZ851950 IVK851948:IVV851950 JFG851948:JFR851950 JPC851948:JPN851950 JYY851948:JZJ851950 KIU851948:KJF851950 KSQ851948:KTB851950 LCM851948:LCX851950 LMI851948:LMT851950 LWE851948:LWP851950 MGA851948:MGL851950 MPW851948:MQH851950 MZS851948:NAD851950 NJO851948:NJZ851950 NTK851948:NTV851950 ODG851948:ODR851950 ONC851948:ONN851950 OWY851948:OXJ851950 PGU851948:PHF851950 PQQ851948:PRB851950 QAM851948:QAX851950 QKI851948:QKT851950 QUE851948:QUP851950 REA851948:REL851950 RNW851948:ROH851950 RXS851948:RYD851950 SHO851948:SHZ851950 SRK851948:SRV851950 TBG851948:TBR851950 TLC851948:TLN851950 TUY851948:TVJ851950 UEU851948:UFF851950 UOQ851948:UPB851950 UYM851948:UYX851950 VII851948:VIT851950 VSE851948:VSP851950 WCA851948:WCL851950 WLW851948:WMH851950 WVS851948:WWD851950 JG917484:JR917486 TC917484:TN917486 ACY917484:ADJ917486 AMU917484:ANF917486 AWQ917484:AXB917486 BGM917484:BGX917486 BQI917484:BQT917486 CAE917484:CAP917486 CKA917484:CKL917486 CTW917484:CUH917486 DDS917484:DED917486 DNO917484:DNZ917486 DXK917484:DXV917486 EHG917484:EHR917486 ERC917484:ERN917486 FAY917484:FBJ917486 FKU917484:FLF917486 FUQ917484:FVB917486 GEM917484:GEX917486 GOI917484:GOT917486 GYE917484:GYP917486 HIA917484:HIL917486 HRW917484:HSH917486 IBS917484:ICD917486 ILO917484:ILZ917486 IVK917484:IVV917486 JFG917484:JFR917486 JPC917484:JPN917486 JYY917484:JZJ917486 KIU917484:KJF917486 KSQ917484:KTB917486 LCM917484:LCX917486 LMI917484:LMT917486 LWE917484:LWP917486 MGA917484:MGL917486 MPW917484:MQH917486 MZS917484:NAD917486 NJO917484:NJZ917486 NTK917484:NTV917486 ODG917484:ODR917486 ONC917484:ONN917486 OWY917484:OXJ917486 PGU917484:PHF917486 PQQ917484:PRB917486 QAM917484:QAX917486 QKI917484:QKT917486 QUE917484:QUP917486 REA917484:REL917486 RNW917484:ROH917486 RXS917484:RYD917486 SHO917484:SHZ917486 SRK917484:SRV917486 TBG917484:TBR917486 TLC917484:TLN917486 TUY917484:TVJ917486 UEU917484:UFF917486 UOQ917484:UPB917486 UYM917484:UYX917486 VII917484:VIT917486 VSE917484:VSP917486 WCA917484:WCL917486 WLW917484:WMH917486 WVS917484:WWD917486 JG983020:JR983022 TC983020:TN983022 ACY983020:ADJ983022 AMU983020:ANF983022 AWQ983020:AXB983022 BGM983020:BGX983022 BQI983020:BQT983022 CAE983020:CAP983022 CKA983020:CKL983022 CTW983020:CUH983022 DDS983020:DED983022 DNO983020:DNZ983022 DXK983020:DXV983022 EHG983020:EHR983022 ERC983020:ERN983022 FAY983020:FBJ983022 FKU983020:FLF983022 FUQ983020:FVB983022 GEM983020:GEX983022 GOI983020:GOT983022 GYE983020:GYP983022 HIA983020:HIL983022 HRW983020:HSH983022 IBS983020:ICD983022 ILO983020:ILZ983022 IVK983020:IVV983022 JFG983020:JFR983022 JPC983020:JPN983022 JYY983020:JZJ983022 KIU983020:KJF983022 KSQ983020:KTB983022 LCM983020:LCX983022 LMI983020:LMT983022 LWE983020:LWP983022 MGA983020:MGL983022 MPW983020:MQH983022 MZS983020:NAD983022 NJO983020:NJZ983022 NTK983020:NTV983022 ODG983020:ODR983022 ONC983020:ONN983022 OWY983020:OXJ983022 PGU983020:PHF983022 PQQ983020:PRB983022 QAM983020:QAX983022 QKI983020:QKT983022 QUE983020:QUP983022 REA983020:REL983022 RNW983020:ROH983022 RXS983020:RYD983022 SHO983020:SHZ983022 SRK983020:SRV983022 TBG983020:TBR983022 TLC983020:TLN983022 TUY983020:TVJ983022 UEU983020:UFF983022 UOQ983020:UPB983022 UYM983020:UYX983022 VII983020:VIT983022 VSE983020:VSP983022 WCA983020:WCL983022 WLW983020:WMH983022 WVS983020:WWD983022 WVS983025:WWD983027 JG65521:JR65523 TC65521:TN65523 ACY65521:ADJ65523 AMU65521:ANF65523 AWQ65521:AXB65523 BGM65521:BGX65523 BQI65521:BQT65523 CAE65521:CAP65523 CKA65521:CKL65523 CTW65521:CUH65523 DDS65521:DED65523 DNO65521:DNZ65523 DXK65521:DXV65523 EHG65521:EHR65523 ERC65521:ERN65523 FAY65521:FBJ65523 FKU65521:FLF65523 FUQ65521:FVB65523 GEM65521:GEX65523 GOI65521:GOT65523 GYE65521:GYP65523 HIA65521:HIL65523 HRW65521:HSH65523 IBS65521:ICD65523 ILO65521:ILZ65523 IVK65521:IVV65523 JFG65521:JFR65523 JPC65521:JPN65523 JYY65521:JZJ65523 KIU65521:KJF65523 KSQ65521:KTB65523 LCM65521:LCX65523 LMI65521:LMT65523 LWE65521:LWP65523 MGA65521:MGL65523 MPW65521:MQH65523 MZS65521:NAD65523 NJO65521:NJZ65523 NTK65521:NTV65523 ODG65521:ODR65523 ONC65521:ONN65523 OWY65521:OXJ65523 PGU65521:PHF65523 PQQ65521:PRB65523 QAM65521:QAX65523 QKI65521:QKT65523 QUE65521:QUP65523 REA65521:REL65523 RNW65521:ROH65523 RXS65521:RYD65523 SHO65521:SHZ65523 SRK65521:SRV65523 TBG65521:TBR65523 TLC65521:TLN65523 TUY65521:TVJ65523 UEU65521:UFF65523 UOQ65521:UPB65523 UYM65521:UYX65523 VII65521:VIT65523 VSE65521:VSP65523 WCA65521:WCL65523 WLW65521:WMH65523 WVS65521:WWD65523 JG131057:JR131059 TC131057:TN131059 ACY131057:ADJ131059 AMU131057:ANF131059 AWQ131057:AXB131059 BGM131057:BGX131059 BQI131057:BQT131059 CAE131057:CAP131059 CKA131057:CKL131059 CTW131057:CUH131059 DDS131057:DED131059 DNO131057:DNZ131059 DXK131057:DXV131059 EHG131057:EHR131059 ERC131057:ERN131059 FAY131057:FBJ131059 FKU131057:FLF131059 FUQ131057:FVB131059 GEM131057:GEX131059 GOI131057:GOT131059 GYE131057:GYP131059 HIA131057:HIL131059 HRW131057:HSH131059 IBS131057:ICD131059 ILO131057:ILZ131059 IVK131057:IVV131059 JFG131057:JFR131059 JPC131057:JPN131059 JYY131057:JZJ131059 KIU131057:KJF131059 KSQ131057:KTB131059 LCM131057:LCX131059 LMI131057:LMT131059 LWE131057:LWP131059 MGA131057:MGL131059 MPW131057:MQH131059 MZS131057:NAD131059 NJO131057:NJZ131059 NTK131057:NTV131059 ODG131057:ODR131059 ONC131057:ONN131059 OWY131057:OXJ131059 PGU131057:PHF131059 PQQ131057:PRB131059 QAM131057:QAX131059 QKI131057:QKT131059 QUE131057:QUP131059 REA131057:REL131059 RNW131057:ROH131059 RXS131057:RYD131059 SHO131057:SHZ131059 SRK131057:SRV131059 TBG131057:TBR131059 TLC131057:TLN131059 TUY131057:TVJ131059 UEU131057:UFF131059 UOQ131057:UPB131059 UYM131057:UYX131059 VII131057:VIT131059 VSE131057:VSP131059 WCA131057:WCL131059 WLW131057:WMH131059 WVS131057:WWD131059 JG196593:JR196595 TC196593:TN196595 ACY196593:ADJ196595 AMU196593:ANF196595 AWQ196593:AXB196595 BGM196593:BGX196595 BQI196593:BQT196595 CAE196593:CAP196595 CKA196593:CKL196595 CTW196593:CUH196595 DDS196593:DED196595 DNO196593:DNZ196595 DXK196593:DXV196595 EHG196593:EHR196595 ERC196593:ERN196595 FAY196593:FBJ196595 FKU196593:FLF196595 FUQ196593:FVB196595 GEM196593:GEX196595 GOI196593:GOT196595 GYE196593:GYP196595 HIA196593:HIL196595 HRW196593:HSH196595 IBS196593:ICD196595 ILO196593:ILZ196595 IVK196593:IVV196595 JFG196593:JFR196595 JPC196593:JPN196595 JYY196593:JZJ196595 KIU196593:KJF196595 KSQ196593:KTB196595 LCM196593:LCX196595 LMI196593:LMT196595 LWE196593:LWP196595 MGA196593:MGL196595 MPW196593:MQH196595 MZS196593:NAD196595 NJO196593:NJZ196595 NTK196593:NTV196595 ODG196593:ODR196595 ONC196593:ONN196595 OWY196593:OXJ196595 PGU196593:PHF196595 PQQ196593:PRB196595 QAM196593:QAX196595 QKI196593:QKT196595 QUE196593:QUP196595 REA196593:REL196595 RNW196593:ROH196595 RXS196593:RYD196595 SHO196593:SHZ196595 SRK196593:SRV196595 TBG196593:TBR196595 TLC196593:TLN196595 TUY196593:TVJ196595 UEU196593:UFF196595 UOQ196593:UPB196595 UYM196593:UYX196595 VII196593:VIT196595 VSE196593:VSP196595 WCA196593:WCL196595 WLW196593:WMH196595 WVS196593:WWD196595 JG262129:JR262131 TC262129:TN262131 ACY262129:ADJ262131 AMU262129:ANF262131 AWQ262129:AXB262131 BGM262129:BGX262131 BQI262129:BQT262131 CAE262129:CAP262131 CKA262129:CKL262131 CTW262129:CUH262131 DDS262129:DED262131 DNO262129:DNZ262131 DXK262129:DXV262131 EHG262129:EHR262131 ERC262129:ERN262131 FAY262129:FBJ262131 FKU262129:FLF262131 FUQ262129:FVB262131 GEM262129:GEX262131 GOI262129:GOT262131 GYE262129:GYP262131 HIA262129:HIL262131 HRW262129:HSH262131 IBS262129:ICD262131 ILO262129:ILZ262131 IVK262129:IVV262131 JFG262129:JFR262131 JPC262129:JPN262131 JYY262129:JZJ262131 KIU262129:KJF262131 KSQ262129:KTB262131 LCM262129:LCX262131 LMI262129:LMT262131 LWE262129:LWP262131 MGA262129:MGL262131 MPW262129:MQH262131 MZS262129:NAD262131 NJO262129:NJZ262131 NTK262129:NTV262131 ODG262129:ODR262131 ONC262129:ONN262131 OWY262129:OXJ262131 PGU262129:PHF262131 PQQ262129:PRB262131 QAM262129:QAX262131 QKI262129:QKT262131 QUE262129:QUP262131 REA262129:REL262131 RNW262129:ROH262131 RXS262129:RYD262131 SHO262129:SHZ262131 SRK262129:SRV262131 TBG262129:TBR262131 TLC262129:TLN262131 TUY262129:TVJ262131 UEU262129:UFF262131 UOQ262129:UPB262131 UYM262129:UYX262131 VII262129:VIT262131 VSE262129:VSP262131 WCA262129:WCL262131 WLW262129:WMH262131 WVS262129:WWD262131 JG327665:JR327667 TC327665:TN327667 ACY327665:ADJ327667 AMU327665:ANF327667 AWQ327665:AXB327667 BGM327665:BGX327667 BQI327665:BQT327667 CAE327665:CAP327667 CKA327665:CKL327667 CTW327665:CUH327667 DDS327665:DED327667 DNO327665:DNZ327667 DXK327665:DXV327667 EHG327665:EHR327667 ERC327665:ERN327667 FAY327665:FBJ327667 FKU327665:FLF327667 FUQ327665:FVB327667 GEM327665:GEX327667 GOI327665:GOT327667 GYE327665:GYP327667 HIA327665:HIL327667 HRW327665:HSH327667 IBS327665:ICD327667 ILO327665:ILZ327667 IVK327665:IVV327667 JFG327665:JFR327667 JPC327665:JPN327667 JYY327665:JZJ327667 KIU327665:KJF327667 KSQ327665:KTB327667 LCM327665:LCX327667 LMI327665:LMT327667 LWE327665:LWP327667 MGA327665:MGL327667 MPW327665:MQH327667 MZS327665:NAD327667 NJO327665:NJZ327667 NTK327665:NTV327667 ODG327665:ODR327667 ONC327665:ONN327667 OWY327665:OXJ327667 PGU327665:PHF327667 PQQ327665:PRB327667 QAM327665:QAX327667 QKI327665:QKT327667 QUE327665:QUP327667 REA327665:REL327667 RNW327665:ROH327667 RXS327665:RYD327667 SHO327665:SHZ327667 SRK327665:SRV327667 TBG327665:TBR327667 TLC327665:TLN327667 TUY327665:TVJ327667 UEU327665:UFF327667 UOQ327665:UPB327667 UYM327665:UYX327667 VII327665:VIT327667 VSE327665:VSP327667 WCA327665:WCL327667 WLW327665:WMH327667 WVS327665:WWD327667 JG393201:JR393203 TC393201:TN393203 ACY393201:ADJ393203 AMU393201:ANF393203 AWQ393201:AXB393203 BGM393201:BGX393203 BQI393201:BQT393203 CAE393201:CAP393203 CKA393201:CKL393203 CTW393201:CUH393203 DDS393201:DED393203 DNO393201:DNZ393203 DXK393201:DXV393203 EHG393201:EHR393203 ERC393201:ERN393203 FAY393201:FBJ393203 FKU393201:FLF393203 FUQ393201:FVB393203 GEM393201:GEX393203 GOI393201:GOT393203 GYE393201:GYP393203 HIA393201:HIL393203 HRW393201:HSH393203 IBS393201:ICD393203 ILO393201:ILZ393203 IVK393201:IVV393203 JFG393201:JFR393203 JPC393201:JPN393203 JYY393201:JZJ393203 KIU393201:KJF393203 KSQ393201:KTB393203 LCM393201:LCX393203 LMI393201:LMT393203 LWE393201:LWP393203 MGA393201:MGL393203 MPW393201:MQH393203 MZS393201:NAD393203 NJO393201:NJZ393203 NTK393201:NTV393203 ODG393201:ODR393203 ONC393201:ONN393203 OWY393201:OXJ393203 PGU393201:PHF393203 PQQ393201:PRB393203 QAM393201:QAX393203 QKI393201:QKT393203 QUE393201:QUP393203 REA393201:REL393203 RNW393201:ROH393203 RXS393201:RYD393203 SHO393201:SHZ393203 SRK393201:SRV393203 TBG393201:TBR393203 TLC393201:TLN393203 TUY393201:TVJ393203 UEU393201:UFF393203 UOQ393201:UPB393203 UYM393201:UYX393203 VII393201:VIT393203 VSE393201:VSP393203 WCA393201:WCL393203 WLW393201:WMH393203 WVS393201:WWD393203 JG458737:JR458739 TC458737:TN458739 ACY458737:ADJ458739 AMU458737:ANF458739 AWQ458737:AXB458739 BGM458737:BGX458739 BQI458737:BQT458739 CAE458737:CAP458739 CKA458737:CKL458739 CTW458737:CUH458739 DDS458737:DED458739 DNO458737:DNZ458739 DXK458737:DXV458739 EHG458737:EHR458739 ERC458737:ERN458739 FAY458737:FBJ458739 FKU458737:FLF458739 FUQ458737:FVB458739 GEM458737:GEX458739 GOI458737:GOT458739 GYE458737:GYP458739 HIA458737:HIL458739 HRW458737:HSH458739 IBS458737:ICD458739 ILO458737:ILZ458739 IVK458737:IVV458739 JFG458737:JFR458739 JPC458737:JPN458739 JYY458737:JZJ458739 KIU458737:KJF458739 KSQ458737:KTB458739 LCM458737:LCX458739 LMI458737:LMT458739 LWE458737:LWP458739 MGA458737:MGL458739 MPW458737:MQH458739 MZS458737:NAD458739 NJO458737:NJZ458739 NTK458737:NTV458739 ODG458737:ODR458739 ONC458737:ONN458739 OWY458737:OXJ458739 PGU458737:PHF458739 PQQ458737:PRB458739 QAM458737:QAX458739 QKI458737:QKT458739 QUE458737:QUP458739 REA458737:REL458739 RNW458737:ROH458739 RXS458737:RYD458739 SHO458737:SHZ458739 SRK458737:SRV458739 TBG458737:TBR458739 TLC458737:TLN458739 TUY458737:TVJ458739 UEU458737:UFF458739 UOQ458737:UPB458739 UYM458737:UYX458739 VII458737:VIT458739 VSE458737:VSP458739 WCA458737:WCL458739 WLW458737:WMH458739 WVS458737:WWD458739 JG524273:JR524275 TC524273:TN524275 ACY524273:ADJ524275 AMU524273:ANF524275 AWQ524273:AXB524275 BGM524273:BGX524275 BQI524273:BQT524275 CAE524273:CAP524275 CKA524273:CKL524275 CTW524273:CUH524275 DDS524273:DED524275 DNO524273:DNZ524275 DXK524273:DXV524275 EHG524273:EHR524275 ERC524273:ERN524275 FAY524273:FBJ524275 FKU524273:FLF524275 FUQ524273:FVB524275 GEM524273:GEX524275 GOI524273:GOT524275 GYE524273:GYP524275 HIA524273:HIL524275 HRW524273:HSH524275 IBS524273:ICD524275 ILO524273:ILZ524275 IVK524273:IVV524275 JFG524273:JFR524275 JPC524273:JPN524275 JYY524273:JZJ524275 KIU524273:KJF524275 KSQ524273:KTB524275 LCM524273:LCX524275 LMI524273:LMT524275 LWE524273:LWP524275 MGA524273:MGL524275 MPW524273:MQH524275 MZS524273:NAD524275 NJO524273:NJZ524275 NTK524273:NTV524275 ODG524273:ODR524275 ONC524273:ONN524275 OWY524273:OXJ524275 PGU524273:PHF524275 PQQ524273:PRB524275 QAM524273:QAX524275 QKI524273:QKT524275 QUE524273:QUP524275 REA524273:REL524275 RNW524273:ROH524275 RXS524273:RYD524275 SHO524273:SHZ524275 SRK524273:SRV524275 TBG524273:TBR524275 TLC524273:TLN524275 TUY524273:TVJ524275 UEU524273:UFF524275 UOQ524273:UPB524275 UYM524273:UYX524275 VII524273:VIT524275 VSE524273:VSP524275 WCA524273:WCL524275 WLW524273:WMH524275 WVS524273:WWD524275 JG589809:JR589811 TC589809:TN589811 ACY589809:ADJ589811 AMU589809:ANF589811 AWQ589809:AXB589811 BGM589809:BGX589811 BQI589809:BQT589811 CAE589809:CAP589811 CKA589809:CKL589811 CTW589809:CUH589811 DDS589809:DED589811 DNO589809:DNZ589811 DXK589809:DXV589811 EHG589809:EHR589811 ERC589809:ERN589811 FAY589809:FBJ589811 FKU589809:FLF589811 FUQ589809:FVB589811 GEM589809:GEX589811 GOI589809:GOT589811 GYE589809:GYP589811 HIA589809:HIL589811 HRW589809:HSH589811 IBS589809:ICD589811 ILO589809:ILZ589811 IVK589809:IVV589811 JFG589809:JFR589811 JPC589809:JPN589811 JYY589809:JZJ589811 KIU589809:KJF589811 KSQ589809:KTB589811 LCM589809:LCX589811 LMI589809:LMT589811 LWE589809:LWP589811 MGA589809:MGL589811 MPW589809:MQH589811 MZS589809:NAD589811 NJO589809:NJZ589811 NTK589809:NTV589811 ODG589809:ODR589811 ONC589809:ONN589811 OWY589809:OXJ589811 PGU589809:PHF589811 PQQ589809:PRB589811 QAM589809:QAX589811 QKI589809:QKT589811 QUE589809:QUP589811 REA589809:REL589811 RNW589809:ROH589811 RXS589809:RYD589811 SHO589809:SHZ589811 SRK589809:SRV589811 TBG589809:TBR589811 TLC589809:TLN589811 TUY589809:TVJ589811 UEU589809:UFF589811 UOQ589809:UPB589811 UYM589809:UYX589811 VII589809:VIT589811 VSE589809:VSP589811 WCA589809:WCL589811 WLW589809:WMH589811 WVS589809:WWD589811 JG655345:JR655347 TC655345:TN655347 ACY655345:ADJ655347 AMU655345:ANF655347 AWQ655345:AXB655347 BGM655345:BGX655347 BQI655345:BQT655347 CAE655345:CAP655347 CKA655345:CKL655347 CTW655345:CUH655347 DDS655345:DED655347 DNO655345:DNZ655347 DXK655345:DXV655347 EHG655345:EHR655347 ERC655345:ERN655347 FAY655345:FBJ655347 FKU655345:FLF655347 FUQ655345:FVB655347 GEM655345:GEX655347 GOI655345:GOT655347 GYE655345:GYP655347 HIA655345:HIL655347 HRW655345:HSH655347 IBS655345:ICD655347 ILO655345:ILZ655347 IVK655345:IVV655347 JFG655345:JFR655347 JPC655345:JPN655347 JYY655345:JZJ655347 KIU655345:KJF655347 KSQ655345:KTB655347 LCM655345:LCX655347 LMI655345:LMT655347 LWE655345:LWP655347 MGA655345:MGL655347 MPW655345:MQH655347 MZS655345:NAD655347 NJO655345:NJZ655347 NTK655345:NTV655347 ODG655345:ODR655347 ONC655345:ONN655347 OWY655345:OXJ655347 PGU655345:PHF655347 PQQ655345:PRB655347 QAM655345:QAX655347 QKI655345:QKT655347 QUE655345:QUP655347 REA655345:REL655347 RNW655345:ROH655347 RXS655345:RYD655347 SHO655345:SHZ655347 SRK655345:SRV655347 TBG655345:TBR655347 TLC655345:TLN655347 TUY655345:TVJ655347 UEU655345:UFF655347 UOQ655345:UPB655347 UYM655345:UYX655347 VII655345:VIT655347 VSE655345:VSP655347 WCA655345:WCL655347 WLW655345:WMH655347 WVS655345:WWD655347 JG720881:JR720883 TC720881:TN720883 ACY720881:ADJ720883 AMU720881:ANF720883 AWQ720881:AXB720883 BGM720881:BGX720883 BQI720881:BQT720883 CAE720881:CAP720883 CKA720881:CKL720883 CTW720881:CUH720883 DDS720881:DED720883 DNO720881:DNZ720883 DXK720881:DXV720883 EHG720881:EHR720883 ERC720881:ERN720883 FAY720881:FBJ720883 FKU720881:FLF720883 FUQ720881:FVB720883 GEM720881:GEX720883 GOI720881:GOT720883 GYE720881:GYP720883 HIA720881:HIL720883 HRW720881:HSH720883 IBS720881:ICD720883 ILO720881:ILZ720883 IVK720881:IVV720883 JFG720881:JFR720883 JPC720881:JPN720883 JYY720881:JZJ720883 KIU720881:KJF720883 KSQ720881:KTB720883 LCM720881:LCX720883 LMI720881:LMT720883 LWE720881:LWP720883 MGA720881:MGL720883 MPW720881:MQH720883 MZS720881:NAD720883 NJO720881:NJZ720883 NTK720881:NTV720883 ODG720881:ODR720883 ONC720881:ONN720883 OWY720881:OXJ720883 PGU720881:PHF720883 PQQ720881:PRB720883 QAM720881:QAX720883 QKI720881:QKT720883 QUE720881:QUP720883 REA720881:REL720883 RNW720881:ROH720883 RXS720881:RYD720883 SHO720881:SHZ720883 SRK720881:SRV720883 TBG720881:TBR720883 TLC720881:TLN720883 TUY720881:TVJ720883 UEU720881:UFF720883 UOQ720881:UPB720883 UYM720881:UYX720883 VII720881:VIT720883 VSE720881:VSP720883 WCA720881:WCL720883 WLW720881:WMH720883 WVS720881:WWD720883 JG786417:JR786419 TC786417:TN786419 ACY786417:ADJ786419 AMU786417:ANF786419 AWQ786417:AXB786419 BGM786417:BGX786419 BQI786417:BQT786419 CAE786417:CAP786419 CKA786417:CKL786419 CTW786417:CUH786419 DDS786417:DED786419 DNO786417:DNZ786419 DXK786417:DXV786419 EHG786417:EHR786419 ERC786417:ERN786419 FAY786417:FBJ786419 FKU786417:FLF786419 FUQ786417:FVB786419 GEM786417:GEX786419 GOI786417:GOT786419 GYE786417:GYP786419 HIA786417:HIL786419 HRW786417:HSH786419 IBS786417:ICD786419 ILO786417:ILZ786419 IVK786417:IVV786419 JFG786417:JFR786419 JPC786417:JPN786419 JYY786417:JZJ786419 KIU786417:KJF786419 KSQ786417:KTB786419 LCM786417:LCX786419 LMI786417:LMT786419 LWE786417:LWP786419 MGA786417:MGL786419 MPW786417:MQH786419 MZS786417:NAD786419 NJO786417:NJZ786419 NTK786417:NTV786419 ODG786417:ODR786419 ONC786417:ONN786419 OWY786417:OXJ786419 PGU786417:PHF786419 PQQ786417:PRB786419 QAM786417:QAX786419 QKI786417:QKT786419 QUE786417:QUP786419 REA786417:REL786419 RNW786417:ROH786419 RXS786417:RYD786419 SHO786417:SHZ786419 SRK786417:SRV786419 TBG786417:TBR786419 TLC786417:TLN786419 TUY786417:TVJ786419 UEU786417:UFF786419 UOQ786417:UPB786419 UYM786417:UYX786419 VII786417:VIT786419 VSE786417:VSP786419 WCA786417:WCL786419 WLW786417:WMH786419 WVS786417:WWD786419 JG851953:JR851955 TC851953:TN851955 ACY851953:ADJ851955 AMU851953:ANF851955 AWQ851953:AXB851955 BGM851953:BGX851955 BQI851953:BQT851955 CAE851953:CAP851955 CKA851953:CKL851955 CTW851953:CUH851955 DDS851953:DED851955 DNO851953:DNZ851955 DXK851953:DXV851955 EHG851953:EHR851955 ERC851953:ERN851955 FAY851953:FBJ851955 FKU851953:FLF851955 FUQ851953:FVB851955 GEM851953:GEX851955 GOI851953:GOT851955 GYE851953:GYP851955 HIA851953:HIL851955 HRW851953:HSH851955 IBS851953:ICD851955 ILO851953:ILZ851955 IVK851953:IVV851955 JFG851953:JFR851955 JPC851953:JPN851955 JYY851953:JZJ851955 KIU851953:KJF851955 KSQ851953:KTB851955 LCM851953:LCX851955 LMI851953:LMT851955 LWE851953:LWP851955 MGA851953:MGL851955 MPW851953:MQH851955 MZS851953:NAD851955 NJO851953:NJZ851955 NTK851953:NTV851955 ODG851953:ODR851955 ONC851953:ONN851955 OWY851953:OXJ851955 PGU851953:PHF851955 PQQ851953:PRB851955 QAM851953:QAX851955 QKI851953:QKT851955 QUE851953:QUP851955 REA851953:REL851955 RNW851953:ROH851955 RXS851953:RYD851955 SHO851953:SHZ851955 SRK851953:SRV851955 TBG851953:TBR851955 TLC851953:TLN851955 TUY851953:TVJ851955 UEU851953:UFF851955 UOQ851953:UPB851955 UYM851953:UYX851955 VII851953:VIT851955 VSE851953:VSP851955 WCA851953:WCL851955 WLW851953:WMH851955 WVS851953:WWD851955 JG917489:JR917491 TC917489:TN917491 ACY917489:ADJ917491 AMU917489:ANF917491 AWQ917489:AXB917491 BGM917489:BGX917491 BQI917489:BQT917491 CAE917489:CAP917491 CKA917489:CKL917491 CTW917489:CUH917491 DDS917489:DED917491 DNO917489:DNZ917491 DXK917489:DXV917491 EHG917489:EHR917491 ERC917489:ERN917491 FAY917489:FBJ917491 FKU917489:FLF917491 FUQ917489:FVB917491 GEM917489:GEX917491 GOI917489:GOT917491 GYE917489:GYP917491 HIA917489:HIL917491 HRW917489:HSH917491 IBS917489:ICD917491 ILO917489:ILZ917491 IVK917489:IVV917491 JFG917489:JFR917491 JPC917489:JPN917491 JYY917489:JZJ917491 KIU917489:KJF917491 KSQ917489:KTB917491 LCM917489:LCX917491 LMI917489:LMT917491 LWE917489:LWP917491 MGA917489:MGL917491 MPW917489:MQH917491 MZS917489:NAD917491 NJO917489:NJZ917491 NTK917489:NTV917491 ODG917489:ODR917491 ONC917489:ONN917491 OWY917489:OXJ917491 PGU917489:PHF917491 PQQ917489:PRB917491 QAM917489:QAX917491 QKI917489:QKT917491 QUE917489:QUP917491 REA917489:REL917491 RNW917489:ROH917491 RXS917489:RYD917491 SHO917489:SHZ917491 SRK917489:SRV917491 TBG917489:TBR917491 TLC917489:TLN917491 TUY917489:TVJ917491 UEU917489:UFF917491 UOQ917489:UPB917491 UYM917489:UYX917491 VII917489:VIT917491 VSE917489:VSP917491 WCA917489:WCL917491 WLW917489:WMH917491 WVS917489:WWD917491 JG983025:JR983027 TC983025:TN983027 ACY983025:ADJ983027 AMU983025:ANF983027 AWQ983025:AXB983027 BGM983025:BGX983027 BQI983025:BQT983027 CAE983025:CAP983027 CKA983025:CKL983027 CTW983025:CUH983027 DDS983025:DED983027 DNO983025:DNZ983027 DXK983025:DXV983027 EHG983025:EHR983027 ERC983025:ERN983027 FAY983025:FBJ983027 FKU983025:FLF983027 FUQ983025:FVB983027 GEM983025:GEX983027 GOI983025:GOT983027 GYE983025:GYP983027 HIA983025:HIL983027 HRW983025:HSH983027 IBS983025:ICD983027 ILO983025:ILZ983027 IVK983025:IVV983027 JFG983025:JFR983027 JPC983025:JPN983027 JYY983025:JZJ983027 KIU983025:KJF983027 KSQ983025:KTB983027 LCM983025:LCX983027 LMI983025:LMT983027 LWE983025:LWP983027 MGA983025:MGL983027 MPW983025:MQH983027 MZS983025:NAD983027 NJO983025:NJZ983027 NTK983025:NTV983027 ODG983025:ODR983027 ONC983025:ONN983027 OWY983025:OXJ983027 PGU983025:PHF983027 PQQ983025:PRB983027 QAM983025:QAX983027 QKI983025:QKT983027 QUE983025:QUP983027 REA983025:REL983027 RNW983025:ROH983027 RXS983025:RYD983027 SHO983025:SHZ983027 SRK983025:SRV983027 TBG983025:TBR983027 TLC983025:TLN983027 TUY983025:TVJ983027 UEU983025:UFF983027 UOQ983025:UPB983027 UYM983025:UYX983027 VII983025:VIT983027 VSE983025:VSP983027 WCA983025:WCL983027 WLW983025:WMH983027 Z262124:AJ262126 Z196588:AJ196590 Z131052:AJ131054 Z65516:AJ65518 Z983025:AJ983027 Z917489:AJ917491 Z851953:AJ851955 Z786417:AJ786419 Z720881:AJ720883 Z655345:AJ655347 Z589809:AJ589811 Z524273:AJ524275 Z458737:AJ458739 Z393201:AJ393203 Z327665:AJ327667 Z262129:AJ262131 Z196593:AJ196595 Z131057:AJ131059 Z65521:AJ65523 Z983020:AJ983022 Z917484:AJ917486 Z851948:AJ851950 Z786412:AJ786414 Z720876:AJ720878 Z655340:AJ655342 Z589804:AJ589806 Z524268:AJ524270 Z458732:AJ458734 Z393196:AJ393198 Z327660:AJ327662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AA8:AA27 AA34:AA46">
      <formula1>"datetime,int,numeric,varchar,nvarchar"</formula1>
    </dataValidation>
    <dataValidation type="list" allowBlank="1" showInputMessage="1" showErrorMessage="1" sqref="Y8:Z46">
      <formula1>"文字,数値,日付,時間"</formula1>
    </dataValidation>
    <dataValidation type="list" allowBlank="1" showInputMessage="1" showErrorMessage="1" sqref="AA28:AC33">
      <formula1>"int,numeric,varchar,date,datetime2(0),datetime2,varbinary(max)"</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pageSetUpPr autoPageBreaks="0"/>
  </sheetPr>
  <dimension ref="A1:BE85"/>
  <sheetViews>
    <sheetView showGridLines="0" zoomScaleNormal="100" zoomScaleSheetLayoutView="100"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7"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7"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資材在庫実績情報</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7"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7"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t_shizai_zaiko_jisseki</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7"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7"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7" ht="14.4" customHeight="1">
      <c r="A8" s="37">
        <f>IF(B8="","",COUNTA($B$8:B8))</f>
        <v>1</v>
      </c>
      <c r="B8" s="17" t="s">
        <v>1655</v>
      </c>
      <c r="C8" s="18"/>
      <c r="D8" s="18"/>
      <c r="E8" s="18"/>
      <c r="F8" s="18"/>
      <c r="G8" s="18"/>
      <c r="H8" s="18"/>
      <c r="I8" s="19" t="s">
        <v>1401</v>
      </c>
      <c r="J8" s="20"/>
      <c r="K8" s="20"/>
      <c r="L8" s="20"/>
      <c r="M8" s="20"/>
      <c r="N8" s="20"/>
      <c r="O8" s="20"/>
      <c r="P8" s="20"/>
      <c r="Q8" s="20"/>
      <c r="R8" s="17" t="s">
        <v>1655</v>
      </c>
      <c r="S8" s="18"/>
      <c r="T8" s="18"/>
      <c r="U8" s="18"/>
      <c r="V8" s="18"/>
      <c r="W8" s="18"/>
      <c r="X8" s="18"/>
      <c r="Y8" s="589" t="s">
        <v>1504</v>
      </c>
      <c r="Z8" s="590"/>
      <c r="AA8" s="591" t="s">
        <v>1505</v>
      </c>
      <c r="AB8" s="592"/>
      <c r="AC8" s="593"/>
      <c r="AD8" s="53">
        <v>15</v>
      </c>
      <c r="AE8" s="24" t="s">
        <v>1585</v>
      </c>
      <c r="AF8" s="24" t="s">
        <v>116</v>
      </c>
      <c r="AG8" s="24"/>
      <c r="AH8" s="24"/>
      <c r="AI8" s="24"/>
      <c r="AJ8" s="24"/>
      <c r="AK8" s="24"/>
      <c r="AL8" s="24"/>
      <c r="AM8" s="24"/>
      <c r="AN8" s="24"/>
      <c r="AO8" s="25"/>
      <c r="AP8" s="25"/>
      <c r="AQ8" s="25"/>
      <c r="AR8" s="25"/>
      <c r="AS8" s="35" t="s">
        <v>1182</v>
      </c>
      <c r="AT8" s="36"/>
      <c r="AU8" s="36"/>
      <c r="AV8" s="36"/>
      <c r="AW8" s="36"/>
      <c r="AX8" s="36"/>
      <c r="AY8" s="36"/>
      <c r="AZ8" s="36"/>
      <c r="BA8" s="36"/>
      <c r="BB8" s="36"/>
      <c r="BC8" s="36"/>
      <c r="BD8" s="50"/>
    </row>
    <row r="9" spans="1:57" ht="14.4" customHeight="1">
      <c r="A9" s="37">
        <f>IF(B9="","",COUNTA($B$8:B9))</f>
        <v>2</v>
      </c>
      <c r="B9" s="17" t="s">
        <v>1264</v>
      </c>
      <c r="C9" s="18"/>
      <c r="D9" s="18"/>
      <c r="E9" s="18"/>
      <c r="F9" s="18"/>
      <c r="G9" s="18"/>
      <c r="H9" s="18"/>
      <c r="I9" s="19" t="s">
        <v>1402</v>
      </c>
      <c r="J9" s="20"/>
      <c r="K9" s="20"/>
      <c r="L9" s="20"/>
      <c r="M9" s="20"/>
      <c r="N9" s="20"/>
      <c r="O9" s="20"/>
      <c r="P9" s="20"/>
      <c r="Q9" s="20"/>
      <c r="R9" s="17" t="s">
        <v>1264</v>
      </c>
      <c r="S9" s="18"/>
      <c r="T9" s="18"/>
      <c r="U9" s="18"/>
      <c r="V9" s="18"/>
      <c r="W9" s="18"/>
      <c r="X9" s="18"/>
      <c r="Y9" s="589" t="s">
        <v>1504</v>
      </c>
      <c r="Z9" s="590"/>
      <c r="AA9" s="591" t="s">
        <v>1505</v>
      </c>
      <c r="AB9" s="592"/>
      <c r="AC9" s="593"/>
      <c r="AD9" s="23">
        <v>15</v>
      </c>
      <c r="AE9" s="24" t="s">
        <v>1585</v>
      </c>
      <c r="AF9" s="24"/>
      <c r="AG9" s="24"/>
      <c r="AH9" s="24"/>
      <c r="AI9" s="24"/>
      <c r="AJ9" s="24"/>
      <c r="AK9" s="24"/>
      <c r="AL9" s="24"/>
      <c r="AM9" s="24"/>
      <c r="AN9" s="24"/>
      <c r="AO9" s="25"/>
      <c r="AP9" s="25"/>
      <c r="AQ9" s="25"/>
      <c r="AR9" s="25"/>
      <c r="AS9" s="35" t="s">
        <v>1265</v>
      </c>
      <c r="AT9" s="36"/>
      <c r="AU9" s="36"/>
      <c r="AV9" s="36"/>
      <c r="AW9" s="36"/>
      <c r="AX9" s="36"/>
      <c r="AY9" s="36"/>
      <c r="AZ9" s="36"/>
      <c r="BA9" s="36"/>
      <c r="BB9" s="36"/>
      <c r="BC9" s="36"/>
      <c r="BD9" s="50"/>
    </row>
    <row r="10" spans="1:57" ht="14.4" customHeight="1">
      <c r="A10" s="37">
        <f>IF(B10="","",COUNTA($B$8:B10))</f>
        <v>3</v>
      </c>
      <c r="B10" s="17" t="s">
        <v>1589</v>
      </c>
      <c r="C10" s="18"/>
      <c r="D10" s="18"/>
      <c r="E10" s="18"/>
      <c r="F10" s="18"/>
      <c r="G10" s="18"/>
      <c r="H10" s="18"/>
      <c r="I10" s="19" t="s">
        <v>1566</v>
      </c>
      <c r="J10" s="20"/>
      <c r="K10" s="20"/>
      <c r="L10" s="20"/>
      <c r="M10" s="20"/>
      <c r="N10" s="20"/>
      <c r="O10" s="20"/>
      <c r="P10" s="20"/>
      <c r="Q10" s="20"/>
      <c r="R10" s="17" t="s">
        <v>1589</v>
      </c>
      <c r="S10" s="18"/>
      <c r="T10" s="18"/>
      <c r="U10" s="18"/>
      <c r="V10" s="18"/>
      <c r="W10" s="18"/>
      <c r="X10" s="18"/>
      <c r="Y10" s="589" t="s">
        <v>1504</v>
      </c>
      <c r="Z10" s="636"/>
      <c r="AA10" s="591" t="s">
        <v>1505</v>
      </c>
      <c r="AB10" s="592"/>
      <c r="AC10" s="593"/>
      <c r="AD10" s="23">
        <v>4</v>
      </c>
      <c r="AE10" s="24" t="s">
        <v>1585</v>
      </c>
      <c r="AF10" s="24"/>
      <c r="AG10" s="24"/>
      <c r="AH10" s="24"/>
      <c r="AI10" s="24"/>
      <c r="AJ10" s="24"/>
      <c r="AK10" s="24"/>
      <c r="AL10" s="24"/>
      <c r="AM10" s="24"/>
      <c r="AN10" s="24"/>
      <c r="AO10" s="25"/>
      <c r="AP10" s="25"/>
      <c r="AQ10" s="25"/>
      <c r="AR10" s="25"/>
      <c r="AS10" s="35" t="s">
        <v>1266</v>
      </c>
      <c r="AT10" s="36"/>
      <c r="AU10" s="36"/>
      <c r="AV10" s="36"/>
      <c r="AW10" s="36"/>
      <c r="AX10" s="36"/>
      <c r="AY10" s="36"/>
      <c r="AZ10" s="36"/>
      <c r="BA10" s="36"/>
      <c r="BB10" s="36"/>
      <c r="BC10" s="36"/>
      <c r="BD10" s="50"/>
    </row>
    <row r="11" spans="1:57" ht="14.4" customHeight="1">
      <c r="A11" s="37">
        <f>IF(B11="","",COUNTA($B$8:B11))</f>
        <v>4</v>
      </c>
      <c r="B11" s="17" t="s">
        <v>1590</v>
      </c>
      <c r="C11" s="18"/>
      <c r="D11" s="18"/>
      <c r="E11" s="18"/>
      <c r="F11" s="18"/>
      <c r="G11" s="18"/>
      <c r="H11" s="18"/>
      <c r="I11" s="19" t="s">
        <v>1403</v>
      </c>
      <c r="J11" s="20"/>
      <c r="K11" s="20"/>
      <c r="L11" s="20"/>
      <c r="M11" s="20"/>
      <c r="N11" s="20"/>
      <c r="O11" s="20"/>
      <c r="P11" s="20"/>
      <c r="Q11" s="20"/>
      <c r="R11" s="17" t="s">
        <v>1590</v>
      </c>
      <c r="S11" s="18"/>
      <c r="T11" s="18"/>
      <c r="U11" s="18"/>
      <c r="V11" s="18"/>
      <c r="W11" s="18"/>
      <c r="X11" s="18"/>
      <c r="Y11" s="589" t="s">
        <v>1516</v>
      </c>
      <c r="Z11" s="636"/>
      <c r="AA11" s="591" t="s">
        <v>1517</v>
      </c>
      <c r="AB11" s="592"/>
      <c r="AC11" s="593"/>
      <c r="AD11" s="23">
        <v>5</v>
      </c>
      <c r="AE11" s="24" t="s">
        <v>1585</v>
      </c>
      <c r="AF11" s="24"/>
      <c r="AG11" s="24"/>
      <c r="AH11" s="24"/>
      <c r="AI11" s="24"/>
      <c r="AJ11" s="24"/>
      <c r="AK11" s="24"/>
      <c r="AL11" s="24"/>
      <c r="AM11" s="24"/>
      <c r="AN11" s="24"/>
      <c r="AO11" s="25"/>
      <c r="AP11" s="25"/>
      <c r="AQ11" s="25"/>
      <c r="AR11" s="25"/>
      <c r="AS11" s="35" t="s">
        <v>1266</v>
      </c>
      <c r="AT11" s="36"/>
      <c r="AU11" s="36"/>
      <c r="AV11" s="36"/>
      <c r="AW11" s="36"/>
      <c r="AX11" s="36"/>
      <c r="AY11" s="36"/>
      <c r="AZ11" s="36"/>
      <c r="BA11" s="36"/>
      <c r="BB11" s="36"/>
      <c r="BC11" s="36"/>
      <c r="BD11" s="50"/>
    </row>
    <row r="12" spans="1:57" ht="14.4" customHeight="1">
      <c r="A12" s="37">
        <f>IF(B12="","",COUNTA($B$8:B12))</f>
        <v>5</v>
      </c>
      <c r="B12" s="219" t="s">
        <v>1596</v>
      </c>
      <c r="C12" s="220"/>
      <c r="D12" s="220"/>
      <c r="E12" s="220"/>
      <c r="F12" s="220"/>
      <c r="G12" s="220"/>
      <c r="H12" s="220"/>
      <c r="I12" s="221" t="s">
        <v>1569</v>
      </c>
      <c r="J12" s="222"/>
      <c r="K12" s="222"/>
      <c r="L12" s="222"/>
      <c r="M12" s="222"/>
      <c r="N12" s="222"/>
      <c r="O12" s="222"/>
      <c r="P12" s="222"/>
      <c r="Q12" s="222"/>
      <c r="R12" s="219" t="s">
        <v>1596</v>
      </c>
      <c r="S12" s="220"/>
      <c r="T12" s="220"/>
      <c r="U12" s="220"/>
      <c r="V12" s="220"/>
      <c r="W12" s="220"/>
      <c r="X12" s="220"/>
      <c r="Y12" s="684" t="s">
        <v>141</v>
      </c>
      <c r="Z12" s="693"/>
      <c r="AA12" s="686" t="s">
        <v>1505</v>
      </c>
      <c r="AB12" s="687"/>
      <c r="AC12" s="688"/>
      <c r="AD12" s="272">
        <v>15</v>
      </c>
      <c r="AE12" s="227" t="s">
        <v>1585</v>
      </c>
      <c r="AF12" s="227"/>
      <c r="AG12" s="227"/>
      <c r="AH12" s="227"/>
      <c r="AI12" s="227"/>
      <c r="AJ12" s="227"/>
      <c r="AK12" s="227"/>
      <c r="AL12" s="227"/>
      <c r="AM12" s="227"/>
      <c r="AN12" s="227"/>
      <c r="AO12" s="58"/>
      <c r="AP12" s="58"/>
      <c r="AQ12" s="58"/>
      <c r="AR12" s="58"/>
      <c r="AS12" s="54" t="s">
        <v>1256</v>
      </c>
      <c r="AT12" s="59"/>
      <c r="AU12" s="59"/>
      <c r="AV12" s="59"/>
      <c r="AW12" s="59"/>
      <c r="AX12" s="59"/>
      <c r="AY12" s="59"/>
      <c r="AZ12" s="59"/>
      <c r="BA12" s="59"/>
      <c r="BB12" s="59"/>
      <c r="BC12" s="59"/>
      <c r="BD12" s="60"/>
      <c r="BE12" s="16" t="s">
        <v>1384</v>
      </c>
    </row>
    <row r="13" spans="1:57" ht="14.4" customHeight="1">
      <c r="A13" s="37">
        <f>IF(B13="","",COUNTA($B$8:B13))</f>
        <v>6</v>
      </c>
      <c r="B13" s="17" t="s">
        <v>1598</v>
      </c>
      <c r="C13" s="18"/>
      <c r="D13" s="18"/>
      <c r="E13" s="18"/>
      <c r="F13" s="18"/>
      <c r="G13" s="18"/>
      <c r="H13" s="18"/>
      <c r="I13" s="26" t="s">
        <v>1389</v>
      </c>
      <c r="J13" s="20"/>
      <c r="K13" s="20"/>
      <c r="L13" s="20"/>
      <c r="M13" s="20"/>
      <c r="N13" s="20"/>
      <c r="O13" s="20"/>
      <c r="P13" s="20"/>
      <c r="Q13" s="20"/>
      <c r="R13" s="17" t="s">
        <v>1598</v>
      </c>
      <c r="S13" s="18"/>
      <c r="T13" s="18"/>
      <c r="U13" s="18"/>
      <c r="V13" s="18"/>
      <c r="W13" s="18"/>
      <c r="X13" s="18"/>
      <c r="Y13" s="647" t="s">
        <v>141</v>
      </c>
      <c r="Z13" s="675"/>
      <c r="AA13" s="649" t="s">
        <v>1505</v>
      </c>
      <c r="AB13" s="650"/>
      <c r="AC13" s="651"/>
      <c r="AD13" s="118">
        <v>15</v>
      </c>
      <c r="AE13" s="24" t="s">
        <v>1585</v>
      </c>
      <c r="AF13" s="24"/>
      <c r="AG13" s="24"/>
      <c r="AH13" s="24"/>
      <c r="AI13" s="24"/>
      <c r="AJ13" s="24"/>
      <c r="AK13" s="24"/>
      <c r="AL13" s="24"/>
      <c r="AM13" s="24"/>
      <c r="AN13" s="24"/>
      <c r="AO13" s="25"/>
      <c r="AP13" s="25"/>
      <c r="AQ13" s="25"/>
      <c r="AR13" s="25"/>
      <c r="AS13" s="35" t="s">
        <v>1256</v>
      </c>
      <c r="AT13" s="36"/>
      <c r="AU13" s="36"/>
      <c r="AV13" s="36"/>
      <c r="AW13" s="36"/>
      <c r="AX13" s="36"/>
      <c r="AY13" s="36"/>
      <c r="AZ13" s="36"/>
      <c r="BA13" s="36"/>
      <c r="BB13" s="36"/>
      <c r="BC13" s="36"/>
      <c r="BD13" s="50"/>
    </row>
    <row r="14" spans="1:57" ht="14.4" customHeight="1">
      <c r="A14" s="37">
        <f>IF(B14="","",COUNTA($B$8:B14))</f>
        <v>7</v>
      </c>
      <c r="B14" s="17" t="s">
        <v>1597</v>
      </c>
      <c r="C14" s="18"/>
      <c r="D14" s="18"/>
      <c r="E14" s="18"/>
      <c r="F14" s="18"/>
      <c r="G14" s="18"/>
      <c r="H14" s="18"/>
      <c r="I14" s="26" t="s">
        <v>1405</v>
      </c>
      <c r="J14" s="20"/>
      <c r="K14" s="20"/>
      <c r="L14" s="20"/>
      <c r="M14" s="20"/>
      <c r="N14" s="20"/>
      <c r="O14" s="20"/>
      <c r="P14" s="20"/>
      <c r="Q14" s="20"/>
      <c r="R14" s="17" t="s">
        <v>1597</v>
      </c>
      <c r="S14" s="18"/>
      <c r="T14" s="18"/>
      <c r="U14" s="18"/>
      <c r="V14" s="18"/>
      <c r="W14" s="18"/>
      <c r="X14" s="18"/>
      <c r="Y14" s="589" t="s">
        <v>1510</v>
      </c>
      <c r="Z14" s="636"/>
      <c r="AA14" s="591" t="s">
        <v>1511</v>
      </c>
      <c r="AB14" s="592"/>
      <c r="AC14" s="593"/>
      <c r="AD14" s="23"/>
      <c r="AE14" s="24" t="s">
        <v>1585</v>
      </c>
      <c r="AF14" s="24"/>
      <c r="AG14" s="24"/>
      <c r="AH14" s="24"/>
      <c r="AI14" s="24"/>
      <c r="AJ14" s="24"/>
      <c r="AK14" s="24"/>
      <c r="AL14" s="24"/>
      <c r="AM14" s="24"/>
      <c r="AN14" s="24"/>
      <c r="AO14" s="25"/>
      <c r="AP14" s="25"/>
      <c r="AQ14" s="25"/>
      <c r="AR14" s="25"/>
      <c r="AS14" s="35" t="s">
        <v>1256</v>
      </c>
      <c r="AT14" s="36"/>
      <c r="AU14" s="36"/>
      <c r="AV14" s="36"/>
      <c r="AW14" s="36"/>
      <c r="AX14" s="36"/>
      <c r="AY14" s="36"/>
      <c r="AZ14" s="36"/>
      <c r="BA14" s="36"/>
      <c r="BB14" s="36"/>
      <c r="BC14" s="36"/>
      <c r="BD14" s="50"/>
    </row>
    <row r="15" spans="1:57" ht="14.4" customHeight="1">
      <c r="A15" s="37">
        <f>IF(B15="","",COUNTA($B$8:B15))</f>
        <v>8</v>
      </c>
      <c r="B15" s="200" t="s">
        <v>1594</v>
      </c>
      <c r="C15" s="268"/>
      <c r="D15" s="268"/>
      <c r="E15" s="268"/>
      <c r="F15" s="268"/>
      <c r="G15" s="268"/>
      <c r="H15" s="268"/>
      <c r="I15" s="269"/>
      <c r="J15" s="270"/>
      <c r="K15" s="270"/>
      <c r="L15" s="270"/>
      <c r="M15" s="270"/>
      <c r="N15" s="270"/>
      <c r="O15" s="270"/>
      <c r="P15" s="270"/>
      <c r="Q15" s="270"/>
      <c r="R15" s="200" t="s">
        <v>1594</v>
      </c>
      <c r="S15" s="268"/>
      <c r="T15" s="268"/>
      <c r="U15" s="268"/>
      <c r="V15" s="268"/>
      <c r="W15" s="268"/>
      <c r="X15" s="268"/>
      <c r="Y15" s="637" t="s">
        <v>1510</v>
      </c>
      <c r="Z15" s="679"/>
      <c r="AA15" s="639" t="s">
        <v>1511</v>
      </c>
      <c r="AB15" s="640"/>
      <c r="AC15" s="641"/>
      <c r="AD15" s="271"/>
      <c r="AE15" s="247" t="s">
        <v>1585</v>
      </c>
      <c r="AF15" s="247"/>
      <c r="AG15" s="247"/>
      <c r="AH15" s="247"/>
      <c r="AI15" s="247"/>
      <c r="AJ15" s="247"/>
      <c r="AK15" s="247"/>
      <c r="AL15" s="247"/>
      <c r="AM15" s="247"/>
      <c r="AN15" s="247"/>
      <c r="AO15" s="197"/>
      <c r="AP15" s="197"/>
      <c r="AQ15" s="197"/>
      <c r="AR15" s="197"/>
      <c r="AS15" s="193" t="s">
        <v>1256</v>
      </c>
      <c r="AT15" s="198"/>
      <c r="AU15" s="198"/>
      <c r="AV15" s="198"/>
      <c r="AW15" s="198"/>
      <c r="AX15" s="198"/>
      <c r="AY15" s="198"/>
      <c r="AZ15" s="198"/>
      <c r="BA15" s="198"/>
      <c r="BB15" s="198"/>
      <c r="BC15" s="198"/>
      <c r="BD15" s="199"/>
      <c r="BE15" s="16" t="s">
        <v>1385</v>
      </c>
    </row>
    <row r="16" spans="1:57" ht="14.4" customHeight="1">
      <c r="A16" s="37">
        <f>IF(B16="","",COUNTA($B$8:B16))</f>
        <v>9</v>
      </c>
      <c r="B16" s="17" t="s">
        <v>1593</v>
      </c>
      <c r="C16" s="18"/>
      <c r="D16" s="18"/>
      <c r="E16" s="18"/>
      <c r="F16" s="18"/>
      <c r="G16" s="18"/>
      <c r="H16" s="18"/>
      <c r="I16" s="26" t="s">
        <v>1406</v>
      </c>
      <c r="J16" s="20"/>
      <c r="K16" s="20"/>
      <c r="L16" s="20"/>
      <c r="M16" s="20"/>
      <c r="N16" s="20"/>
      <c r="O16" s="20"/>
      <c r="P16" s="20"/>
      <c r="Q16" s="20"/>
      <c r="R16" s="17" t="s">
        <v>1593</v>
      </c>
      <c r="S16" s="18"/>
      <c r="T16" s="18"/>
      <c r="U16" s="18"/>
      <c r="V16" s="18"/>
      <c r="W16" s="18"/>
      <c r="X16" s="18"/>
      <c r="Y16" s="589" t="s">
        <v>141</v>
      </c>
      <c r="Z16" s="636"/>
      <c r="AA16" s="591" t="s">
        <v>1505</v>
      </c>
      <c r="AB16" s="592"/>
      <c r="AC16" s="593"/>
      <c r="AD16" s="23">
        <v>2</v>
      </c>
      <c r="AE16" s="24" t="s">
        <v>1585</v>
      </c>
      <c r="AF16" s="24"/>
      <c r="AG16" s="24"/>
      <c r="AH16" s="24"/>
      <c r="AI16" s="24"/>
      <c r="AJ16" s="24"/>
      <c r="AK16" s="24"/>
      <c r="AL16" s="24"/>
      <c r="AM16" s="24"/>
      <c r="AN16" s="24"/>
      <c r="AO16" s="25"/>
      <c r="AP16" s="25"/>
      <c r="AQ16" s="25"/>
      <c r="AR16" s="25"/>
      <c r="AS16" s="35" t="s">
        <v>1256</v>
      </c>
      <c r="AT16" s="36"/>
      <c r="AU16" s="36"/>
      <c r="AV16" s="36"/>
      <c r="AW16" s="36"/>
      <c r="AX16" s="36"/>
      <c r="AY16" s="36"/>
      <c r="AZ16" s="36"/>
      <c r="BA16" s="36"/>
      <c r="BB16" s="36"/>
      <c r="BC16" s="36"/>
      <c r="BD16" s="50"/>
    </row>
    <row r="17" spans="1:57" ht="14.4" customHeight="1">
      <c r="A17" s="37">
        <f>IF(B17="","",COUNTA($B$8:B17))</f>
        <v>10</v>
      </c>
      <c r="B17" s="17" t="s">
        <v>1599</v>
      </c>
      <c r="C17" s="18"/>
      <c r="D17" s="18"/>
      <c r="E17" s="18"/>
      <c r="F17" s="18"/>
      <c r="G17" s="18"/>
      <c r="H17" s="18"/>
      <c r="I17" s="26" t="s">
        <v>1407</v>
      </c>
      <c r="J17" s="20"/>
      <c r="K17" s="20"/>
      <c r="L17" s="20"/>
      <c r="M17" s="20"/>
      <c r="N17" s="20"/>
      <c r="O17" s="20"/>
      <c r="P17" s="20"/>
      <c r="Q17" s="20"/>
      <c r="R17" s="17" t="s">
        <v>1599</v>
      </c>
      <c r="S17" s="18"/>
      <c r="T17" s="18"/>
      <c r="U17" s="18"/>
      <c r="V17" s="18"/>
      <c r="W17" s="18"/>
      <c r="X17" s="18"/>
      <c r="Y17" s="589" t="s">
        <v>141</v>
      </c>
      <c r="Z17" s="636"/>
      <c r="AA17" s="591" t="s">
        <v>1505</v>
      </c>
      <c r="AB17" s="592"/>
      <c r="AC17" s="593"/>
      <c r="AD17" s="23">
        <v>4</v>
      </c>
      <c r="AE17" s="24" t="s">
        <v>1585</v>
      </c>
      <c r="AF17" s="24"/>
      <c r="AG17" s="24"/>
      <c r="AH17" s="24"/>
      <c r="AI17" s="24"/>
      <c r="AJ17" s="24"/>
      <c r="AK17" s="24"/>
      <c r="AL17" s="24"/>
      <c r="AM17" s="24"/>
      <c r="AN17" s="24"/>
      <c r="AO17" s="25"/>
      <c r="AP17" s="25"/>
      <c r="AQ17" s="25"/>
      <c r="AR17" s="25"/>
      <c r="AS17" s="35" t="s">
        <v>1256</v>
      </c>
      <c r="AT17" s="36"/>
      <c r="AU17" s="36"/>
      <c r="AV17" s="36"/>
      <c r="AW17" s="36"/>
      <c r="AX17" s="36"/>
      <c r="AY17" s="36"/>
      <c r="AZ17" s="36"/>
      <c r="BA17" s="36"/>
      <c r="BB17" s="36"/>
      <c r="BC17" s="36"/>
      <c r="BD17" s="50"/>
    </row>
    <row r="18" spans="1:57" ht="14.4" customHeight="1">
      <c r="A18" s="37">
        <f>IF(B18="","",COUNTA($B$8:B18))</f>
        <v>11</v>
      </c>
      <c r="B18" s="17" t="s">
        <v>1595</v>
      </c>
      <c r="C18" s="18"/>
      <c r="D18" s="18"/>
      <c r="E18" s="18"/>
      <c r="F18" s="18"/>
      <c r="G18" s="18"/>
      <c r="H18" s="18"/>
      <c r="I18" s="26" t="s">
        <v>725</v>
      </c>
      <c r="J18" s="20"/>
      <c r="K18" s="20"/>
      <c r="L18" s="20"/>
      <c r="M18" s="20"/>
      <c r="N18" s="20"/>
      <c r="O18" s="20"/>
      <c r="P18" s="20"/>
      <c r="Q18" s="20"/>
      <c r="R18" s="17" t="s">
        <v>1595</v>
      </c>
      <c r="S18" s="18"/>
      <c r="T18" s="18"/>
      <c r="U18" s="18"/>
      <c r="V18" s="18"/>
      <c r="W18" s="18"/>
      <c r="X18" s="18"/>
      <c r="Y18" s="647" t="s">
        <v>141</v>
      </c>
      <c r="Z18" s="675"/>
      <c r="AA18" s="649" t="s">
        <v>1505</v>
      </c>
      <c r="AB18" s="650"/>
      <c r="AC18" s="651"/>
      <c r="AD18" s="118">
        <v>2</v>
      </c>
      <c r="AE18" s="95"/>
      <c r="AF18" s="24"/>
      <c r="AG18" s="24"/>
      <c r="AH18" s="24"/>
      <c r="AI18" s="24"/>
      <c r="AJ18" s="24"/>
      <c r="AK18" s="24"/>
      <c r="AL18" s="24"/>
      <c r="AM18" s="24"/>
      <c r="AN18" s="24"/>
      <c r="AO18" s="25"/>
      <c r="AP18" s="25"/>
      <c r="AQ18" s="25"/>
      <c r="AR18" s="25"/>
      <c r="AS18" s="35" t="s">
        <v>1256</v>
      </c>
      <c r="AT18" s="36"/>
      <c r="AU18" s="36"/>
      <c r="AV18" s="36"/>
      <c r="AW18" s="36"/>
      <c r="AX18" s="36"/>
      <c r="AY18" s="36"/>
      <c r="AZ18" s="36"/>
      <c r="BA18" s="36"/>
      <c r="BB18" s="36"/>
      <c r="BC18" s="36"/>
      <c r="BD18" s="50"/>
    </row>
    <row r="19" spans="1:57" ht="14.4" customHeight="1">
      <c r="A19" s="37">
        <f>IF(B19="","",COUNTA($B$8:B19))</f>
        <v>12</v>
      </c>
      <c r="B19" s="17" t="s">
        <v>1592</v>
      </c>
      <c r="C19" s="18"/>
      <c r="D19" s="18"/>
      <c r="E19" s="18"/>
      <c r="F19" s="18"/>
      <c r="G19" s="18"/>
      <c r="H19" s="18"/>
      <c r="I19" s="19" t="s">
        <v>1567</v>
      </c>
      <c r="J19" s="20"/>
      <c r="K19" s="20"/>
      <c r="L19" s="20"/>
      <c r="M19" s="20"/>
      <c r="N19" s="20"/>
      <c r="O19" s="20"/>
      <c r="P19" s="20"/>
      <c r="Q19" s="20"/>
      <c r="R19" s="17" t="s">
        <v>1592</v>
      </c>
      <c r="S19" s="18"/>
      <c r="T19" s="18"/>
      <c r="U19" s="18"/>
      <c r="V19" s="18"/>
      <c r="W19" s="18"/>
      <c r="X19" s="18"/>
      <c r="Y19" s="647" t="s">
        <v>141</v>
      </c>
      <c r="Z19" s="675"/>
      <c r="AA19" s="649" t="s">
        <v>1505</v>
      </c>
      <c r="AB19" s="650"/>
      <c r="AC19" s="651"/>
      <c r="AD19" s="118">
        <v>2</v>
      </c>
      <c r="AE19" s="24" t="s">
        <v>1585</v>
      </c>
      <c r="AF19" s="24"/>
      <c r="AG19" s="24"/>
      <c r="AH19" s="24"/>
      <c r="AI19" s="24"/>
      <c r="AJ19" s="24"/>
      <c r="AK19" s="24"/>
      <c r="AL19" s="24"/>
      <c r="AM19" s="24"/>
      <c r="AN19" s="24"/>
      <c r="AO19" s="25"/>
      <c r="AP19" s="25"/>
      <c r="AQ19" s="25"/>
      <c r="AR19" s="25"/>
      <c r="AS19" s="35" t="s">
        <v>1256</v>
      </c>
      <c r="AT19" s="36"/>
      <c r="AU19" s="36"/>
      <c r="AV19" s="36"/>
      <c r="AW19" s="36"/>
      <c r="AX19" s="36"/>
      <c r="AY19" s="36"/>
      <c r="AZ19" s="36"/>
      <c r="BA19" s="36"/>
      <c r="BB19" s="36"/>
      <c r="BC19" s="36"/>
      <c r="BD19" s="50"/>
    </row>
    <row r="20" spans="1:57" ht="14.4" customHeight="1">
      <c r="A20" s="37">
        <f>IF(B20="","",COUNTA($B$8:B20))</f>
        <v>13</v>
      </c>
      <c r="B20" s="200" t="s">
        <v>1600</v>
      </c>
      <c r="C20" s="268"/>
      <c r="D20" s="268"/>
      <c r="E20" s="268"/>
      <c r="F20" s="268"/>
      <c r="G20" s="268"/>
      <c r="H20" s="268"/>
      <c r="I20" s="269"/>
      <c r="J20" s="270"/>
      <c r="K20" s="270"/>
      <c r="L20" s="270"/>
      <c r="M20" s="270"/>
      <c r="N20" s="270"/>
      <c r="O20" s="270"/>
      <c r="P20" s="270"/>
      <c r="Q20" s="270"/>
      <c r="R20" s="200" t="s">
        <v>1600</v>
      </c>
      <c r="S20" s="268"/>
      <c r="T20" s="268"/>
      <c r="U20" s="268"/>
      <c r="V20" s="268"/>
      <c r="W20" s="268"/>
      <c r="X20" s="268"/>
      <c r="Y20" s="694" t="s">
        <v>141</v>
      </c>
      <c r="Z20" s="695"/>
      <c r="AA20" s="696" t="s">
        <v>1505</v>
      </c>
      <c r="AB20" s="697"/>
      <c r="AC20" s="698"/>
      <c r="AD20" s="273">
        <v>2</v>
      </c>
      <c r="AE20" s="274"/>
      <c r="AF20" s="247"/>
      <c r="AG20" s="247"/>
      <c r="AH20" s="247"/>
      <c r="AI20" s="247"/>
      <c r="AJ20" s="247"/>
      <c r="AK20" s="247"/>
      <c r="AL20" s="247"/>
      <c r="AM20" s="247"/>
      <c r="AN20" s="247"/>
      <c r="AO20" s="197"/>
      <c r="AP20" s="197"/>
      <c r="AQ20" s="197"/>
      <c r="AR20" s="197"/>
      <c r="AS20" s="193" t="s">
        <v>1256</v>
      </c>
      <c r="AT20" s="198"/>
      <c r="AU20" s="198"/>
      <c r="AV20" s="198"/>
      <c r="AW20" s="198"/>
      <c r="AX20" s="198"/>
      <c r="AY20" s="198"/>
      <c r="AZ20" s="198"/>
      <c r="BA20" s="198"/>
      <c r="BB20" s="198"/>
      <c r="BC20" s="198"/>
      <c r="BD20" s="199"/>
      <c r="BE20" s="16" t="s">
        <v>1385</v>
      </c>
    </row>
    <row r="21" spans="1:57" ht="14.4" customHeight="1">
      <c r="A21" s="37">
        <f>IF(B21="","",COUNTA($B$8:B21))</f>
        <v>14</v>
      </c>
      <c r="B21" s="17" t="s">
        <v>1591</v>
      </c>
      <c r="C21" s="18"/>
      <c r="D21" s="18"/>
      <c r="E21" s="18"/>
      <c r="F21" s="18"/>
      <c r="G21" s="18"/>
      <c r="H21" s="18"/>
      <c r="I21" s="49" t="s">
        <v>1408</v>
      </c>
      <c r="J21" s="20"/>
      <c r="K21" s="20"/>
      <c r="L21" s="20"/>
      <c r="M21" s="20"/>
      <c r="N21" s="20"/>
      <c r="O21" s="20"/>
      <c r="P21" s="20"/>
      <c r="Q21" s="20"/>
      <c r="R21" s="17" t="s">
        <v>1591</v>
      </c>
      <c r="S21" s="18"/>
      <c r="T21" s="18"/>
      <c r="U21" s="18"/>
      <c r="V21" s="18"/>
      <c r="W21" s="18"/>
      <c r="X21" s="18"/>
      <c r="Y21" s="589" t="s">
        <v>1516</v>
      </c>
      <c r="Z21" s="636"/>
      <c r="AA21" s="591" t="s">
        <v>1517</v>
      </c>
      <c r="AB21" s="592"/>
      <c r="AC21" s="593"/>
      <c r="AD21" s="23">
        <v>3</v>
      </c>
      <c r="AE21" s="24" t="s">
        <v>1585</v>
      </c>
      <c r="AF21" s="24"/>
      <c r="AG21" s="24"/>
      <c r="AH21" s="24"/>
      <c r="AI21" s="24"/>
      <c r="AJ21" s="24"/>
      <c r="AK21" s="24"/>
      <c r="AL21" s="24"/>
      <c r="AM21" s="24"/>
      <c r="AN21" s="24"/>
      <c r="AO21" s="25"/>
      <c r="AP21" s="25"/>
      <c r="AQ21" s="25"/>
      <c r="AR21" s="25"/>
      <c r="AS21" s="35" t="s">
        <v>1256</v>
      </c>
      <c r="AT21" s="36"/>
      <c r="AU21" s="36"/>
      <c r="AV21" s="36"/>
      <c r="AW21" s="36"/>
      <c r="AX21" s="36"/>
      <c r="AY21" s="36"/>
      <c r="AZ21" s="36"/>
      <c r="BA21" s="36"/>
      <c r="BB21" s="36"/>
      <c r="BC21" s="36"/>
      <c r="BD21" s="50"/>
    </row>
    <row r="22" spans="1:57" ht="14.4" customHeight="1">
      <c r="A22" s="37">
        <f>IF(B22="","",COUNTA($B$8:B22))</f>
        <v>15</v>
      </c>
      <c r="B22" s="17" t="s">
        <v>1601</v>
      </c>
      <c r="C22" s="18"/>
      <c r="D22" s="18"/>
      <c r="E22" s="18"/>
      <c r="F22" s="18"/>
      <c r="G22" s="18"/>
      <c r="H22" s="18"/>
      <c r="I22" s="49" t="s">
        <v>1409</v>
      </c>
      <c r="J22" s="20"/>
      <c r="K22" s="20"/>
      <c r="L22" s="20"/>
      <c r="M22" s="20"/>
      <c r="N22" s="20"/>
      <c r="O22" s="20"/>
      <c r="P22" s="20"/>
      <c r="Q22" s="20"/>
      <c r="R22" s="17" t="s">
        <v>1601</v>
      </c>
      <c r="S22" s="18"/>
      <c r="T22" s="18"/>
      <c r="U22" s="18"/>
      <c r="V22" s="18"/>
      <c r="W22" s="18"/>
      <c r="X22" s="18"/>
      <c r="Y22" s="589" t="s">
        <v>1516</v>
      </c>
      <c r="Z22" s="636"/>
      <c r="AA22" s="591" t="s">
        <v>1517</v>
      </c>
      <c r="AB22" s="592"/>
      <c r="AC22" s="593"/>
      <c r="AD22" s="23">
        <v>3</v>
      </c>
      <c r="AE22" s="24" t="s">
        <v>1585</v>
      </c>
      <c r="AF22" s="24"/>
      <c r="AG22" s="24"/>
      <c r="AH22" s="24"/>
      <c r="AI22" s="24"/>
      <c r="AJ22" s="24"/>
      <c r="AK22" s="24"/>
      <c r="AL22" s="24"/>
      <c r="AM22" s="24"/>
      <c r="AN22" s="24"/>
      <c r="AO22" s="25"/>
      <c r="AP22" s="25"/>
      <c r="AQ22" s="25"/>
      <c r="AR22" s="25"/>
      <c r="AS22" s="35" t="s">
        <v>1256</v>
      </c>
      <c r="AT22" s="36"/>
      <c r="AU22" s="36"/>
      <c r="AV22" s="36"/>
      <c r="AW22" s="36"/>
      <c r="AX22" s="36"/>
      <c r="AY22" s="36"/>
      <c r="AZ22" s="36"/>
      <c r="BA22" s="36"/>
      <c r="BB22" s="36"/>
      <c r="BC22" s="36"/>
      <c r="BD22" s="50"/>
    </row>
    <row r="23" spans="1:57" ht="15" customHeight="1">
      <c r="A23" s="37">
        <f>IF(B23="","",COUNTA($B$8:B23))</f>
        <v>16</v>
      </c>
      <c r="B23" s="219" t="s">
        <v>1766</v>
      </c>
      <c r="C23" s="220"/>
      <c r="D23" s="220"/>
      <c r="E23" s="220"/>
      <c r="F23" s="220"/>
      <c r="G23" s="220"/>
      <c r="H23" s="318"/>
      <c r="I23" s="317" t="s">
        <v>1774</v>
      </c>
      <c r="J23" s="222"/>
      <c r="K23" s="222"/>
      <c r="L23" s="222"/>
      <c r="M23" s="222"/>
      <c r="N23" s="222"/>
      <c r="O23" s="222"/>
      <c r="P23" s="222"/>
      <c r="Q23" s="319"/>
      <c r="R23" s="219" t="s">
        <v>1767</v>
      </c>
      <c r="S23" s="222"/>
      <c r="T23" s="222"/>
      <c r="U23" s="222"/>
      <c r="V23" s="222"/>
      <c r="W23" s="220"/>
      <c r="X23" s="318"/>
      <c r="Y23" s="677" t="s">
        <v>111</v>
      </c>
      <c r="Z23" s="678"/>
      <c r="AA23" s="652" t="s">
        <v>106</v>
      </c>
      <c r="AB23" s="653"/>
      <c r="AC23" s="654"/>
      <c r="AD23" s="320">
        <v>1</v>
      </c>
      <c r="AE23" s="227"/>
      <c r="AF23" s="58"/>
      <c r="AG23" s="227"/>
      <c r="AH23" s="227"/>
      <c r="AI23" s="227"/>
      <c r="AJ23" s="227"/>
      <c r="AK23" s="227"/>
      <c r="AL23" s="227"/>
      <c r="AM23" s="227"/>
      <c r="AN23" s="227"/>
      <c r="AO23" s="58"/>
      <c r="AP23" s="58"/>
      <c r="AQ23" s="58"/>
      <c r="AR23" s="58"/>
      <c r="AS23" s="321" t="s">
        <v>1768</v>
      </c>
      <c r="AT23" s="59"/>
      <c r="AU23" s="59"/>
      <c r="AV23" s="59"/>
      <c r="AW23" s="59"/>
      <c r="AX23" s="59"/>
      <c r="AY23" s="59"/>
      <c r="AZ23" s="59"/>
      <c r="BA23" s="59"/>
      <c r="BB23" s="59"/>
      <c r="BC23" s="59"/>
      <c r="BD23" s="60"/>
      <c r="BE23" s="16" t="s">
        <v>1765</v>
      </c>
    </row>
    <row r="24" spans="1:57" ht="15" customHeight="1">
      <c r="A24" s="37">
        <f>IF(B24="","",COUNTA($B$8:B24))</f>
        <v>17</v>
      </c>
      <c r="B24" s="54" t="s">
        <v>1769</v>
      </c>
      <c r="C24" s="55"/>
      <c r="D24" s="55"/>
      <c r="E24" s="55"/>
      <c r="F24" s="55"/>
      <c r="G24" s="55"/>
      <c r="H24" s="322"/>
      <c r="I24" s="317" t="s">
        <v>1775</v>
      </c>
      <c r="J24" s="222"/>
      <c r="K24" s="56"/>
      <c r="L24" s="56"/>
      <c r="M24" s="56"/>
      <c r="N24" s="56"/>
      <c r="O24" s="56"/>
      <c r="P24" s="56"/>
      <c r="Q24" s="323"/>
      <c r="R24" s="54" t="s">
        <v>1770</v>
      </c>
      <c r="S24" s="56"/>
      <c r="T24" s="56"/>
      <c r="U24" s="56"/>
      <c r="V24" s="56"/>
      <c r="W24" s="56"/>
      <c r="X24" s="56"/>
      <c r="Y24" s="677" t="s">
        <v>107</v>
      </c>
      <c r="Z24" s="689"/>
      <c r="AA24" s="652" t="s">
        <v>109</v>
      </c>
      <c r="AB24" s="653"/>
      <c r="AC24" s="654"/>
      <c r="AD24" s="320">
        <v>5</v>
      </c>
      <c r="AE24" s="58"/>
      <c r="AF24" s="324"/>
      <c r="AG24" s="227"/>
      <c r="AH24" s="58"/>
      <c r="AI24" s="227"/>
      <c r="AJ24" s="227"/>
      <c r="AK24" s="227"/>
      <c r="AL24" s="227"/>
      <c r="AM24" s="227"/>
      <c r="AN24" s="227"/>
      <c r="AO24" s="58"/>
      <c r="AP24" s="58"/>
      <c r="AQ24" s="58"/>
      <c r="AR24" s="58"/>
      <c r="AS24" s="321" t="s">
        <v>1771</v>
      </c>
      <c r="AT24" s="59"/>
      <c r="AU24" s="59"/>
      <c r="AV24" s="59"/>
      <c r="AW24" s="59"/>
      <c r="AX24" s="59"/>
      <c r="AY24" s="59"/>
      <c r="AZ24" s="59"/>
      <c r="BA24" s="59"/>
      <c r="BB24" s="59"/>
      <c r="BC24" s="59"/>
      <c r="BD24" s="60"/>
      <c r="BE24" s="16" t="s">
        <v>1765</v>
      </c>
    </row>
    <row r="25" spans="1:57" ht="15" customHeight="1">
      <c r="A25" s="37">
        <f>IF(B25="","",COUNTA($B$8:B25))</f>
        <v>18</v>
      </c>
      <c r="B25" s="219" t="s">
        <v>1778</v>
      </c>
      <c r="C25" s="220"/>
      <c r="D25" s="220"/>
      <c r="E25" s="220"/>
      <c r="F25" s="220"/>
      <c r="G25" s="220"/>
      <c r="H25" s="318"/>
      <c r="I25" s="317" t="s">
        <v>1776</v>
      </c>
      <c r="J25" s="222"/>
      <c r="K25" s="222"/>
      <c r="L25" s="222"/>
      <c r="M25" s="222"/>
      <c r="N25" s="222"/>
      <c r="O25" s="222"/>
      <c r="P25" s="222"/>
      <c r="Q25" s="319"/>
      <c r="R25" s="219" t="s">
        <v>1772</v>
      </c>
      <c r="S25" s="222"/>
      <c r="T25" s="222"/>
      <c r="U25" s="222"/>
      <c r="V25" s="222"/>
      <c r="W25" s="220"/>
      <c r="X25" s="318"/>
      <c r="Y25" s="677" t="s">
        <v>111</v>
      </c>
      <c r="Z25" s="678"/>
      <c r="AA25" s="652" t="s">
        <v>106</v>
      </c>
      <c r="AB25" s="653"/>
      <c r="AC25" s="654"/>
      <c r="AD25" s="320">
        <v>10</v>
      </c>
      <c r="AE25" s="227"/>
      <c r="AF25" s="227"/>
      <c r="AG25" s="227"/>
      <c r="AH25" s="227"/>
      <c r="AI25" s="227"/>
      <c r="AJ25" s="227"/>
      <c r="AK25" s="227"/>
      <c r="AL25" s="227"/>
      <c r="AM25" s="227"/>
      <c r="AN25" s="227"/>
      <c r="AO25" s="58"/>
      <c r="AP25" s="58"/>
      <c r="AQ25" s="58"/>
      <c r="AR25" s="58"/>
      <c r="AS25" s="321"/>
      <c r="AT25" s="59"/>
      <c r="AU25" s="59"/>
      <c r="AV25" s="59"/>
      <c r="AW25" s="59"/>
      <c r="AX25" s="59"/>
      <c r="AY25" s="59"/>
      <c r="AZ25" s="59"/>
      <c r="BA25" s="59"/>
      <c r="BB25" s="59"/>
      <c r="BC25" s="59"/>
      <c r="BD25" s="60"/>
      <c r="BE25" s="16" t="s">
        <v>1765</v>
      </c>
    </row>
    <row r="26" spans="1:57" ht="15" customHeight="1">
      <c r="A26" s="37">
        <f>IF(B26="","",COUNTA($B$8:B26))</f>
        <v>19</v>
      </c>
      <c r="B26" s="219" t="s">
        <v>1773</v>
      </c>
      <c r="C26" s="220"/>
      <c r="D26" s="220"/>
      <c r="E26" s="220"/>
      <c r="F26" s="220"/>
      <c r="G26" s="220"/>
      <c r="H26" s="318"/>
      <c r="I26" s="317" t="s">
        <v>1777</v>
      </c>
      <c r="J26" s="222"/>
      <c r="K26" s="222"/>
      <c r="L26" s="222"/>
      <c r="M26" s="222"/>
      <c r="N26" s="222"/>
      <c r="O26" s="222"/>
      <c r="P26" s="222"/>
      <c r="Q26" s="319"/>
      <c r="R26" s="219" t="s">
        <v>1773</v>
      </c>
      <c r="S26" s="222"/>
      <c r="T26" s="222"/>
      <c r="U26" s="222"/>
      <c r="V26" s="222"/>
      <c r="W26" s="220"/>
      <c r="X26" s="318"/>
      <c r="Y26" s="677" t="s">
        <v>107</v>
      </c>
      <c r="Z26" s="678"/>
      <c r="AA26" s="652" t="s">
        <v>109</v>
      </c>
      <c r="AB26" s="653"/>
      <c r="AC26" s="654"/>
      <c r="AD26" s="320">
        <v>5</v>
      </c>
      <c r="AE26" s="227"/>
      <c r="AF26" s="227"/>
      <c r="AG26" s="227"/>
      <c r="AH26" s="227"/>
      <c r="AI26" s="227"/>
      <c r="AJ26" s="227"/>
      <c r="AK26" s="227"/>
      <c r="AL26" s="227"/>
      <c r="AM26" s="227"/>
      <c r="AN26" s="227"/>
      <c r="AO26" s="58"/>
      <c r="AP26" s="58"/>
      <c r="AQ26" s="58"/>
      <c r="AR26" s="58"/>
      <c r="AS26" s="321"/>
      <c r="AT26" s="59"/>
      <c r="AU26" s="59"/>
      <c r="AV26" s="59"/>
      <c r="AW26" s="59"/>
      <c r="AX26" s="59"/>
      <c r="AY26" s="59"/>
      <c r="AZ26" s="59"/>
      <c r="BA26" s="59"/>
      <c r="BB26" s="59"/>
      <c r="BC26" s="59"/>
      <c r="BD26" s="60"/>
      <c r="BE26" s="16" t="s">
        <v>1765</v>
      </c>
    </row>
    <row r="27" spans="1:57" ht="14.4" customHeight="1">
      <c r="A27" s="37">
        <f>IF(B27="","",COUNTA($B$8:B27))</f>
        <v>20</v>
      </c>
      <c r="B27" s="35" t="s">
        <v>1660</v>
      </c>
      <c r="C27" s="34"/>
      <c r="D27" s="34"/>
      <c r="E27" s="34"/>
      <c r="F27" s="34"/>
      <c r="G27" s="34"/>
      <c r="H27" s="34"/>
      <c r="I27" s="35" t="s">
        <v>1410</v>
      </c>
      <c r="J27" s="27"/>
      <c r="K27" s="27"/>
      <c r="L27" s="27"/>
      <c r="M27" s="27"/>
      <c r="N27" s="27"/>
      <c r="O27" s="27"/>
      <c r="P27" s="27"/>
      <c r="Q27" s="27"/>
      <c r="R27" s="35" t="s">
        <v>1660</v>
      </c>
      <c r="S27" s="34"/>
      <c r="T27" s="34"/>
      <c r="U27" s="34"/>
      <c r="V27" s="34"/>
      <c r="W27" s="34"/>
      <c r="X27" s="34"/>
      <c r="Y27" s="589" t="s">
        <v>1510</v>
      </c>
      <c r="Z27" s="636"/>
      <c r="AA27" s="591" t="s">
        <v>1511</v>
      </c>
      <c r="AB27" s="592"/>
      <c r="AC27" s="593"/>
      <c r="AD27" s="53"/>
      <c r="AE27" s="25"/>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7" ht="14.4" customHeight="1">
      <c r="A28" s="37">
        <f>IF(B28="","",COUNTA($B$8:B28))</f>
        <v>21</v>
      </c>
      <c r="B28" s="35" t="s">
        <v>1659</v>
      </c>
      <c r="C28" s="34"/>
      <c r="D28" s="34"/>
      <c r="E28" s="34"/>
      <c r="F28" s="34"/>
      <c r="G28" s="34"/>
      <c r="H28" s="34"/>
      <c r="I28" s="35" t="s">
        <v>1411</v>
      </c>
      <c r="J28" s="27"/>
      <c r="K28" s="27"/>
      <c r="L28" s="27"/>
      <c r="M28" s="27"/>
      <c r="N28" s="27"/>
      <c r="O28" s="27"/>
      <c r="P28" s="27"/>
      <c r="Q28" s="27"/>
      <c r="R28" s="35" t="s">
        <v>1659</v>
      </c>
      <c r="S28" s="34"/>
      <c r="T28" s="34"/>
      <c r="U28" s="34"/>
      <c r="V28" s="34"/>
      <c r="W28" s="34"/>
      <c r="X28" s="34"/>
      <c r="Y28" s="589" t="s">
        <v>1504</v>
      </c>
      <c r="Z28" s="590"/>
      <c r="AA28" s="591" t="s">
        <v>1505</v>
      </c>
      <c r="AB28" s="592"/>
      <c r="AC28" s="593"/>
      <c r="AD28" s="53">
        <v>3</v>
      </c>
      <c r="AE28" s="25"/>
      <c r="AF28" s="25"/>
      <c r="AG28" s="25"/>
      <c r="AH28" s="25"/>
      <c r="AI28" s="25"/>
      <c r="AJ28" s="25"/>
      <c r="AK28" s="25"/>
      <c r="AL28" s="25"/>
      <c r="AM28" s="25"/>
      <c r="AN28" s="25"/>
      <c r="AO28" s="25"/>
      <c r="AP28" s="25"/>
      <c r="AQ28" s="25"/>
      <c r="AR28" s="25"/>
      <c r="AS28" s="35" t="s">
        <v>271</v>
      </c>
      <c r="AT28" s="36"/>
      <c r="AU28" s="36"/>
      <c r="AV28" s="36"/>
      <c r="AW28" s="36"/>
      <c r="AX28" s="36"/>
      <c r="AY28" s="36"/>
      <c r="AZ28" s="36"/>
      <c r="BA28" s="36"/>
      <c r="BB28" s="36"/>
      <c r="BC28" s="36"/>
      <c r="BD28" s="50"/>
    </row>
    <row r="29" spans="1:57" ht="14.4" customHeight="1">
      <c r="A29" s="37">
        <f>IF(B29="","",COUNTA($B$8:B29))</f>
        <v>22</v>
      </c>
      <c r="B29" s="87" t="s">
        <v>1621</v>
      </c>
      <c r="C29" s="181"/>
      <c r="D29" s="181"/>
      <c r="E29" s="181"/>
      <c r="F29" s="181"/>
      <c r="G29" s="181"/>
      <c r="H29" s="181"/>
      <c r="I29" s="87" t="s">
        <v>1427</v>
      </c>
      <c r="J29" s="182"/>
      <c r="K29" s="182"/>
      <c r="L29" s="182"/>
      <c r="M29" s="182"/>
      <c r="N29" s="182"/>
      <c r="O29" s="182"/>
      <c r="P29" s="182"/>
      <c r="Q29" s="182"/>
      <c r="R29" s="87" t="s">
        <v>1623</v>
      </c>
      <c r="S29" s="181"/>
      <c r="T29" s="181"/>
      <c r="U29" s="181"/>
      <c r="V29" s="181"/>
      <c r="W29" s="181"/>
      <c r="X29" s="181"/>
      <c r="Y29" s="647" t="s">
        <v>1504</v>
      </c>
      <c r="Z29" s="648"/>
      <c r="AA29" s="649" t="s">
        <v>1505</v>
      </c>
      <c r="AB29" s="650"/>
      <c r="AC29" s="651"/>
      <c r="AD29" s="94">
        <v>3</v>
      </c>
      <c r="AE29" s="95"/>
      <c r="AF29" s="95"/>
      <c r="AG29" s="95"/>
      <c r="AH29" s="95"/>
      <c r="AI29" s="95"/>
      <c r="AJ29" s="95"/>
      <c r="AK29" s="95"/>
      <c r="AL29" s="95"/>
      <c r="AM29" s="95"/>
      <c r="AN29" s="95"/>
      <c r="AO29" s="95"/>
      <c r="AP29" s="95"/>
      <c r="AQ29" s="95"/>
      <c r="AR29" s="95"/>
      <c r="AS29" s="87" t="s">
        <v>1279</v>
      </c>
      <c r="AT29" s="88"/>
      <c r="AU29" s="88"/>
      <c r="AV29" s="88"/>
      <c r="AW29" s="88"/>
      <c r="AX29" s="88"/>
      <c r="AY29" s="88"/>
      <c r="AZ29" s="88"/>
      <c r="BA29" s="88"/>
      <c r="BB29" s="88"/>
      <c r="BC29" s="88"/>
      <c r="BD29" s="89"/>
    </row>
    <row r="30" spans="1:57" ht="14.4" customHeight="1">
      <c r="A30" s="37">
        <f>IF(B30="","",COUNTA($B$8:B30))</f>
        <v>23</v>
      </c>
      <c r="B30" s="193" t="s">
        <v>1344</v>
      </c>
      <c r="C30" s="194"/>
      <c r="D30" s="194"/>
      <c r="E30" s="194"/>
      <c r="F30" s="194"/>
      <c r="G30" s="194"/>
      <c r="H30" s="194"/>
      <c r="I30" s="193" t="s">
        <v>1444</v>
      </c>
      <c r="J30" s="195"/>
      <c r="K30" s="195"/>
      <c r="L30" s="195"/>
      <c r="M30" s="195"/>
      <c r="N30" s="195"/>
      <c r="O30" s="195"/>
      <c r="P30" s="195"/>
      <c r="Q30" s="195"/>
      <c r="R30" s="193" t="s">
        <v>1344</v>
      </c>
      <c r="S30" s="194"/>
      <c r="T30" s="194"/>
      <c r="U30" s="194"/>
      <c r="V30" s="194"/>
      <c r="W30" s="194"/>
      <c r="X30" s="194"/>
      <c r="Y30" s="637" t="s">
        <v>1504</v>
      </c>
      <c r="Z30" s="679"/>
      <c r="AA30" s="639" t="s">
        <v>1505</v>
      </c>
      <c r="AB30" s="640"/>
      <c r="AC30" s="641"/>
      <c r="AD30" s="196">
        <v>4</v>
      </c>
      <c r="AE30" s="197"/>
      <c r="AF30" s="197"/>
      <c r="AG30" s="197"/>
      <c r="AH30" s="197"/>
      <c r="AI30" s="197"/>
      <c r="AJ30" s="197"/>
      <c r="AK30" s="197"/>
      <c r="AL30" s="197"/>
      <c r="AM30" s="197"/>
      <c r="AN30" s="197"/>
      <c r="AO30" s="197"/>
      <c r="AP30" s="197"/>
      <c r="AQ30" s="197"/>
      <c r="AR30" s="197"/>
      <c r="AS30" s="193" t="s">
        <v>1359</v>
      </c>
      <c r="AT30" s="198"/>
      <c r="AU30" s="198"/>
      <c r="AV30" s="198"/>
      <c r="AW30" s="198"/>
      <c r="AX30" s="198"/>
      <c r="AY30" s="198"/>
      <c r="AZ30" s="198"/>
      <c r="BA30" s="198"/>
      <c r="BB30" s="198"/>
      <c r="BC30" s="198"/>
      <c r="BD30" s="199"/>
      <c r="BE30" s="16" t="s">
        <v>1385</v>
      </c>
    </row>
    <row r="31" spans="1:57" ht="14.4" customHeight="1">
      <c r="A31" s="37">
        <f>IF(B31="","",COUNTA($B$8:B31))</f>
        <v>24</v>
      </c>
      <c r="B31" s="193" t="s">
        <v>1714</v>
      </c>
      <c r="C31" s="194"/>
      <c r="D31" s="194"/>
      <c r="E31" s="194"/>
      <c r="F31" s="194"/>
      <c r="G31" s="194"/>
      <c r="H31" s="194"/>
      <c r="I31" s="193"/>
      <c r="J31" s="195"/>
      <c r="K31" s="195"/>
      <c r="L31" s="195"/>
      <c r="M31" s="195"/>
      <c r="N31" s="195"/>
      <c r="O31" s="195"/>
      <c r="P31" s="195"/>
      <c r="Q31" s="195"/>
      <c r="R31" s="193" t="s">
        <v>1714</v>
      </c>
      <c r="S31" s="194"/>
      <c r="T31" s="194"/>
      <c r="U31" s="194"/>
      <c r="V31" s="194"/>
      <c r="W31" s="194"/>
      <c r="X31" s="194"/>
      <c r="Y31" s="637" t="s">
        <v>1504</v>
      </c>
      <c r="Z31" s="679"/>
      <c r="AA31" s="639" t="s">
        <v>1505</v>
      </c>
      <c r="AB31" s="640"/>
      <c r="AC31" s="641"/>
      <c r="AD31" s="196">
        <v>3</v>
      </c>
      <c r="AE31" s="197"/>
      <c r="AF31" s="197"/>
      <c r="AG31" s="197"/>
      <c r="AH31" s="197"/>
      <c r="AI31" s="197"/>
      <c r="AJ31" s="197"/>
      <c r="AK31" s="197"/>
      <c r="AL31" s="197"/>
      <c r="AM31" s="197"/>
      <c r="AN31" s="197"/>
      <c r="AO31" s="197"/>
      <c r="AP31" s="197"/>
      <c r="AQ31" s="197"/>
      <c r="AR31" s="197"/>
      <c r="AS31" s="193" t="s">
        <v>1359</v>
      </c>
      <c r="AT31" s="198"/>
      <c r="AU31" s="198"/>
      <c r="AV31" s="198"/>
      <c r="AW31" s="198"/>
      <c r="AX31" s="198"/>
      <c r="AY31" s="198"/>
      <c r="AZ31" s="198"/>
      <c r="BA31" s="198"/>
      <c r="BB31" s="198"/>
      <c r="BC31" s="198"/>
      <c r="BD31" s="199"/>
      <c r="BE31" s="16" t="s">
        <v>1385</v>
      </c>
    </row>
    <row r="32" spans="1:57" ht="14.4" customHeight="1">
      <c r="A32" s="37">
        <f>IF(B32="","",COUNTA($B$8:B32))</f>
        <v>25</v>
      </c>
      <c r="B32" s="193" t="s">
        <v>1529</v>
      </c>
      <c r="C32" s="194"/>
      <c r="D32" s="194"/>
      <c r="E32" s="194"/>
      <c r="F32" s="194"/>
      <c r="G32" s="194"/>
      <c r="H32" s="194"/>
      <c r="I32" s="193" t="s">
        <v>457</v>
      </c>
      <c r="J32" s="195"/>
      <c r="K32" s="195"/>
      <c r="L32" s="195"/>
      <c r="M32" s="195"/>
      <c r="N32" s="195"/>
      <c r="O32" s="195"/>
      <c r="P32" s="195"/>
      <c r="Q32" s="195"/>
      <c r="R32" s="193" t="s">
        <v>1529</v>
      </c>
      <c r="S32" s="194"/>
      <c r="T32" s="194"/>
      <c r="U32" s="194"/>
      <c r="V32" s="194"/>
      <c r="W32" s="194"/>
      <c r="X32" s="194"/>
      <c r="Y32" s="637" t="s">
        <v>1504</v>
      </c>
      <c r="Z32" s="638"/>
      <c r="AA32" s="639" t="s">
        <v>1505</v>
      </c>
      <c r="AB32" s="640"/>
      <c r="AC32" s="641"/>
      <c r="AD32" s="196">
        <v>5</v>
      </c>
      <c r="AE32" s="197"/>
      <c r="AF32" s="197"/>
      <c r="AG32" s="197"/>
      <c r="AH32" s="197"/>
      <c r="AI32" s="197"/>
      <c r="AJ32" s="197"/>
      <c r="AK32" s="197"/>
      <c r="AL32" s="197"/>
      <c r="AM32" s="197"/>
      <c r="AN32" s="197"/>
      <c r="AO32" s="197"/>
      <c r="AP32" s="197"/>
      <c r="AQ32" s="197"/>
      <c r="AR32" s="197"/>
      <c r="AS32" s="193" t="s">
        <v>1359</v>
      </c>
      <c r="AT32" s="198"/>
      <c r="AU32" s="198"/>
      <c r="AV32" s="198"/>
      <c r="AW32" s="198"/>
      <c r="AX32" s="198"/>
      <c r="AY32" s="198"/>
      <c r="AZ32" s="198"/>
      <c r="BA32" s="198"/>
      <c r="BB32" s="198"/>
      <c r="BC32" s="198"/>
      <c r="BD32" s="199"/>
      <c r="BE32" s="16" t="s">
        <v>1385</v>
      </c>
    </row>
    <row r="33" spans="1:57" ht="14.4" customHeight="1">
      <c r="A33" s="37">
        <f>IF(B33="","",COUNTA($B$8:B33))</f>
        <v>26</v>
      </c>
      <c r="B33" s="35" t="s">
        <v>1514</v>
      </c>
      <c r="C33" s="34"/>
      <c r="D33" s="34"/>
      <c r="E33" s="34"/>
      <c r="F33" s="34"/>
      <c r="G33" s="34"/>
      <c r="H33" s="34"/>
      <c r="I33" s="49" t="s">
        <v>1394</v>
      </c>
      <c r="J33" s="27"/>
      <c r="K33" s="27"/>
      <c r="L33" s="27"/>
      <c r="M33" s="27"/>
      <c r="N33" s="27"/>
      <c r="O33" s="27"/>
      <c r="P33" s="27"/>
      <c r="Q33" s="27"/>
      <c r="R33" s="35" t="s">
        <v>1514</v>
      </c>
      <c r="S33" s="34"/>
      <c r="T33" s="34"/>
      <c r="U33" s="34"/>
      <c r="V33" s="34"/>
      <c r="W33" s="34"/>
      <c r="X33" s="34"/>
      <c r="Y33" s="589" t="s">
        <v>1504</v>
      </c>
      <c r="Z33" s="590"/>
      <c r="AA33" s="591" t="s">
        <v>1505</v>
      </c>
      <c r="AB33" s="592"/>
      <c r="AC33" s="593"/>
      <c r="AD33" s="53">
        <v>20</v>
      </c>
      <c r="AE33" s="25"/>
      <c r="AF33" s="25"/>
      <c r="AG33" s="25"/>
      <c r="AH33" s="25"/>
      <c r="AI33" s="25"/>
      <c r="AJ33" s="25"/>
      <c r="AK33" s="25"/>
      <c r="AL33" s="25"/>
      <c r="AM33" s="25"/>
      <c r="AN33" s="25"/>
      <c r="AO33" s="25"/>
      <c r="AP33" s="25"/>
      <c r="AQ33" s="25"/>
      <c r="AR33" s="25"/>
      <c r="AS33" s="35" t="s">
        <v>1359</v>
      </c>
      <c r="AT33" s="36"/>
      <c r="AU33" s="36"/>
      <c r="AV33" s="36"/>
      <c r="AW33" s="36"/>
      <c r="AX33" s="36"/>
      <c r="AY33" s="36"/>
      <c r="AZ33" s="36"/>
      <c r="BA33" s="36"/>
      <c r="BB33" s="36"/>
      <c r="BC33" s="36"/>
      <c r="BD33" s="50"/>
    </row>
    <row r="34" spans="1:57" ht="14.4" customHeight="1">
      <c r="A34" s="37">
        <f>IF(B34="","",COUNTA($B$8:B34))</f>
        <v>27</v>
      </c>
      <c r="B34" s="193" t="s">
        <v>140</v>
      </c>
      <c r="C34" s="194"/>
      <c r="D34" s="194"/>
      <c r="E34" s="194"/>
      <c r="F34" s="194"/>
      <c r="G34" s="194"/>
      <c r="H34" s="194"/>
      <c r="I34" s="193" t="s">
        <v>657</v>
      </c>
      <c r="J34" s="195"/>
      <c r="K34" s="195"/>
      <c r="L34" s="195"/>
      <c r="M34" s="195"/>
      <c r="N34" s="195"/>
      <c r="O34" s="195"/>
      <c r="P34" s="195"/>
      <c r="Q34" s="195"/>
      <c r="R34" s="193" t="s">
        <v>140</v>
      </c>
      <c r="S34" s="194"/>
      <c r="T34" s="194"/>
      <c r="U34" s="194"/>
      <c r="V34" s="194"/>
      <c r="W34" s="194"/>
      <c r="X34" s="194"/>
      <c r="Y34" s="637" t="s">
        <v>1504</v>
      </c>
      <c r="Z34" s="638"/>
      <c r="AA34" s="639" t="s">
        <v>1505</v>
      </c>
      <c r="AB34" s="640"/>
      <c r="AC34" s="641"/>
      <c r="AD34" s="196">
        <v>30</v>
      </c>
      <c r="AE34" s="197"/>
      <c r="AF34" s="197"/>
      <c r="AG34" s="197"/>
      <c r="AH34" s="197"/>
      <c r="AI34" s="197"/>
      <c r="AJ34" s="197"/>
      <c r="AK34" s="197"/>
      <c r="AL34" s="197"/>
      <c r="AM34" s="197"/>
      <c r="AN34" s="197"/>
      <c r="AO34" s="197"/>
      <c r="AP34" s="197"/>
      <c r="AQ34" s="197"/>
      <c r="AR34" s="197"/>
      <c r="AS34" s="193" t="s">
        <v>1359</v>
      </c>
      <c r="AT34" s="198"/>
      <c r="AU34" s="198"/>
      <c r="AV34" s="198"/>
      <c r="AW34" s="198"/>
      <c r="AX34" s="198"/>
      <c r="AY34" s="198"/>
      <c r="AZ34" s="198"/>
      <c r="BA34" s="198"/>
      <c r="BB34" s="198"/>
      <c r="BC34" s="198"/>
      <c r="BD34" s="199"/>
      <c r="BE34" s="16" t="s">
        <v>1385</v>
      </c>
    </row>
    <row r="35" spans="1:57" ht="14.4" customHeight="1">
      <c r="A35" s="37">
        <f>IF(B35="","",COUNTA($B$8:B35))</f>
        <v>28</v>
      </c>
      <c r="B35" s="35" t="s">
        <v>1506</v>
      </c>
      <c r="C35" s="34"/>
      <c r="D35" s="34"/>
      <c r="E35" s="34"/>
      <c r="F35" s="34"/>
      <c r="G35" s="34"/>
      <c r="H35" s="34"/>
      <c r="I35" s="35" t="s">
        <v>1507</v>
      </c>
      <c r="J35" s="27"/>
      <c r="K35" s="27"/>
      <c r="L35" s="27"/>
      <c r="M35" s="27"/>
      <c r="N35" s="27"/>
      <c r="O35" s="27"/>
      <c r="P35" s="27"/>
      <c r="Q35" s="27"/>
      <c r="R35" s="35" t="s">
        <v>1506</v>
      </c>
      <c r="S35" s="34"/>
      <c r="T35" s="34"/>
      <c r="U35" s="34"/>
      <c r="V35" s="34"/>
      <c r="W35" s="34"/>
      <c r="X35" s="34"/>
      <c r="Y35" s="589" t="s">
        <v>1504</v>
      </c>
      <c r="Z35" s="590"/>
      <c r="AA35" s="591" t="s">
        <v>1505</v>
      </c>
      <c r="AB35" s="592"/>
      <c r="AC35" s="593"/>
      <c r="AD35" s="53">
        <v>3</v>
      </c>
      <c r="AE35" s="25"/>
      <c r="AF35" s="25"/>
      <c r="AG35" s="25"/>
      <c r="AH35" s="25"/>
      <c r="AI35" s="25"/>
      <c r="AJ35" s="25"/>
      <c r="AK35" s="25"/>
      <c r="AL35" s="25"/>
      <c r="AM35" s="25"/>
      <c r="AN35" s="25"/>
      <c r="AO35" s="25"/>
      <c r="AP35" s="25"/>
      <c r="AQ35" s="25"/>
      <c r="AR35" s="25"/>
      <c r="AS35" s="35" t="s">
        <v>1359</v>
      </c>
      <c r="AT35" s="36"/>
      <c r="AU35" s="36"/>
      <c r="AV35" s="36"/>
      <c r="AW35" s="36"/>
      <c r="AX35" s="36"/>
      <c r="AY35" s="36"/>
      <c r="AZ35" s="36"/>
      <c r="BA35" s="36"/>
      <c r="BB35" s="36"/>
      <c r="BC35" s="36"/>
      <c r="BD35" s="50"/>
    </row>
    <row r="36" spans="1:57" ht="14.4" customHeight="1">
      <c r="A36" s="37">
        <f>IF(B36="","",COUNTA($B$8:B36))</f>
        <v>29</v>
      </c>
      <c r="B36" s="193" t="s">
        <v>1570</v>
      </c>
      <c r="C36" s="194"/>
      <c r="D36" s="194"/>
      <c r="E36" s="194"/>
      <c r="F36" s="194"/>
      <c r="G36" s="194"/>
      <c r="H36" s="194"/>
      <c r="I36" s="193"/>
      <c r="J36" s="195"/>
      <c r="K36" s="195"/>
      <c r="L36" s="195"/>
      <c r="M36" s="195"/>
      <c r="N36" s="195"/>
      <c r="O36" s="195"/>
      <c r="P36" s="195"/>
      <c r="Q36" s="195"/>
      <c r="R36" s="193" t="s">
        <v>1570</v>
      </c>
      <c r="S36" s="194"/>
      <c r="T36" s="194"/>
      <c r="U36" s="194"/>
      <c r="V36" s="194"/>
      <c r="W36" s="194"/>
      <c r="X36" s="194"/>
      <c r="Y36" s="637" t="s">
        <v>1504</v>
      </c>
      <c r="Z36" s="638"/>
      <c r="AA36" s="639" t="s">
        <v>1505</v>
      </c>
      <c r="AB36" s="640"/>
      <c r="AC36" s="641"/>
      <c r="AD36" s="271">
        <v>30</v>
      </c>
      <c r="AE36" s="197"/>
      <c r="AF36" s="197"/>
      <c r="AG36" s="197"/>
      <c r="AH36" s="197"/>
      <c r="AI36" s="197"/>
      <c r="AJ36" s="197"/>
      <c r="AK36" s="197"/>
      <c r="AL36" s="197"/>
      <c r="AM36" s="197"/>
      <c r="AN36" s="197"/>
      <c r="AO36" s="197"/>
      <c r="AP36" s="197"/>
      <c r="AQ36" s="197"/>
      <c r="AR36" s="197"/>
      <c r="AS36" s="193" t="s">
        <v>1359</v>
      </c>
      <c r="AT36" s="198"/>
      <c r="AU36" s="198"/>
      <c r="AV36" s="198"/>
      <c r="AW36" s="198"/>
      <c r="AX36" s="198"/>
      <c r="AY36" s="198"/>
      <c r="AZ36" s="198"/>
      <c r="BA36" s="198"/>
      <c r="BB36" s="198"/>
      <c r="BC36" s="198"/>
      <c r="BD36" s="199"/>
      <c r="BE36" s="16" t="s">
        <v>1385</v>
      </c>
    </row>
    <row r="37" spans="1:57" ht="14.4" customHeight="1">
      <c r="A37" s="37">
        <f>IF(B37="","",COUNTA($B$8:B37))</f>
        <v>30</v>
      </c>
      <c r="B37" s="193" t="s">
        <v>1716</v>
      </c>
      <c r="C37" s="194"/>
      <c r="D37" s="194"/>
      <c r="E37" s="194"/>
      <c r="F37" s="194"/>
      <c r="G37" s="194"/>
      <c r="H37" s="194"/>
      <c r="I37" s="193" t="s">
        <v>570</v>
      </c>
      <c r="J37" s="195"/>
      <c r="K37" s="195"/>
      <c r="L37" s="195"/>
      <c r="M37" s="195"/>
      <c r="N37" s="195"/>
      <c r="O37" s="195"/>
      <c r="P37" s="195"/>
      <c r="Q37" s="195"/>
      <c r="R37" s="193" t="s">
        <v>1716</v>
      </c>
      <c r="S37" s="194"/>
      <c r="T37" s="194"/>
      <c r="U37" s="194"/>
      <c r="V37" s="194"/>
      <c r="W37" s="194"/>
      <c r="X37" s="194"/>
      <c r="Y37" s="637" t="s">
        <v>1504</v>
      </c>
      <c r="Z37" s="638"/>
      <c r="AA37" s="639" t="s">
        <v>1505</v>
      </c>
      <c r="AB37" s="640"/>
      <c r="AC37" s="641"/>
      <c r="AD37" s="196">
        <v>2</v>
      </c>
      <c r="AE37" s="197"/>
      <c r="AF37" s="197"/>
      <c r="AG37" s="197"/>
      <c r="AH37" s="197"/>
      <c r="AI37" s="197"/>
      <c r="AJ37" s="197"/>
      <c r="AK37" s="197"/>
      <c r="AL37" s="197"/>
      <c r="AM37" s="197"/>
      <c r="AN37" s="197"/>
      <c r="AO37" s="197"/>
      <c r="AP37" s="197"/>
      <c r="AQ37" s="197"/>
      <c r="AR37" s="197"/>
      <c r="AS37" s="193" t="s">
        <v>1359</v>
      </c>
      <c r="AT37" s="198"/>
      <c r="AU37" s="198"/>
      <c r="AV37" s="198"/>
      <c r="AW37" s="198"/>
      <c r="AX37" s="198"/>
      <c r="AY37" s="198"/>
      <c r="AZ37" s="198"/>
      <c r="BA37" s="198"/>
      <c r="BB37" s="198"/>
      <c r="BC37" s="198"/>
      <c r="BD37" s="199"/>
      <c r="BE37" s="16" t="s">
        <v>1385</v>
      </c>
    </row>
    <row r="38" spans="1:57" ht="14.4" customHeight="1">
      <c r="A38" s="37">
        <f>IF(B38="","",COUNTA($B$8:B38))</f>
        <v>31</v>
      </c>
      <c r="B38" s="193" t="s">
        <v>1717</v>
      </c>
      <c r="C38" s="194"/>
      <c r="D38" s="194"/>
      <c r="E38" s="194"/>
      <c r="F38" s="194"/>
      <c r="G38" s="194"/>
      <c r="H38" s="194"/>
      <c r="I38" s="193"/>
      <c r="J38" s="195"/>
      <c r="K38" s="195"/>
      <c r="L38" s="195"/>
      <c r="M38" s="195"/>
      <c r="N38" s="195"/>
      <c r="O38" s="195"/>
      <c r="P38" s="195"/>
      <c r="Q38" s="195"/>
      <c r="R38" s="193" t="s">
        <v>1717</v>
      </c>
      <c r="S38" s="194"/>
      <c r="T38" s="194"/>
      <c r="U38" s="194"/>
      <c r="V38" s="194"/>
      <c r="W38" s="194"/>
      <c r="X38" s="194"/>
      <c r="Y38" s="637" t="s">
        <v>1504</v>
      </c>
      <c r="Z38" s="638"/>
      <c r="AA38" s="639" t="s">
        <v>1505</v>
      </c>
      <c r="AB38" s="640"/>
      <c r="AC38" s="641"/>
      <c r="AD38" s="196">
        <v>30</v>
      </c>
      <c r="AE38" s="197"/>
      <c r="AF38" s="197"/>
      <c r="AG38" s="197"/>
      <c r="AH38" s="197"/>
      <c r="AI38" s="197"/>
      <c r="AJ38" s="197"/>
      <c r="AK38" s="197"/>
      <c r="AL38" s="197"/>
      <c r="AM38" s="197"/>
      <c r="AN38" s="197"/>
      <c r="AO38" s="197"/>
      <c r="AP38" s="197"/>
      <c r="AQ38" s="197"/>
      <c r="AR38" s="197"/>
      <c r="AS38" s="193" t="s">
        <v>1359</v>
      </c>
      <c r="AT38" s="198"/>
      <c r="AU38" s="198"/>
      <c r="AV38" s="198"/>
      <c r="AW38" s="198"/>
      <c r="AX38" s="198"/>
      <c r="AY38" s="198"/>
      <c r="AZ38" s="198"/>
      <c r="BA38" s="198"/>
      <c r="BB38" s="198"/>
      <c r="BC38" s="198"/>
      <c r="BD38" s="199"/>
      <c r="BE38" s="16" t="s">
        <v>1385</v>
      </c>
    </row>
    <row r="39" spans="1:57" ht="14.4" customHeight="1">
      <c r="A39" s="37">
        <f>IF(B39="","",COUNTA($B$8:B39))</f>
        <v>32</v>
      </c>
      <c r="B39" s="193" t="s">
        <v>1718</v>
      </c>
      <c r="C39" s="194"/>
      <c r="D39" s="194"/>
      <c r="E39" s="194"/>
      <c r="F39" s="194"/>
      <c r="G39" s="194"/>
      <c r="H39" s="194"/>
      <c r="I39" s="193" t="s">
        <v>572</v>
      </c>
      <c r="J39" s="195"/>
      <c r="K39" s="195"/>
      <c r="L39" s="195"/>
      <c r="M39" s="195"/>
      <c r="N39" s="195"/>
      <c r="O39" s="195"/>
      <c r="P39" s="195"/>
      <c r="Q39" s="195"/>
      <c r="R39" s="193" t="s">
        <v>1718</v>
      </c>
      <c r="S39" s="194"/>
      <c r="T39" s="194"/>
      <c r="U39" s="194"/>
      <c r="V39" s="194"/>
      <c r="W39" s="194"/>
      <c r="X39" s="194"/>
      <c r="Y39" s="637" t="s">
        <v>1504</v>
      </c>
      <c r="Z39" s="638"/>
      <c r="AA39" s="639" t="s">
        <v>1505</v>
      </c>
      <c r="AB39" s="640"/>
      <c r="AC39" s="641"/>
      <c r="AD39" s="196">
        <v>2</v>
      </c>
      <c r="AE39" s="197"/>
      <c r="AF39" s="197"/>
      <c r="AG39" s="197"/>
      <c r="AH39" s="197"/>
      <c r="AI39" s="197"/>
      <c r="AJ39" s="197"/>
      <c r="AK39" s="197"/>
      <c r="AL39" s="197"/>
      <c r="AM39" s="197"/>
      <c r="AN39" s="197"/>
      <c r="AO39" s="197"/>
      <c r="AP39" s="197"/>
      <c r="AQ39" s="197"/>
      <c r="AR39" s="197"/>
      <c r="AS39" s="193" t="s">
        <v>1359</v>
      </c>
      <c r="AT39" s="198"/>
      <c r="AU39" s="198"/>
      <c r="AV39" s="198"/>
      <c r="AW39" s="198"/>
      <c r="AX39" s="198"/>
      <c r="AY39" s="198"/>
      <c r="AZ39" s="198"/>
      <c r="BA39" s="198"/>
      <c r="BB39" s="198"/>
      <c r="BC39" s="198"/>
      <c r="BD39" s="199"/>
      <c r="BE39" s="16" t="s">
        <v>1385</v>
      </c>
    </row>
    <row r="40" spans="1:57" ht="14.4" customHeight="1">
      <c r="A40" s="37">
        <f>IF(B40="","",COUNTA($B$8:B40))</f>
        <v>33</v>
      </c>
      <c r="B40" s="193" t="s">
        <v>1719</v>
      </c>
      <c r="C40" s="194"/>
      <c r="D40" s="194"/>
      <c r="E40" s="194"/>
      <c r="F40" s="194"/>
      <c r="G40" s="194"/>
      <c r="H40" s="194"/>
      <c r="I40" s="193"/>
      <c r="J40" s="195"/>
      <c r="K40" s="195"/>
      <c r="L40" s="195"/>
      <c r="M40" s="195"/>
      <c r="N40" s="195"/>
      <c r="O40" s="195"/>
      <c r="P40" s="195"/>
      <c r="Q40" s="195"/>
      <c r="R40" s="193" t="s">
        <v>1719</v>
      </c>
      <c r="S40" s="194"/>
      <c r="T40" s="194"/>
      <c r="U40" s="194"/>
      <c r="V40" s="194"/>
      <c r="W40" s="194"/>
      <c r="X40" s="194"/>
      <c r="Y40" s="637" t="s">
        <v>1504</v>
      </c>
      <c r="Z40" s="638"/>
      <c r="AA40" s="639" t="s">
        <v>1505</v>
      </c>
      <c r="AB40" s="640"/>
      <c r="AC40" s="641"/>
      <c r="AD40" s="196">
        <v>30</v>
      </c>
      <c r="AE40" s="197"/>
      <c r="AF40" s="197"/>
      <c r="AG40" s="197"/>
      <c r="AH40" s="197"/>
      <c r="AI40" s="197"/>
      <c r="AJ40" s="197"/>
      <c r="AK40" s="197"/>
      <c r="AL40" s="197"/>
      <c r="AM40" s="197"/>
      <c r="AN40" s="197"/>
      <c r="AO40" s="197"/>
      <c r="AP40" s="197"/>
      <c r="AQ40" s="197"/>
      <c r="AR40" s="197"/>
      <c r="AS40" s="193" t="s">
        <v>1359</v>
      </c>
      <c r="AT40" s="198"/>
      <c r="AU40" s="198"/>
      <c r="AV40" s="198"/>
      <c r="AW40" s="198"/>
      <c r="AX40" s="198"/>
      <c r="AY40" s="198"/>
      <c r="AZ40" s="198"/>
      <c r="BA40" s="198"/>
      <c r="BB40" s="198"/>
      <c r="BC40" s="198"/>
      <c r="BD40" s="199"/>
      <c r="BE40" s="16" t="s">
        <v>1385</v>
      </c>
    </row>
    <row r="41" spans="1:57" ht="14.4" customHeight="1">
      <c r="A41" s="37">
        <f>IF(B41="","",COUNTA($B$8:B41))</f>
        <v>34</v>
      </c>
      <c r="B41" s="193" t="s">
        <v>1530</v>
      </c>
      <c r="C41" s="194"/>
      <c r="D41" s="194"/>
      <c r="E41" s="194"/>
      <c r="F41" s="194"/>
      <c r="G41" s="194"/>
      <c r="H41" s="194"/>
      <c r="I41" s="193" t="s">
        <v>459</v>
      </c>
      <c r="J41" s="195"/>
      <c r="K41" s="195"/>
      <c r="L41" s="195"/>
      <c r="M41" s="195"/>
      <c r="N41" s="195"/>
      <c r="O41" s="195"/>
      <c r="P41" s="195"/>
      <c r="Q41" s="195"/>
      <c r="R41" s="193" t="s">
        <v>1530</v>
      </c>
      <c r="S41" s="194"/>
      <c r="T41" s="194"/>
      <c r="U41" s="194"/>
      <c r="V41" s="194"/>
      <c r="W41" s="194"/>
      <c r="X41" s="194"/>
      <c r="Y41" s="637" t="s">
        <v>1504</v>
      </c>
      <c r="Z41" s="638"/>
      <c r="AA41" s="639" t="s">
        <v>1505</v>
      </c>
      <c r="AB41" s="640"/>
      <c r="AC41" s="641"/>
      <c r="AD41" s="196">
        <v>2</v>
      </c>
      <c r="AE41" s="197"/>
      <c r="AF41" s="197"/>
      <c r="AG41" s="197"/>
      <c r="AH41" s="197"/>
      <c r="AI41" s="197"/>
      <c r="AJ41" s="197"/>
      <c r="AK41" s="197"/>
      <c r="AL41" s="197"/>
      <c r="AM41" s="197"/>
      <c r="AN41" s="197"/>
      <c r="AO41" s="197"/>
      <c r="AP41" s="197"/>
      <c r="AQ41" s="197"/>
      <c r="AR41" s="197"/>
      <c r="AS41" s="193" t="s">
        <v>1359</v>
      </c>
      <c r="AT41" s="198"/>
      <c r="AU41" s="198"/>
      <c r="AV41" s="198"/>
      <c r="AW41" s="198"/>
      <c r="AX41" s="198"/>
      <c r="AY41" s="198"/>
      <c r="AZ41" s="198"/>
      <c r="BA41" s="198"/>
      <c r="BB41" s="198"/>
      <c r="BC41" s="198"/>
      <c r="BD41" s="199"/>
      <c r="BE41" s="16" t="s">
        <v>1385</v>
      </c>
    </row>
    <row r="42" spans="1:57" ht="14.4" customHeight="1">
      <c r="A42" s="37">
        <f>IF(B42="","",COUNTA($B$8:B42))</f>
        <v>35</v>
      </c>
      <c r="B42" s="193" t="s">
        <v>1688</v>
      </c>
      <c r="C42" s="194"/>
      <c r="D42" s="194"/>
      <c r="E42" s="194"/>
      <c r="F42" s="194"/>
      <c r="G42" s="194"/>
      <c r="H42" s="194"/>
      <c r="I42" s="193" t="s">
        <v>491</v>
      </c>
      <c r="J42" s="195"/>
      <c r="K42" s="195"/>
      <c r="L42" s="195"/>
      <c r="M42" s="195"/>
      <c r="N42" s="195"/>
      <c r="O42" s="195"/>
      <c r="P42" s="195"/>
      <c r="Q42" s="195"/>
      <c r="R42" s="193" t="s">
        <v>1688</v>
      </c>
      <c r="S42" s="194"/>
      <c r="T42" s="194"/>
      <c r="U42" s="194"/>
      <c r="V42" s="194"/>
      <c r="W42" s="194"/>
      <c r="X42" s="194"/>
      <c r="Y42" s="637" t="s">
        <v>1504</v>
      </c>
      <c r="Z42" s="638"/>
      <c r="AA42" s="639" t="s">
        <v>1505</v>
      </c>
      <c r="AB42" s="640"/>
      <c r="AC42" s="641"/>
      <c r="AD42" s="196">
        <v>30</v>
      </c>
      <c r="AE42" s="197"/>
      <c r="AF42" s="197"/>
      <c r="AG42" s="197"/>
      <c r="AH42" s="197"/>
      <c r="AI42" s="197"/>
      <c r="AJ42" s="197"/>
      <c r="AK42" s="197"/>
      <c r="AL42" s="197"/>
      <c r="AM42" s="197"/>
      <c r="AN42" s="197"/>
      <c r="AO42" s="197"/>
      <c r="AP42" s="197"/>
      <c r="AQ42" s="197"/>
      <c r="AR42" s="197"/>
      <c r="AS42" s="193" t="s">
        <v>1359</v>
      </c>
      <c r="AT42" s="198"/>
      <c r="AU42" s="198"/>
      <c r="AV42" s="198"/>
      <c r="AW42" s="198"/>
      <c r="AX42" s="198"/>
      <c r="AY42" s="198"/>
      <c r="AZ42" s="198"/>
      <c r="BA42" s="198"/>
      <c r="BB42" s="198"/>
      <c r="BC42" s="198"/>
      <c r="BD42" s="199"/>
      <c r="BE42" s="16" t="s">
        <v>1385</v>
      </c>
    </row>
    <row r="43" spans="1:57" ht="14.4" customHeight="1">
      <c r="A43" s="37">
        <f>IF(B43="","",COUNTA($B$8:B43))</f>
        <v>36</v>
      </c>
      <c r="B43" s="193" t="s">
        <v>505</v>
      </c>
      <c r="C43" s="194"/>
      <c r="D43" s="194"/>
      <c r="E43" s="194"/>
      <c r="F43" s="194"/>
      <c r="G43" s="194"/>
      <c r="H43" s="194"/>
      <c r="I43" s="193" t="s">
        <v>506</v>
      </c>
      <c r="J43" s="195"/>
      <c r="K43" s="195"/>
      <c r="L43" s="195"/>
      <c r="M43" s="195"/>
      <c r="N43" s="195"/>
      <c r="O43" s="195"/>
      <c r="P43" s="195"/>
      <c r="Q43" s="195"/>
      <c r="R43" s="193" t="s">
        <v>260</v>
      </c>
      <c r="S43" s="194"/>
      <c r="T43" s="194"/>
      <c r="U43" s="194"/>
      <c r="V43" s="194"/>
      <c r="W43" s="194"/>
      <c r="X43" s="194"/>
      <c r="Y43" s="637" t="s">
        <v>1504</v>
      </c>
      <c r="Z43" s="638"/>
      <c r="AA43" s="639" t="s">
        <v>1505</v>
      </c>
      <c r="AB43" s="640"/>
      <c r="AC43" s="641"/>
      <c r="AD43" s="196">
        <v>4</v>
      </c>
      <c r="AE43" s="197"/>
      <c r="AF43" s="197"/>
      <c r="AG43" s="197"/>
      <c r="AH43" s="197"/>
      <c r="AI43" s="197"/>
      <c r="AJ43" s="197"/>
      <c r="AK43" s="197"/>
      <c r="AL43" s="197"/>
      <c r="AM43" s="197"/>
      <c r="AN43" s="197"/>
      <c r="AO43" s="197"/>
      <c r="AP43" s="197"/>
      <c r="AQ43" s="197"/>
      <c r="AR43" s="197"/>
      <c r="AS43" s="193" t="s">
        <v>1359</v>
      </c>
      <c r="AT43" s="198"/>
      <c r="AU43" s="198"/>
      <c r="AV43" s="198"/>
      <c r="AW43" s="198"/>
      <c r="AX43" s="198"/>
      <c r="AY43" s="198"/>
      <c r="AZ43" s="198"/>
      <c r="BA43" s="198"/>
      <c r="BB43" s="198"/>
      <c r="BC43" s="198"/>
      <c r="BD43" s="199"/>
      <c r="BE43" s="16" t="s">
        <v>1385</v>
      </c>
    </row>
    <row r="44" spans="1:57" ht="14.4" customHeight="1">
      <c r="A44" s="37">
        <f>IF(B44="","",COUNTA($B$8:B44))</f>
        <v>37</v>
      </c>
      <c r="B44" s="193" t="s">
        <v>1531</v>
      </c>
      <c r="C44" s="194"/>
      <c r="D44" s="194"/>
      <c r="E44" s="194"/>
      <c r="F44" s="194"/>
      <c r="G44" s="194"/>
      <c r="H44" s="194"/>
      <c r="I44" s="193"/>
      <c r="J44" s="195"/>
      <c r="K44" s="195"/>
      <c r="L44" s="195"/>
      <c r="M44" s="195"/>
      <c r="N44" s="195"/>
      <c r="O44" s="195"/>
      <c r="P44" s="195"/>
      <c r="Q44" s="195"/>
      <c r="R44" s="193" t="s">
        <v>1531</v>
      </c>
      <c r="S44" s="194"/>
      <c r="T44" s="194"/>
      <c r="U44" s="194"/>
      <c r="V44" s="194"/>
      <c r="W44" s="194"/>
      <c r="X44" s="194"/>
      <c r="Y44" s="637" t="s">
        <v>1504</v>
      </c>
      <c r="Z44" s="638"/>
      <c r="AA44" s="639" t="s">
        <v>1505</v>
      </c>
      <c r="AB44" s="640"/>
      <c r="AC44" s="641"/>
      <c r="AD44" s="196">
        <v>10</v>
      </c>
      <c r="AE44" s="197"/>
      <c r="AF44" s="197"/>
      <c r="AG44" s="197"/>
      <c r="AH44" s="197"/>
      <c r="AI44" s="197"/>
      <c r="AJ44" s="197"/>
      <c r="AK44" s="197"/>
      <c r="AL44" s="197"/>
      <c r="AM44" s="197"/>
      <c r="AN44" s="197"/>
      <c r="AO44" s="197"/>
      <c r="AP44" s="197"/>
      <c r="AQ44" s="197"/>
      <c r="AR44" s="197"/>
      <c r="AS44" s="193" t="s">
        <v>1359</v>
      </c>
      <c r="AT44" s="198"/>
      <c r="AU44" s="198"/>
      <c r="AV44" s="198"/>
      <c r="AW44" s="198"/>
      <c r="AX44" s="198"/>
      <c r="AY44" s="198"/>
      <c r="AZ44" s="198"/>
      <c r="BA44" s="198"/>
      <c r="BB44" s="198"/>
      <c r="BC44" s="198"/>
      <c r="BD44" s="199"/>
      <c r="BE44" s="248" t="s">
        <v>1369</v>
      </c>
    </row>
    <row r="45" spans="1:57" ht="14.4" customHeight="1">
      <c r="A45" s="37">
        <f>IF(B45="","",COUNTA($B$8:B45))</f>
        <v>38</v>
      </c>
      <c r="B45" s="193" t="s">
        <v>1526</v>
      </c>
      <c r="C45" s="194"/>
      <c r="D45" s="194"/>
      <c r="E45" s="194"/>
      <c r="F45" s="194"/>
      <c r="G45" s="194"/>
      <c r="H45" s="194"/>
      <c r="I45" s="193" t="s">
        <v>709</v>
      </c>
      <c r="J45" s="195"/>
      <c r="K45" s="195"/>
      <c r="L45" s="195"/>
      <c r="M45" s="195"/>
      <c r="N45" s="195"/>
      <c r="O45" s="195"/>
      <c r="P45" s="195"/>
      <c r="Q45" s="195"/>
      <c r="R45" s="193" t="s">
        <v>1526</v>
      </c>
      <c r="S45" s="194"/>
      <c r="T45" s="194"/>
      <c r="U45" s="194"/>
      <c r="V45" s="194"/>
      <c r="W45" s="194"/>
      <c r="X45" s="194"/>
      <c r="Y45" s="637" t="s">
        <v>1516</v>
      </c>
      <c r="Z45" s="638"/>
      <c r="AA45" s="639" t="s">
        <v>1517</v>
      </c>
      <c r="AB45" s="640"/>
      <c r="AC45" s="641"/>
      <c r="AD45" s="196">
        <v>7</v>
      </c>
      <c r="AE45" s="197">
        <v>2</v>
      </c>
      <c r="AF45" s="197"/>
      <c r="AG45" s="197"/>
      <c r="AH45" s="197"/>
      <c r="AI45" s="197"/>
      <c r="AJ45" s="197"/>
      <c r="AK45" s="197"/>
      <c r="AL45" s="197"/>
      <c r="AM45" s="197"/>
      <c r="AN45" s="197"/>
      <c r="AO45" s="197"/>
      <c r="AP45" s="197"/>
      <c r="AQ45" s="197"/>
      <c r="AR45" s="197"/>
      <c r="AS45" s="193" t="s">
        <v>1359</v>
      </c>
      <c r="AT45" s="198"/>
      <c r="AU45" s="198"/>
      <c r="AV45" s="198"/>
      <c r="AW45" s="198"/>
      <c r="AX45" s="198"/>
      <c r="AY45" s="198"/>
      <c r="AZ45" s="198"/>
      <c r="BA45" s="198"/>
      <c r="BB45" s="198"/>
      <c r="BC45" s="198"/>
      <c r="BD45" s="199"/>
      <c r="BE45" s="16" t="s">
        <v>1385</v>
      </c>
    </row>
    <row r="46" spans="1:57" ht="14.4" customHeight="1">
      <c r="A46" s="37">
        <f>IF(B46="","",COUNTA($B$8:B46))</f>
        <v>39</v>
      </c>
      <c r="B46" s="193" t="s">
        <v>1698</v>
      </c>
      <c r="C46" s="194"/>
      <c r="D46" s="194"/>
      <c r="E46" s="194"/>
      <c r="F46" s="194"/>
      <c r="G46" s="194"/>
      <c r="H46" s="194"/>
      <c r="I46" s="193"/>
      <c r="J46" s="195"/>
      <c r="K46" s="195"/>
      <c r="L46" s="195"/>
      <c r="M46" s="195"/>
      <c r="N46" s="195"/>
      <c r="O46" s="195"/>
      <c r="P46" s="195"/>
      <c r="Q46" s="195"/>
      <c r="R46" s="193" t="s">
        <v>251</v>
      </c>
      <c r="S46" s="194"/>
      <c r="T46" s="194"/>
      <c r="U46" s="194"/>
      <c r="V46" s="194"/>
      <c r="W46" s="194"/>
      <c r="X46" s="194"/>
      <c r="Y46" s="637" t="s">
        <v>1516</v>
      </c>
      <c r="Z46" s="638"/>
      <c r="AA46" s="639" t="s">
        <v>1505</v>
      </c>
      <c r="AB46" s="640"/>
      <c r="AC46" s="641"/>
      <c r="AD46" s="196">
        <v>10</v>
      </c>
      <c r="AE46" s="197"/>
      <c r="AF46" s="197"/>
      <c r="AG46" s="247"/>
      <c r="AH46" s="197"/>
      <c r="AI46" s="197"/>
      <c r="AJ46" s="197"/>
      <c r="AK46" s="197"/>
      <c r="AL46" s="197"/>
      <c r="AM46" s="197"/>
      <c r="AN46" s="197"/>
      <c r="AO46" s="197"/>
      <c r="AP46" s="197"/>
      <c r="AQ46" s="197"/>
      <c r="AR46" s="197"/>
      <c r="AS46" s="193" t="s">
        <v>1359</v>
      </c>
      <c r="AT46" s="198"/>
      <c r="AU46" s="198"/>
      <c r="AV46" s="198"/>
      <c r="AW46" s="198"/>
      <c r="AX46" s="198"/>
      <c r="AY46" s="198"/>
      <c r="AZ46" s="198"/>
      <c r="BA46" s="198"/>
      <c r="BB46" s="198"/>
      <c r="BC46" s="198"/>
      <c r="BD46" s="199"/>
      <c r="BE46" s="248" t="s">
        <v>1369</v>
      </c>
    </row>
    <row r="47" spans="1:57" ht="14.4" customHeight="1">
      <c r="A47" s="37">
        <f>IF(B47="","",COUNTA($B$8:B47))</f>
        <v>40</v>
      </c>
      <c r="B47" s="35" t="s">
        <v>431</v>
      </c>
      <c r="C47" s="34"/>
      <c r="D47" s="34"/>
      <c r="E47" s="34"/>
      <c r="F47" s="34"/>
      <c r="G47" s="34"/>
      <c r="H47" s="34"/>
      <c r="I47" s="35" t="s">
        <v>432</v>
      </c>
      <c r="J47" s="27"/>
      <c r="K47" s="27"/>
      <c r="L47" s="27"/>
      <c r="M47" s="27"/>
      <c r="N47" s="27"/>
      <c r="O47" s="27"/>
      <c r="P47" s="27"/>
      <c r="Q47" s="27"/>
      <c r="R47" s="35" t="s">
        <v>431</v>
      </c>
      <c r="S47" s="34"/>
      <c r="T47" s="34"/>
      <c r="U47" s="34"/>
      <c r="V47" s="34"/>
      <c r="W47" s="34"/>
      <c r="X47" s="34"/>
      <c r="Y47" s="589" t="s">
        <v>1516</v>
      </c>
      <c r="Z47" s="636"/>
      <c r="AA47" s="591" t="s">
        <v>1517</v>
      </c>
      <c r="AB47" s="592"/>
      <c r="AC47" s="593"/>
      <c r="AD47" s="53">
        <v>7</v>
      </c>
      <c r="AE47" s="25">
        <v>3</v>
      </c>
      <c r="AF47" s="25"/>
      <c r="AG47" s="25"/>
      <c r="AH47" s="25"/>
      <c r="AI47" s="25"/>
      <c r="AJ47" s="25"/>
      <c r="AK47" s="25"/>
      <c r="AL47" s="25"/>
      <c r="AM47" s="25"/>
      <c r="AN47" s="25"/>
      <c r="AO47" s="25"/>
      <c r="AP47" s="25"/>
      <c r="AQ47" s="25"/>
      <c r="AR47" s="25"/>
      <c r="AS47" s="35" t="s">
        <v>1359</v>
      </c>
      <c r="AT47" s="36"/>
      <c r="AU47" s="36"/>
      <c r="AV47" s="36"/>
      <c r="AW47" s="36"/>
      <c r="AX47" s="36"/>
      <c r="AY47" s="36"/>
      <c r="AZ47" s="36"/>
      <c r="BA47" s="36"/>
      <c r="BB47" s="36"/>
      <c r="BC47" s="36"/>
      <c r="BD47" s="50"/>
    </row>
    <row r="48" spans="1:57" ht="14.4" customHeight="1">
      <c r="A48" s="37">
        <f>IF(B48="","",COUNTA($B$8:B48))</f>
        <v>41</v>
      </c>
      <c r="B48" s="54" t="s">
        <v>1763</v>
      </c>
      <c r="C48" s="55"/>
      <c r="D48" s="55"/>
      <c r="E48" s="55"/>
      <c r="F48" s="55"/>
      <c r="G48" s="55"/>
      <c r="H48" s="55"/>
      <c r="I48" s="317" t="s">
        <v>1764</v>
      </c>
      <c r="J48" s="56"/>
      <c r="K48" s="56"/>
      <c r="L48" s="56"/>
      <c r="M48" s="56"/>
      <c r="N48" s="56"/>
      <c r="O48" s="56"/>
      <c r="P48" s="56"/>
      <c r="Q48" s="56"/>
      <c r="R48" s="54" t="s">
        <v>1763</v>
      </c>
      <c r="S48" s="55"/>
      <c r="T48" s="55"/>
      <c r="U48" s="55"/>
      <c r="V48" s="55"/>
      <c r="W48" s="55"/>
      <c r="X48" s="55"/>
      <c r="Y48" s="677" t="s">
        <v>1294</v>
      </c>
      <c r="Z48" s="689"/>
      <c r="AA48" s="652" t="s">
        <v>1295</v>
      </c>
      <c r="AB48" s="653"/>
      <c r="AC48" s="654"/>
      <c r="AD48" s="57">
        <v>7</v>
      </c>
      <c r="AE48" s="58">
        <v>1</v>
      </c>
      <c r="AF48" s="58"/>
      <c r="AG48" s="58"/>
      <c r="AH48" s="58"/>
      <c r="AI48" s="58"/>
      <c r="AJ48" s="58"/>
      <c r="AK48" s="58"/>
      <c r="AL48" s="58"/>
      <c r="AM48" s="58"/>
      <c r="AN48" s="58"/>
      <c r="AO48" s="58"/>
      <c r="AP48" s="58"/>
      <c r="AQ48" s="58"/>
      <c r="AR48" s="58"/>
      <c r="AS48" s="54" t="s">
        <v>1248</v>
      </c>
      <c r="AT48" s="59"/>
      <c r="AU48" s="59"/>
      <c r="AV48" s="59"/>
      <c r="AW48" s="59"/>
      <c r="AX48" s="59"/>
      <c r="AY48" s="59"/>
      <c r="AZ48" s="59"/>
      <c r="BA48" s="59"/>
      <c r="BB48" s="59"/>
      <c r="BC48" s="59"/>
      <c r="BD48" s="60"/>
      <c r="BE48" s="16" t="s">
        <v>1765</v>
      </c>
    </row>
    <row r="49" spans="1:57" ht="14.4" customHeight="1">
      <c r="A49" s="37">
        <f>IF(B49="","",COUNTA($B$8:B49))</f>
        <v>42</v>
      </c>
      <c r="B49" s="35" t="s">
        <v>1632</v>
      </c>
      <c r="C49" s="34"/>
      <c r="D49" s="34"/>
      <c r="E49" s="34"/>
      <c r="F49" s="34"/>
      <c r="G49" s="34"/>
      <c r="H49" s="34"/>
      <c r="I49" s="276" t="s">
        <v>1568</v>
      </c>
      <c r="J49" s="27"/>
      <c r="K49" s="27"/>
      <c r="L49" s="27"/>
      <c r="M49" s="27"/>
      <c r="N49" s="27"/>
      <c r="O49" s="27"/>
      <c r="P49" s="27"/>
      <c r="Q49" s="27"/>
      <c r="R49" s="35" t="s">
        <v>1632</v>
      </c>
      <c r="S49" s="34"/>
      <c r="T49" s="34"/>
      <c r="U49" s="34"/>
      <c r="V49" s="34"/>
      <c r="W49" s="34"/>
      <c r="X49" s="34"/>
      <c r="Y49" s="589" t="s">
        <v>1516</v>
      </c>
      <c r="Z49" s="636"/>
      <c r="AA49" s="591" t="s">
        <v>1517</v>
      </c>
      <c r="AB49" s="592"/>
      <c r="AC49" s="593"/>
      <c r="AD49" s="53">
        <v>7</v>
      </c>
      <c r="AE49" s="25">
        <v>1</v>
      </c>
      <c r="AF49" s="25"/>
      <c r="AG49" s="25"/>
      <c r="AH49" s="25"/>
      <c r="AI49" s="25"/>
      <c r="AJ49" s="25"/>
      <c r="AK49" s="25"/>
      <c r="AL49" s="25"/>
      <c r="AM49" s="25"/>
      <c r="AN49" s="25"/>
      <c r="AO49" s="25"/>
      <c r="AP49" s="25"/>
      <c r="AQ49" s="25"/>
      <c r="AR49" s="25"/>
      <c r="AS49" s="35" t="s">
        <v>1248</v>
      </c>
      <c r="AT49" s="36"/>
      <c r="AU49" s="36"/>
      <c r="AV49" s="36"/>
      <c r="AW49" s="36"/>
      <c r="AX49" s="36"/>
      <c r="AY49" s="36"/>
      <c r="AZ49" s="36"/>
      <c r="BA49" s="36"/>
      <c r="BB49" s="36"/>
      <c r="BC49" s="36"/>
      <c r="BD49" s="50"/>
    </row>
    <row r="50" spans="1:57" ht="14.4" customHeight="1">
      <c r="A50" s="37">
        <f>IF(B50="","",COUNTA($B$8:B50))</f>
        <v>43</v>
      </c>
      <c r="B50" s="35" t="s">
        <v>1689</v>
      </c>
      <c r="C50" s="34"/>
      <c r="D50" s="34"/>
      <c r="E50" s="34"/>
      <c r="F50" s="34"/>
      <c r="G50" s="34"/>
      <c r="H50" s="34"/>
      <c r="I50" s="35" t="s">
        <v>1412</v>
      </c>
      <c r="J50" s="27"/>
      <c r="K50" s="27"/>
      <c r="L50" s="27"/>
      <c r="M50" s="27"/>
      <c r="N50" s="27"/>
      <c r="O50" s="27"/>
      <c r="P50" s="27"/>
      <c r="Q50" s="27"/>
      <c r="R50" s="35" t="s">
        <v>1689</v>
      </c>
      <c r="S50" s="34"/>
      <c r="T50" s="34"/>
      <c r="U50" s="34"/>
      <c r="V50" s="34"/>
      <c r="W50" s="34"/>
      <c r="X50" s="34"/>
      <c r="Y50" s="589" t="s">
        <v>1516</v>
      </c>
      <c r="Z50" s="590"/>
      <c r="AA50" s="591" t="s">
        <v>1517</v>
      </c>
      <c r="AB50" s="592"/>
      <c r="AC50" s="593"/>
      <c r="AD50" s="53">
        <v>7</v>
      </c>
      <c r="AE50" s="25">
        <v>3</v>
      </c>
      <c r="AF50" s="25"/>
      <c r="AG50" s="25"/>
      <c r="AH50" s="25"/>
      <c r="AI50" s="25"/>
      <c r="AJ50" s="25"/>
      <c r="AK50" s="25"/>
      <c r="AL50" s="25"/>
      <c r="AM50" s="25"/>
      <c r="AN50" s="25"/>
      <c r="AO50" s="25"/>
      <c r="AP50" s="25"/>
      <c r="AQ50" s="25"/>
      <c r="AR50" s="25"/>
      <c r="AS50" s="35" t="s">
        <v>1762</v>
      </c>
      <c r="AT50" s="36"/>
      <c r="AU50" s="36"/>
      <c r="AV50" s="36"/>
      <c r="AW50" s="36"/>
      <c r="AX50" s="36"/>
      <c r="AY50" s="36"/>
      <c r="AZ50" s="36"/>
      <c r="BA50" s="36"/>
      <c r="BB50" s="36"/>
      <c r="BC50" s="36"/>
      <c r="BD50" s="50"/>
    </row>
    <row r="51" spans="1:57" ht="14.4" customHeight="1">
      <c r="A51" s="37">
        <f>IF(B51="","",COUNTA($B$8:B51))</f>
        <v>44</v>
      </c>
      <c r="B51" s="35" t="s">
        <v>1641</v>
      </c>
      <c r="C51" s="34"/>
      <c r="D51" s="34"/>
      <c r="E51" s="34"/>
      <c r="F51" s="34"/>
      <c r="G51" s="34"/>
      <c r="H51" s="34"/>
      <c r="I51" s="35" t="s">
        <v>1413</v>
      </c>
      <c r="J51" s="27"/>
      <c r="K51" s="27"/>
      <c r="L51" s="27"/>
      <c r="M51" s="27"/>
      <c r="N51" s="27"/>
      <c r="O51" s="27"/>
      <c r="P51" s="27"/>
      <c r="Q51" s="27"/>
      <c r="R51" s="35" t="s">
        <v>1641</v>
      </c>
      <c r="S51" s="34"/>
      <c r="T51" s="34"/>
      <c r="U51" s="34"/>
      <c r="V51" s="34"/>
      <c r="W51" s="34"/>
      <c r="X51" s="34"/>
      <c r="Y51" s="589" t="s">
        <v>1516</v>
      </c>
      <c r="Z51" s="590"/>
      <c r="AA51" s="591" t="s">
        <v>1517</v>
      </c>
      <c r="AB51" s="592"/>
      <c r="AC51" s="593"/>
      <c r="AD51" s="53">
        <v>7</v>
      </c>
      <c r="AE51" s="25">
        <v>3</v>
      </c>
      <c r="AF51" s="25"/>
      <c r="AG51" s="25"/>
      <c r="AH51" s="25"/>
      <c r="AI51" s="25"/>
      <c r="AJ51" s="25"/>
      <c r="AK51" s="25"/>
      <c r="AL51" s="25"/>
      <c r="AM51" s="25"/>
      <c r="AN51" s="25"/>
      <c r="AO51" s="25"/>
      <c r="AP51" s="25"/>
      <c r="AQ51" s="25"/>
      <c r="AR51" s="25"/>
      <c r="AS51" s="35" t="s">
        <v>1761</v>
      </c>
      <c r="AT51" s="36"/>
      <c r="AU51" s="36"/>
      <c r="AV51" s="36"/>
      <c r="AW51" s="36"/>
      <c r="AX51" s="36"/>
      <c r="AY51" s="36"/>
      <c r="AZ51" s="36"/>
      <c r="BA51" s="36"/>
      <c r="BB51" s="36"/>
      <c r="BC51" s="36"/>
      <c r="BD51" s="50"/>
    </row>
    <row r="52" spans="1:57" ht="14.4" customHeight="1">
      <c r="A52" s="93">
        <f>IF(B52="","",COUNTA($B$8:B52))</f>
        <v>45</v>
      </c>
      <c r="B52" s="253" t="s">
        <v>1664</v>
      </c>
      <c r="C52" s="254"/>
      <c r="D52" s="254"/>
      <c r="E52" s="254"/>
      <c r="F52" s="254"/>
      <c r="G52" s="254"/>
      <c r="H52" s="254"/>
      <c r="I52" s="253"/>
      <c r="J52" s="255"/>
      <c r="K52" s="255"/>
      <c r="L52" s="255"/>
      <c r="M52" s="255"/>
      <c r="N52" s="255"/>
      <c r="O52" s="255"/>
      <c r="P52" s="255"/>
      <c r="Q52" s="255"/>
      <c r="R52" s="253" t="s">
        <v>1664</v>
      </c>
      <c r="S52" s="254"/>
      <c r="T52" s="254"/>
      <c r="U52" s="254"/>
      <c r="V52" s="254"/>
      <c r="W52" s="254"/>
      <c r="X52" s="254"/>
      <c r="Y52" s="684" t="s">
        <v>1516</v>
      </c>
      <c r="Z52" s="685"/>
      <c r="AA52" s="686" t="s">
        <v>1517</v>
      </c>
      <c r="AB52" s="687"/>
      <c r="AC52" s="688"/>
      <c r="AD52" s="256">
        <v>1</v>
      </c>
      <c r="AE52" s="257"/>
      <c r="AF52" s="257"/>
      <c r="AG52" s="257"/>
      <c r="AH52" s="257"/>
      <c r="AI52" s="257"/>
      <c r="AJ52" s="257"/>
      <c r="AK52" s="257"/>
      <c r="AL52" s="257"/>
      <c r="AM52" s="257"/>
      <c r="AN52" s="257"/>
      <c r="AO52" s="257"/>
      <c r="AP52" s="257"/>
      <c r="AQ52" s="257"/>
      <c r="AR52" s="257"/>
      <c r="AS52" s="253" t="s">
        <v>1759</v>
      </c>
      <c r="AT52" s="258"/>
      <c r="AU52" s="258"/>
      <c r="AV52" s="258"/>
      <c r="AW52" s="258"/>
      <c r="AX52" s="258"/>
      <c r="AY52" s="258"/>
      <c r="AZ52" s="258"/>
      <c r="BA52" s="258"/>
      <c r="BB52" s="258"/>
      <c r="BC52" s="258"/>
      <c r="BD52" s="259"/>
      <c r="BE52" s="16" t="s">
        <v>1381</v>
      </c>
    </row>
    <row r="53" spans="1:57" ht="14.4" customHeight="1">
      <c r="A53" s="96"/>
      <c r="B53" s="264"/>
      <c r="C53" s="308"/>
      <c r="D53" s="308"/>
      <c r="E53" s="308"/>
      <c r="F53" s="308"/>
      <c r="G53" s="308"/>
      <c r="H53" s="308"/>
      <c r="I53" s="264"/>
      <c r="J53" s="309"/>
      <c r="K53" s="309"/>
      <c r="L53" s="309"/>
      <c r="M53" s="309"/>
      <c r="N53" s="309"/>
      <c r="O53" s="309"/>
      <c r="P53" s="309"/>
      <c r="Q53" s="309"/>
      <c r="R53" s="264"/>
      <c r="S53" s="308"/>
      <c r="T53" s="308"/>
      <c r="U53" s="308"/>
      <c r="V53" s="308"/>
      <c r="W53" s="308"/>
      <c r="X53" s="308"/>
      <c r="Y53" s="310"/>
      <c r="Z53" s="311"/>
      <c r="AA53" s="312"/>
      <c r="AB53" s="313"/>
      <c r="AC53" s="314"/>
      <c r="AD53" s="315"/>
      <c r="AE53" s="316"/>
      <c r="AF53" s="316"/>
      <c r="AG53" s="316"/>
      <c r="AH53" s="316"/>
      <c r="AI53" s="316"/>
      <c r="AJ53" s="316"/>
      <c r="AK53" s="316"/>
      <c r="AL53" s="316"/>
      <c r="AM53" s="316"/>
      <c r="AN53" s="316"/>
      <c r="AO53" s="316"/>
      <c r="AP53" s="316"/>
      <c r="AQ53" s="316"/>
      <c r="AR53" s="316"/>
      <c r="AS53" s="264" t="s">
        <v>1760</v>
      </c>
      <c r="AT53" s="265"/>
      <c r="AU53" s="265"/>
      <c r="AV53" s="265"/>
      <c r="AW53" s="265"/>
      <c r="AX53" s="265"/>
      <c r="AY53" s="265"/>
      <c r="AZ53" s="265"/>
      <c r="BA53" s="265"/>
      <c r="BB53" s="265"/>
      <c r="BC53" s="265"/>
      <c r="BD53" s="293"/>
    </row>
    <row r="54" spans="1:57" ht="14.4" customHeight="1">
      <c r="A54" s="37">
        <f>IF(B54="","",COUNTA($B$8:B54))</f>
        <v>46</v>
      </c>
      <c r="B54" s="17" t="s">
        <v>1302</v>
      </c>
      <c r="C54" s="18"/>
      <c r="D54" s="18"/>
      <c r="E54" s="18"/>
      <c r="F54" s="18"/>
      <c r="G54" s="18"/>
      <c r="H54" s="203"/>
      <c r="I54" s="26" t="s">
        <v>1303</v>
      </c>
      <c r="J54" s="20"/>
      <c r="K54" s="20"/>
      <c r="L54" s="20"/>
      <c r="M54" s="20"/>
      <c r="N54" s="20"/>
      <c r="O54" s="20"/>
      <c r="P54" s="20"/>
      <c r="Q54" s="204"/>
      <c r="R54" s="17" t="s">
        <v>1302</v>
      </c>
      <c r="S54" s="20"/>
      <c r="T54" s="20"/>
      <c r="U54" s="20"/>
      <c r="V54" s="20"/>
      <c r="W54" s="20"/>
      <c r="X54" s="203"/>
      <c r="Y54" s="589" t="s">
        <v>141</v>
      </c>
      <c r="Z54" s="636"/>
      <c r="AA54" s="591" t="s">
        <v>1285</v>
      </c>
      <c r="AB54" s="592"/>
      <c r="AC54" s="593"/>
      <c r="AD54" s="23">
        <v>10</v>
      </c>
      <c r="AE54" s="25"/>
      <c r="AF54" s="25"/>
      <c r="AG54" s="25"/>
      <c r="AH54" s="25"/>
      <c r="AI54" s="25"/>
      <c r="AJ54" s="25"/>
      <c r="AK54" s="25"/>
      <c r="AL54" s="25"/>
      <c r="AM54" s="25"/>
      <c r="AN54" s="25"/>
      <c r="AO54" s="25"/>
      <c r="AP54" s="25"/>
      <c r="AQ54" s="25"/>
      <c r="AR54" s="25"/>
      <c r="AS54" s="26"/>
      <c r="AT54" s="51"/>
      <c r="AU54" s="51"/>
      <c r="AV54" s="51"/>
      <c r="AW54" s="51"/>
      <c r="AX54" s="51"/>
      <c r="AY54" s="51"/>
      <c r="AZ54" s="51"/>
      <c r="BA54" s="51"/>
      <c r="BB54" s="51"/>
      <c r="BC54" s="51"/>
      <c r="BD54" s="52"/>
    </row>
    <row r="55" spans="1:57" ht="14.4" customHeight="1">
      <c r="A55" s="37">
        <f>IF(B55="","",COUNTA($B$8:B55))</f>
        <v>47</v>
      </c>
      <c r="B55" s="17" t="s">
        <v>543</v>
      </c>
      <c r="C55" s="18"/>
      <c r="D55" s="18"/>
      <c r="E55" s="18"/>
      <c r="F55" s="18"/>
      <c r="G55" s="18"/>
      <c r="H55" s="203"/>
      <c r="I55" s="26" t="s">
        <v>1303</v>
      </c>
      <c r="J55" s="20"/>
      <c r="K55" s="20"/>
      <c r="L55" s="20"/>
      <c r="M55" s="20"/>
      <c r="N55" s="20"/>
      <c r="O55" s="20"/>
      <c r="P55" s="20"/>
      <c r="Q55" s="204"/>
      <c r="R55" s="17" t="s">
        <v>543</v>
      </c>
      <c r="S55" s="20"/>
      <c r="T55" s="20"/>
      <c r="U55" s="20"/>
      <c r="V55" s="20"/>
      <c r="W55" s="20"/>
      <c r="X55" s="203"/>
      <c r="Y55" s="589" t="s">
        <v>141</v>
      </c>
      <c r="Z55" s="636"/>
      <c r="AA55" s="591" t="s">
        <v>1285</v>
      </c>
      <c r="AB55" s="592"/>
      <c r="AC55" s="593"/>
      <c r="AD55" s="23">
        <v>10</v>
      </c>
      <c r="AE55" s="25"/>
      <c r="AF55" s="25"/>
      <c r="AG55" s="25"/>
      <c r="AH55" s="25"/>
      <c r="AI55" s="25"/>
      <c r="AJ55" s="25"/>
      <c r="AK55" s="25"/>
      <c r="AL55" s="25"/>
      <c r="AM55" s="25"/>
      <c r="AN55" s="25"/>
      <c r="AO55" s="25"/>
      <c r="AP55" s="25"/>
      <c r="AQ55" s="25"/>
      <c r="AR55" s="25"/>
      <c r="AS55" s="26"/>
      <c r="AT55" s="51"/>
      <c r="AU55" s="51"/>
      <c r="AV55" s="51"/>
      <c r="AW55" s="51"/>
      <c r="AX55" s="51"/>
      <c r="AY55" s="51"/>
      <c r="AZ55" s="51"/>
      <c r="BA55" s="51"/>
      <c r="BB55" s="51"/>
      <c r="BC55" s="51"/>
      <c r="BD55" s="52"/>
    </row>
    <row r="56" spans="1:57" ht="14.4" customHeight="1">
      <c r="A56" s="37">
        <f>IF(B56="","",COUNTA($B$8:B56))</f>
        <v>48</v>
      </c>
      <c r="B56" s="17" t="s">
        <v>547</v>
      </c>
      <c r="C56" s="18"/>
      <c r="D56" s="18"/>
      <c r="E56" s="18"/>
      <c r="F56" s="18"/>
      <c r="G56" s="18"/>
      <c r="H56" s="203"/>
      <c r="I56" s="26" t="s">
        <v>1304</v>
      </c>
      <c r="J56" s="20"/>
      <c r="K56" s="20"/>
      <c r="L56" s="20"/>
      <c r="M56" s="20"/>
      <c r="N56" s="20"/>
      <c r="O56" s="20"/>
      <c r="P56" s="20"/>
      <c r="Q56" s="204"/>
      <c r="R56" s="17" t="s">
        <v>547</v>
      </c>
      <c r="S56" s="20"/>
      <c r="T56" s="20"/>
      <c r="U56" s="20"/>
      <c r="V56" s="20"/>
      <c r="W56" s="20"/>
      <c r="X56" s="203"/>
      <c r="Y56" s="589" t="s">
        <v>1286</v>
      </c>
      <c r="Z56" s="636"/>
      <c r="AA56" s="591" t="s">
        <v>1305</v>
      </c>
      <c r="AB56" s="592"/>
      <c r="AC56" s="593"/>
      <c r="AD56" s="205"/>
      <c r="AE56" s="25"/>
      <c r="AF56" s="25"/>
      <c r="AG56" s="25"/>
      <c r="AH56" s="25"/>
      <c r="AI56" s="25"/>
      <c r="AJ56" s="25"/>
      <c r="AK56" s="25"/>
      <c r="AL56" s="25"/>
      <c r="AM56" s="25"/>
      <c r="AN56" s="25"/>
      <c r="AO56" s="25"/>
      <c r="AP56" s="25"/>
      <c r="AQ56" s="25"/>
      <c r="AR56" s="25"/>
      <c r="AS56" s="26"/>
      <c r="AT56" s="51"/>
      <c r="AU56" s="51"/>
      <c r="AV56" s="51"/>
      <c r="AW56" s="51"/>
      <c r="AX56" s="51"/>
      <c r="AY56" s="51"/>
      <c r="AZ56" s="51"/>
      <c r="BA56" s="51"/>
      <c r="BB56" s="51"/>
      <c r="BC56" s="51"/>
      <c r="BD56" s="52"/>
    </row>
    <row r="57" spans="1:57" ht="14.4" customHeight="1">
      <c r="A57" s="37">
        <f>IF(B57="","",COUNTA($B$8:B57))</f>
        <v>49</v>
      </c>
      <c r="B57" s="17" t="s">
        <v>1306</v>
      </c>
      <c r="C57" s="18"/>
      <c r="D57" s="18"/>
      <c r="E57" s="18"/>
      <c r="F57" s="18"/>
      <c r="G57" s="18"/>
      <c r="H57" s="203"/>
      <c r="I57" s="26" t="s">
        <v>1307</v>
      </c>
      <c r="J57" s="20"/>
      <c r="K57" s="20"/>
      <c r="L57" s="20"/>
      <c r="M57" s="20"/>
      <c r="N57" s="20"/>
      <c r="O57" s="20"/>
      <c r="P57" s="20"/>
      <c r="Q57" s="204"/>
      <c r="R57" s="17" t="s">
        <v>1306</v>
      </c>
      <c r="S57" s="20"/>
      <c r="T57" s="20"/>
      <c r="U57" s="20"/>
      <c r="V57" s="20"/>
      <c r="W57" s="20"/>
      <c r="X57" s="203"/>
      <c r="Y57" s="589" t="s">
        <v>141</v>
      </c>
      <c r="Z57" s="636"/>
      <c r="AA57" s="591" t="s">
        <v>1285</v>
      </c>
      <c r="AB57" s="592"/>
      <c r="AC57" s="593"/>
      <c r="AD57" s="23">
        <v>10</v>
      </c>
      <c r="AE57" s="25"/>
      <c r="AF57" s="25"/>
      <c r="AG57" s="25"/>
      <c r="AH57" s="25"/>
      <c r="AI57" s="25"/>
      <c r="AJ57" s="25"/>
      <c r="AK57" s="25"/>
      <c r="AL57" s="25"/>
      <c r="AM57" s="25"/>
      <c r="AN57" s="25"/>
      <c r="AO57" s="25"/>
      <c r="AP57" s="25"/>
      <c r="AQ57" s="25"/>
      <c r="AR57" s="25"/>
      <c r="AS57" s="26"/>
      <c r="AT57" s="51"/>
      <c r="AU57" s="51"/>
      <c r="AV57" s="51"/>
      <c r="AW57" s="51"/>
      <c r="AX57" s="51"/>
      <c r="AY57" s="51"/>
      <c r="AZ57" s="51"/>
      <c r="BA57" s="51"/>
      <c r="BB57" s="51"/>
      <c r="BC57" s="51"/>
      <c r="BD57" s="52"/>
    </row>
    <row r="58" spans="1:57" ht="14.4" customHeight="1">
      <c r="A58" s="37">
        <f>IF(B58="","",COUNTA($B$8:B58))</f>
        <v>50</v>
      </c>
      <c r="B58" s="17" t="s">
        <v>389</v>
      </c>
      <c r="C58" s="18"/>
      <c r="D58" s="18"/>
      <c r="E58" s="18"/>
      <c r="F58" s="18"/>
      <c r="G58" s="18"/>
      <c r="H58" s="203"/>
      <c r="I58" s="26" t="s">
        <v>1308</v>
      </c>
      <c r="J58" s="20"/>
      <c r="K58" s="20"/>
      <c r="L58" s="20"/>
      <c r="M58" s="20"/>
      <c r="N58" s="20"/>
      <c r="O58" s="20"/>
      <c r="P58" s="20"/>
      <c r="Q58" s="204"/>
      <c r="R58" s="17" t="s">
        <v>389</v>
      </c>
      <c r="S58" s="20"/>
      <c r="T58" s="20"/>
      <c r="U58" s="20"/>
      <c r="V58" s="20"/>
      <c r="W58" s="20"/>
      <c r="X58" s="203"/>
      <c r="Y58" s="589" t="s">
        <v>141</v>
      </c>
      <c r="Z58" s="636"/>
      <c r="AA58" s="591" t="s">
        <v>1285</v>
      </c>
      <c r="AB58" s="592"/>
      <c r="AC58" s="593"/>
      <c r="AD58" s="205">
        <v>10</v>
      </c>
      <c r="AE58" s="30" t="s">
        <v>1585</v>
      </c>
      <c r="AF58" s="30"/>
      <c r="AG58" s="30"/>
      <c r="AH58" s="30"/>
      <c r="AI58" s="30"/>
      <c r="AJ58" s="30"/>
      <c r="AK58" s="30"/>
      <c r="AL58" s="30"/>
      <c r="AM58" s="30"/>
      <c r="AN58" s="30"/>
      <c r="AO58" s="31"/>
      <c r="AP58" s="31"/>
      <c r="AQ58" s="31"/>
      <c r="AR58" s="31"/>
      <c r="AS58" s="32"/>
      <c r="AT58" s="33"/>
      <c r="AU58" s="51"/>
      <c r="AV58" s="51"/>
      <c r="AW58" s="51"/>
      <c r="AX58" s="51"/>
      <c r="AY58" s="51"/>
      <c r="AZ58" s="51"/>
      <c r="BA58" s="51"/>
      <c r="BB58" s="51"/>
      <c r="BC58" s="51"/>
      <c r="BD58" s="52"/>
    </row>
    <row r="59" spans="1:57" ht="14.4" customHeight="1">
      <c r="A59" s="37">
        <f>IF(B59="","",COUNTA($B$8:B59))</f>
        <v>51</v>
      </c>
      <c r="B59" s="17" t="s">
        <v>393</v>
      </c>
      <c r="C59" s="18"/>
      <c r="D59" s="18"/>
      <c r="E59" s="18"/>
      <c r="F59" s="18"/>
      <c r="G59" s="18"/>
      <c r="H59" s="203"/>
      <c r="I59" s="26" t="s">
        <v>1309</v>
      </c>
      <c r="J59" s="20"/>
      <c r="K59" s="20"/>
      <c r="L59" s="20"/>
      <c r="M59" s="20"/>
      <c r="N59" s="20"/>
      <c r="O59" s="20"/>
      <c r="P59" s="20"/>
      <c r="Q59" s="204"/>
      <c r="R59" s="19" t="s">
        <v>393</v>
      </c>
      <c r="S59" s="20"/>
      <c r="T59" s="20"/>
      <c r="U59" s="20"/>
      <c r="V59" s="20"/>
      <c r="W59" s="20"/>
      <c r="X59" s="203"/>
      <c r="Y59" s="589" t="s">
        <v>1286</v>
      </c>
      <c r="Z59" s="636"/>
      <c r="AA59" s="591" t="s">
        <v>1305</v>
      </c>
      <c r="AB59" s="592"/>
      <c r="AC59" s="593"/>
      <c r="AD59" s="205"/>
      <c r="AE59" s="30" t="s">
        <v>1585</v>
      </c>
      <c r="AF59" s="30"/>
      <c r="AG59" s="30"/>
      <c r="AH59" s="30"/>
      <c r="AI59" s="30"/>
      <c r="AJ59" s="30"/>
      <c r="AK59" s="30"/>
      <c r="AL59" s="30"/>
      <c r="AM59" s="30"/>
      <c r="AN59" s="30"/>
      <c r="AO59" s="31"/>
      <c r="AP59" s="31"/>
      <c r="AQ59" s="31"/>
      <c r="AR59" s="31"/>
      <c r="AS59" s="32"/>
      <c r="AT59" s="33"/>
      <c r="AU59" s="51"/>
      <c r="AV59" s="51"/>
      <c r="AW59" s="51"/>
      <c r="AX59" s="51"/>
      <c r="AY59" s="51"/>
      <c r="AZ59" s="51"/>
      <c r="BA59" s="51"/>
      <c r="BB59" s="51"/>
      <c r="BC59" s="51"/>
      <c r="BD59" s="52"/>
    </row>
    <row r="60" spans="1:57" ht="14.4" customHeight="1">
      <c r="A60" s="37" t="str">
        <f>IF(B60="","",COUNTA($B$8:B60))</f>
        <v/>
      </c>
      <c r="B60" s="17"/>
      <c r="C60" s="18"/>
      <c r="D60" s="18"/>
      <c r="E60" s="18"/>
      <c r="F60" s="18"/>
      <c r="G60" s="18"/>
      <c r="H60" s="18"/>
      <c r="I60" s="19"/>
      <c r="J60" s="20"/>
      <c r="K60" s="20"/>
      <c r="L60" s="20"/>
      <c r="M60" s="20"/>
      <c r="N60" s="20"/>
      <c r="O60" s="20"/>
      <c r="P60" s="20"/>
      <c r="Q60" s="20"/>
      <c r="R60" s="17"/>
      <c r="S60" s="18"/>
      <c r="T60" s="18"/>
      <c r="U60" s="18"/>
      <c r="V60" s="18"/>
      <c r="W60" s="18"/>
      <c r="X60" s="18"/>
      <c r="Y60" s="17"/>
      <c r="Z60" s="28"/>
      <c r="AA60" s="21"/>
      <c r="AB60" s="22"/>
      <c r="AC60" s="29"/>
      <c r="AD60" s="38"/>
      <c r="AE60" s="30"/>
      <c r="AF60" s="30"/>
      <c r="AG60" s="30"/>
      <c r="AH60" s="30"/>
      <c r="AI60" s="30"/>
      <c r="AJ60" s="30"/>
      <c r="AK60" s="30"/>
      <c r="AL60" s="30"/>
      <c r="AM60" s="30"/>
      <c r="AN60" s="30"/>
      <c r="AO60" s="31"/>
      <c r="AP60" s="31"/>
      <c r="AQ60" s="31"/>
      <c r="AR60" s="31"/>
      <c r="AS60" s="32"/>
      <c r="AT60" s="33"/>
      <c r="AU60" s="51"/>
      <c r="AV60" s="51"/>
      <c r="AW60" s="51"/>
      <c r="AX60" s="51"/>
      <c r="AY60" s="51"/>
      <c r="AZ60" s="51"/>
      <c r="BA60" s="51"/>
      <c r="BB60" s="51"/>
      <c r="BC60" s="51"/>
      <c r="BD60" s="52"/>
    </row>
    <row r="61" spans="1:57" ht="14.4" customHeight="1">
      <c r="A61" s="37" t="str">
        <f>IF(B61="","",COUNTA($B$8:B61))</f>
        <v/>
      </c>
      <c r="B61" s="17"/>
      <c r="C61" s="18"/>
      <c r="D61" s="18"/>
      <c r="E61" s="18"/>
      <c r="F61" s="18"/>
      <c r="G61" s="18"/>
      <c r="H61" s="18"/>
      <c r="I61" s="19"/>
      <c r="J61" s="20"/>
      <c r="K61" s="20"/>
      <c r="L61" s="20"/>
      <c r="M61" s="20"/>
      <c r="N61" s="20"/>
      <c r="O61" s="20"/>
      <c r="P61" s="20"/>
      <c r="Q61" s="20"/>
      <c r="R61" s="17"/>
      <c r="S61" s="18"/>
      <c r="T61" s="18"/>
      <c r="U61" s="18"/>
      <c r="V61" s="18"/>
      <c r="W61" s="18"/>
      <c r="X61" s="18"/>
      <c r="Y61" s="17"/>
      <c r="Z61" s="28"/>
      <c r="AA61" s="21"/>
      <c r="AB61" s="22"/>
      <c r="AC61" s="29"/>
      <c r="AD61" s="38"/>
      <c r="AE61" s="30"/>
      <c r="AF61" s="30"/>
      <c r="AG61" s="30"/>
      <c r="AH61" s="30"/>
      <c r="AI61" s="30"/>
      <c r="AJ61" s="30"/>
      <c r="AK61" s="30"/>
      <c r="AL61" s="30"/>
      <c r="AM61" s="30"/>
      <c r="AN61" s="30"/>
      <c r="AO61" s="31"/>
      <c r="AP61" s="31"/>
      <c r="AQ61" s="31"/>
      <c r="AR61" s="31"/>
      <c r="AS61" s="32"/>
      <c r="AT61" s="33"/>
      <c r="AU61" s="51"/>
      <c r="AV61" s="51"/>
      <c r="AW61" s="51"/>
      <c r="AX61" s="51"/>
      <c r="AY61" s="51"/>
      <c r="AZ61" s="51"/>
      <c r="BA61" s="51"/>
      <c r="BB61" s="51"/>
      <c r="BC61" s="51"/>
      <c r="BD61" s="52"/>
    </row>
    <row r="62" spans="1:57" ht="14.4" customHeight="1">
      <c r="A62" s="37" t="str">
        <f>IF(B62="","",COUNTA($B$8:B62))</f>
        <v/>
      </c>
      <c r="B62" s="17"/>
      <c r="C62" s="18"/>
      <c r="D62" s="18"/>
      <c r="E62" s="18"/>
      <c r="F62" s="18"/>
      <c r="G62" s="18"/>
      <c r="H62" s="18"/>
      <c r="I62" s="19"/>
      <c r="J62" s="20"/>
      <c r="K62" s="20"/>
      <c r="L62" s="20"/>
      <c r="M62" s="20"/>
      <c r="N62" s="20"/>
      <c r="O62" s="20"/>
      <c r="P62" s="20"/>
      <c r="Q62" s="20"/>
      <c r="R62" s="17"/>
      <c r="S62" s="18"/>
      <c r="T62" s="18"/>
      <c r="U62" s="18"/>
      <c r="V62" s="18"/>
      <c r="W62" s="18"/>
      <c r="X62" s="18"/>
      <c r="Y62" s="17"/>
      <c r="Z62" s="28"/>
      <c r="AA62" s="21"/>
      <c r="AB62" s="22"/>
      <c r="AC62" s="29"/>
      <c r="AD62" s="38"/>
      <c r="AE62" s="30"/>
      <c r="AF62" s="30"/>
      <c r="AG62" s="30"/>
      <c r="AH62" s="30"/>
      <c r="AI62" s="30"/>
      <c r="AJ62" s="30"/>
      <c r="AK62" s="30"/>
      <c r="AL62" s="30"/>
      <c r="AM62" s="30"/>
      <c r="AN62" s="30"/>
      <c r="AO62" s="31"/>
      <c r="AP62" s="31"/>
      <c r="AQ62" s="31"/>
      <c r="AR62" s="31"/>
      <c r="AS62" s="32"/>
      <c r="AT62" s="33"/>
      <c r="AU62" s="51"/>
      <c r="AV62" s="51"/>
      <c r="AW62" s="51"/>
      <c r="AX62" s="51"/>
      <c r="AY62" s="51"/>
      <c r="AZ62" s="51"/>
      <c r="BA62" s="51"/>
      <c r="BB62" s="51"/>
      <c r="BC62" s="51"/>
      <c r="BD62" s="52"/>
    </row>
    <row r="63" spans="1:57" ht="14.4" customHeight="1">
      <c r="A63" s="37" t="str">
        <f>IF(B63="","",COUNTA($B$8:B63))</f>
        <v/>
      </c>
      <c r="B63" s="17"/>
      <c r="C63" s="18"/>
      <c r="D63" s="18"/>
      <c r="E63" s="18"/>
      <c r="F63" s="18"/>
      <c r="G63" s="18"/>
      <c r="H63" s="18"/>
      <c r="I63" s="19"/>
      <c r="J63" s="20"/>
      <c r="K63" s="20"/>
      <c r="L63" s="20"/>
      <c r="M63" s="20"/>
      <c r="N63" s="20"/>
      <c r="O63" s="20"/>
      <c r="P63" s="20"/>
      <c r="Q63" s="20"/>
      <c r="R63" s="17"/>
      <c r="S63" s="18"/>
      <c r="T63" s="18"/>
      <c r="U63" s="18"/>
      <c r="V63" s="18"/>
      <c r="W63" s="18"/>
      <c r="X63" s="18"/>
      <c r="Y63" s="17"/>
      <c r="Z63" s="28"/>
      <c r="AA63" s="21"/>
      <c r="AB63" s="22"/>
      <c r="AC63" s="29"/>
      <c r="AD63" s="38"/>
      <c r="AE63" s="30"/>
      <c r="AF63" s="30"/>
      <c r="AG63" s="30"/>
      <c r="AH63" s="30"/>
      <c r="AI63" s="30"/>
      <c r="AJ63" s="30"/>
      <c r="AK63" s="30"/>
      <c r="AL63" s="30"/>
      <c r="AM63" s="30"/>
      <c r="AN63" s="30"/>
      <c r="AO63" s="31"/>
      <c r="AP63" s="31"/>
      <c r="AQ63" s="31"/>
      <c r="AR63" s="31"/>
      <c r="AS63" s="32"/>
      <c r="AT63" s="33"/>
      <c r="AU63" s="51"/>
      <c r="AV63" s="51"/>
      <c r="AW63" s="51"/>
      <c r="AX63" s="51"/>
      <c r="AY63" s="51"/>
      <c r="AZ63" s="51"/>
      <c r="BA63" s="51"/>
      <c r="BB63" s="51"/>
      <c r="BC63" s="51"/>
      <c r="BD63" s="52"/>
    </row>
    <row r="64" spans="1:57" ht="14.4" customHeight="1">
      <c r="A64" s="37" t="str">
        <f>IF(B64="","",COUNTA($B$8:B64))</f>
        <v/>
      </c>
      <c r="B64" s="17"/>
      <c r="C64" s="18"/>
      <c r="D64" s="18"/>
      <c r="E64" s="18"/>
      <c r="F64" s="18"/>
      <c r="G64" s="18"/>
      <c r="H64" s="18"/>
      <c r="I64" s="19"/>
      <c r="J64" s="20"/>
      <c r="K64" s="20"/>
      <c r="L64" s="20"/>
      <c r="M64" s="20"/>
      <c r="N64" s="20"/>
      <c r="O64" s="20"/>
      <c r="P64" s="20"/>
      <c r="Q64" s="20"/>
      <c r="R64" s="17"/>
      <c r="S64" s="18"/>
      <c r="T64" s="18"/>
      <c r="U64" s="18"/>
      <c r="V64" s="18"/>
      <c r="W64" s="18"/>
      <c r="X64" s="18"/>
      <c r="Y64" s="17"/>
      <c r="Z64" s="28"/>
      <c r="AA64" s="21"/>
      <c r="AB64" s="22"/>
      <c r="AC64" s="29"/>
      <c r="AD64" s="38"/>
      <c r="AE64" s="30"/>
      <c r="AF64" s="30"/>
      <c r="AG64" s="30"/>
      <c r="AH64" s="30"/>
      <c r="AI64" s="30"/>
      <c r="AJ64" s="30"/>
      <c r="AK64" s="30"/>
      <c r="AL64" s="30"/>
      <c r="AM64" s="30"/>
      <c r="AN64" s="30"/>
      <c r="AO64" s="31"/>
      <c r="AP64" s="31"/>
      <c r="AQ64" s="31"/>
      <c r="AR64" s="31"/>
      <c r="AS64" s="32"/>
      <c r="AT64" s="33"/>
      <c r="AU64" s="51"/>
      <c r="AV64" s="51"/>
      <c r="AW64" s="51"/>
      <c r="AX64" s="51"/>
      <c r="AY64" s="51"/>
      <c r="AZ64" s="51"/>
      <c r="BA64" s="51"/>
      <c r="BB64" s="51"/>
      <c r="BC64" s="51"/>
      <c r="BD64" s="52"/>
    </row>
    <row r="65" spans="1:56" ht="14.4" customHeight="1">
      <c r="A65" s="37" t="str">
        <f>IF(B65="","",COUNTA($B$8:B65))</f>
        <v/>
      </c>
      <c r="B65" s="17"/>
      <c r="C65" s="18"/>
      <c r="D65" s="18"/>
      <c r="E65" s="18"/>
      <c r="F65" s="18"/>
      <c r="G65" s="18"/>
      <c r="H65" s="18"/>
      <c r="I65" s="19"/>
      <c r="J65" s="20"/>
      <c r="K65" s="20"/>
      <c r="L65" s="20"/>
      <c r="M65" s="20"/>
      <c r="N65" s="20"/>
      <c r="O65" s="20"/>
      <c r="P65" s="20"/>
      <c r="Q65" s="20"/>
      <c r="R65" s="17"/>
      <c r="S65" s="18"/>
      <c r="T65" s="18"/>
      <c r="U65" s="18"/>
      <c r="V65" s="18"/>
      <c r="W65" s="18"/>
      <c r="X65" s="18"/>
      <c r="Y65" s="17"/>
      <c r="Z65" s="28"/>
      <c r="AA65" s="21"/>
      <c r="AB65" s="22"/>
      <c r="AC65" s="29"/>
      <c r="AD65" s="38"/>
      <c r="AE65" s="30"/>
      <c r="AF65" s="30"/>
      <c r="AG65" s="30"/>
      <c r="AH65" s="30"/>
      <c r="AI65" s="30"/>
      <c r="AJ65" s="30"/>
      <c r="AK65" s="30"/>
      <c r="AL65" s="30"/>
      <c r="AM65" s="30"/>
      <c r="AN65" s="30"/>
      <c r="AO65" s="31"/>
      <c r="AP65" s="31"/>
      <c r="AQ65" s="31"/>
      <c r="AR65" s="31"/>
      <c r="AS65" s="32"/>
      <c r="AT65" s="33"/>
      <c r="AU65" s="51"/>
      <c r="AV65" s="51"/>
      <c r="AW65" s="51"/>
      <c r="AX65" s="51"/>
      <c r="AY65" s="51"/>
      <c r="AZ65" s="51"/>
      <c r="BA65" s="51"/>
      <c r="BB65" s="51"/>
      <c r="BC65" s="51"/>
      <c r="BD65" s="52"/>
    </row>
    <row r="66" spans="1:56" ht="14.4" customHeight="1">
      <c r="A66" s="37" t="str">
        <f>IF(B66="","",COUNTA($B$8:B66))</f>
        <v/>
      </c>
      <c r="B66" s="17"/>
      <c r="C66" s="18"/>
      <c r="D66" s="18"/>
      <c r="E66" s="18"/>
      <c r="F66" s="18"/>
      <c r="G66" s="18"/>
      <c r="H66" s="18"/>
      <c r="I66" s="19"/>
      <c r="J66" s="20"/>
      <c r="K66" s="20"/>
      <c r="L66" s="20"/>
      <c r="M66" s="20"/>
      <c r="N66" s="20"/>
      <c r="O66" s="20"/>
      <c r="P66" s="20"/>
      <c r="Q66" s="20"/>
      <c r="R66" s="17"/>
      <c r="S66" s="18"/>
      <c r="T66" s="18"/>
      <c r="U66" s="18"/>
      <c r="V66" s="18"/>
      <c r="W66" s="18"/>
      <c r="X66" s="18"/>
      <c r="Y66" s="17"/>
      <c r="Z66" s="28"/>
      <c r="AA66" s="21"/>
      <c r="AB66" s="22"/>
      <c r="AC66" s="29"/>
      <c r="AD66" s="38"/>
      <c r="AE66" s="30"/>
      <c r="AF66" s="30"/>
      <c r="AG66" s="30"/>
      <c r="AH66" s="30"/>
      <c r="AI66" s="30"/>
      <c r="AJ66" s="30"/>
      <c r="AK66" s="30"/>
      <c r="AL66" s="30"/>
      <c r="AM66" s="30"/>
      <c r="AN66" s="30"/>
      <c r="AO66" s="31"/>
      <c r="AP66" s="31"/>
      <c r="AQ66" s="31"/>
      <c r="AR66" s="31"/>
      <c r="AS66" s="32"/>
      <c r="AT66" s="33"/>
      <c r="AU66" s="51"/>
      <c r="AV66" s="51"/>
      <c r="AW66" s="51"/>
      <c r="AX66" s="51"/>
      <c r="AY66" s="51"/>
      <c r="AZ66" s="51"/>
      <c r="BA66" s="51"/>
      <c r="BB66" s="51"/>
      <c r="BC66" s="51"/>
      <c r="BD66" s="52"/>
    </row>
    <row r="67" spans="1:56" ht="14.4" customHeight="1">
      <c r="A67" s="37" t="str">
        <f>IF(B67="","",COUNTA($B$8:B67))</f>
        <v/>
      </c>
      <c r="B67" s="26"/>
      <c r="C67" s="34"/>
      <c r="D67" s="34"/>
      <c r="E67" s="34"/>
      <c r="F67" s="34"/>
      <c r="G67" s="34"/>
      <c r="H67" s="34"/>
      <c r="I67" s="19"/>
      <c r="J67" s="27"/>
      <c r="K67" s="27"/>
      <c r="L67" s="27"/>
      <c r="M67" s="27"/>
      <c r="N67" s="27"/>
      <c r="O67" s="27"/>
      <c r="P67" s="27"/>
      <c r="Q67" s="27"/>
      <c r="R67" s="26"/>
      <c r="S67" s="34"/>
      <c r="T67" s="34"/>
      <c r="U67" s="34"/>
      <c r="V67" s="34"/>
      <c r="W67" s="34"/>
      <c r="X67" s="34"/>
      <c r="Y67" s="589"/>
      <c r="Z67" s="590"/>
      <c r="AA67" s="591"/>
      <c r="AB67" s="592"/>
      <c r="AC67" s="593"/>
      <c r="AD67" s="38"/>
      <c r="AE67" s="25"/>
      <c r="AF67" s="25"/>
      <c r="AG67" s="25"/>
      <c r="AH67" s="25"/>
      <c r="AI67" s="25"/>
      <c r="AJ67" s="25"/>
      <c r="AK67" s="25"/>
      <c r="AL67" s="25"/>
      <c r="AM67" s="25"/>
      <c r="AN67" s="25"/>
      <c r="AO67" s="25"/>
      <c r="AP67" s="25"/>
      <c r="AQ67" s="25"/>
      <c r="AR67" s="25"/>
      <c r="AS67" s="26"/>
      <c r="AT67" s="51"/>
      <c r="AU67" s="51"/>
      <c r="AV67" s="51"/>
      <c r="AW67" s="51"/>
      <c r="AX67" s="51"/>
      <c r="AY67" s="51"/>
      <c r="AZ67" s="51"/>
      <c r="BA67" s="51"/>
      <c r="BB67" s="51"/>
      <c r="BC67" s="51"/>
      <c r="BD67" s="52"/>
    </row>
    <row r="68" spans="1:56" ht="14.4" customHeight="1">
      <c r="A68" s="37" t="str">
        <f>IF(B68="","",COUNTA($B$8:B68))</f>
        <v/>
      </c>
      <c r="B68" s="26"/>
      <c r="C68" s="34"/>
      <c r="D68" s="34"/>
      <c r="E68" s="34"/>
      <c r="F68" s="34"/>
      <c r="G68" s="34"/>
      <c r="H68" s="34"/>
      <c r="I68" s="19"/>
      <c r="J68" s="27"/>
      <c r="K68" s="27"/>
      <c r="L68" s="27"/>
      <c r="M68" s="27"/>
      <c r="N68" s="27"/>
      <c r="O68" s="27"/>
      <c r="P68" s="27"/>
      <c r="Q68" s="27"/>
      <c r="R68" s="26"/>
      <c r="S68" s="34"/>
      <c r="T68" s="34"/>
      <c r="U68" s="34"/>
      <c r="V68" s="34"/>
      <c r="W68" s="34"/>
      <c r="X68" s="34"/>
      <c r="Y68" s="589"/>
      <c r="Z68" s="590"/>
      <c r="AA68" s="591"/>
      <c r="AB68" s="592"/>
      <c r="AC68" s="593"/>
      <c r="AD68" s="38"/>
      <c r="AE68" s="25"/>
      <c r="AF68" s="25"/>
      <c r="AG68" s="25"/>
      <c r="AH68" s="25"/>
      <c r="AI68" s="25"/>
      <c r="AJ68" s="25"/>
      <c r="AK68" s="25"/>
      <c r="AL68" s="25"/>
      <c r="AM68" s="25"/>
      <c r="AN68" s="25"/>
      <c r="AO68" s="25"/>
      <c r="AP68" s="25"/>
      <c r="AQ68" s="25"/>
      <c r="AR68" s="25"/>
      <c r="AS68" s="26"/>
      <c r="AT68" s="51"/>
      <c r="AU68" s="51"/>
      <c r="AV68" s="51"/>
      <c r="AW68" s="51"/>
      <c r="AX68" s="51"/>
      <c r="AY68" s="51"/>
      <c r="AZ68" s="51"/>
      <c r="BA68" s="51"/>
      <c r="BB68" s="51"/>
      <c r="BC68" s="51"/>
      <c r="BD68" s="52"/>
    </row>
    <row r="69" spans="1:56" ht="14.4" customHeight="1">
      <c r="A69" s="37" t="str">
        <f>IF(B69="","",COUNTA($B$8:B69))</f>
        <v/>
      </c>
      <c r="B69" s="26"/>
      <c r="C69" s="34"/>
      <c r="D69" s="34"/>
      <c r="E69" s="34"/>
      <c r="F69" s="34"/>
      <c r="G69" s="34"/>
      <c r="H69" s="34"/>
      <c r="I69" s="19"/>
      <c r="J69" s="27"/>
      <c r="K69" s="27"/>
      <c r="L69" s="27"/>
      <c r="M69" s="27"/>
      <c r="N69" s="27"/>
      <c r="O69" s="27"/>
      <c r="P69" s="27"/>
      <c r="Q69" s="27"/>
      <c r="R69" s="26"/>
      <c r="S69" s="34"/>
      <c r="T69" s="34"/>
      <c r="U69" s="34"/>
      <c r="V69" s="34"/>
      <c r="W69" s="34"/>
      <c r="X69" s="34"/>
      <c r="Y69" s="589"/>
      <c r="Z69" s="590"/>
      <c r="AA69" s="591"/>
      <c r="AB69" s="592"/>
      <c r="AC69" s="593"/>
      <c r="AD69" s="38"/>
      <c r="AE69" s="25"/>
      <c r="AF69" s="25"/>
      <c r="AG69" s="25"/>
      <c r="AH69" s="25"/>
      <c r="AI69" s="25"/>
      <c r="AJ69" s="25"/>
      <c r="AK69" s="25"/>
      <c r="AL69" s="25"/>
      <c r="AM69" s="25"/>
      <c r="AN69" s="25"/>
      <c r="AO69" s="25"/>
      <c r="AP69" s="25"/>
      <c r="AQ69" s="25"/>
      <c r="AR69" s="25"/>
      <c r="AS69" s="26"/>
      <c r="AT69" s="51"/>
      <c r="AU69" s="51"/>
      <c r="AV69" s="51"/>
      <c r="AW69" s="51"/>
      <c r="AX69" s="51"/>
      <c r="AY69" s="51"/>
      <c r="AZ69" s="51"/>
      <c r="BA69" s="51"/>
      <c r="BB69" s="51"/>
      <c r="BC69" s="51"/>
      <c r="BD69" s="52"/>
    </row>
    <row r="70" spans="1:56" ht="14.4" customHeight="1">
      <c r="A70" s="37" t="str">
        <f>IF(B70="","",COUNTA($B$8:B70))</f>
        <v/>
      </c>
      <c r="B70" s="26"/>
      <c r="C70" s="34"/>
      <c r="D70" s="34"/>
      <c r="E70" s="34"/>
      <c r="F70" s="34"/>
      <c r="G70" s="34"/>
      <c r="H70" s="34"/>
      <c r="I70" s="19"/>
      <c r="J70" s="27"/>
      <c r="K70" s="27"/>
      <c r="L70" s="27"/>
      <c r="M70" s="27"/>
      <c r="N70" s="27"/>
      <c r="O70" s="27"/>
      <c r="P70" s="27"/>
      <c r="Q70" s="27"/>
      <c r="R70" s="26"/>
      <c r="S70" s="34"/>
      <c r="T70" s="34"/>
      <c r="U70" s="34"/>
      <c r="V70" s="34"/>
      <c r="W70" s="34"/>
      <c r="X70" s="34"/>
      <c r="Y70" s="589"/>
      <c r="Z70" s="590"/>
      <c r="AA70" s="591"/>
      <c r="AB70" s="592"/>
      <c r="AC70" s="593"/>
      <c r="AD70" s="38"/>
      <c r="AE70" s="25"/>
      <c r="AF70" s="25"/>
      <c r="AG70" s="25"/>
      <c r="AH70" s="25"/>
      <c r="AI70" s="25"/>
      <c r="AJ70" s="25"/>
      <c r="AK70" s="25"/>
      <c r="AL70" s="25"/>
      <c r="AM70" s="25"/>
      <c r="AN70" s="25"/>
      <c r="AO70" s="25"/>
      <c r="AP70" s="25"/>
      <c r="AQ70" s="25"/>
      <c r="AR70" s="25"/>
      <c r="AS70" s="26"/>
      <c r="AT70" s="51"/>
      <c r="AU70" s="51"/>
      <c r="AV70" s="51"/>
      <c r="AW70" s="51"/>
      <c r="AX70" s="51"/>
      <c r="AY70" s="51"/>
      <c r="AZ70" s="51"/>
      <c r="BA70" s="51"/>
      <c r="BB70" s="51"/>
      <c r="BC70" s="51"/>
      <c r="BD70" s="52"/>
    </row>
    <row r="71" spans="1:56" ht="14.4" customHeight="1">
      <c r="A71" s="37" t="str">
        <f>IF(B71="","",COUNTA($B$8:B71))</f>
        <v/>
      </c>
      <c r="B71" s="26"/>
      <c r="C71" s="34"/>
      <c r="D71" s="34"/>
      <c r="E71" s="34"/>
      <c r="F71" s="34"/>
      <c r="G71" s="34"/>
      <c r="H71" s="34"/>
      <c r="I71" s="19"/>
      <c r="J71" s="27"/>
      <c r="K71" s="27"/>
      <c r="L71" s="27"/>
      <c r="M71" s="27"/>
      <c r="N71" s="27"/>
      <c r="O71" s="27"/>
      <c r="P71" s="27"/>
      <c r="Q71" s="27"/>
      <c r="R71" s="26"/>
      <c r="S71" s="34"/>
      <c r="T71" s="34"/>
      <c r="U71" s="34"/>
      <c r="V71" s="34"/>
      <c r="W71" s="34"/>
      <c r="X71" s="34"/>
      <c r="Y71" s="589"/>
      <c r="Z71" s="590"/>
      <c r="AA71" s="591"/>
      <c r="AB71" s="592"/>
      <c r="AC71" s="593"/>
      <c r="AD71" s="38"/>
      <c r="AE71" s="25"/>
      <c r="AF71" s="25"/>
      <c r="AG71" s="25"/>
      <c r="AH71" s="25"/>
      <c r="AI71" s="25"/>
      <c r="AJ71" s="25"/>
      <c r="AK71" s="25"/>
      <c r="AL71" s="25"/>
      <c r="AM71" s="25"/>
      <c r="AN71" s="25"/>
      <c r="AO71" s="25"/>
      <c r="AP71" s="25"/>
      <c r="AQ71" s="25"/>
      <c r="AR71" s="25"/>
      <c r="AS71" s="26"/>
      <c r="AT71" s="51"/>
      <c r="AU71" s="51"/>
      <c r="AV71" s="51"/>
      <c r="AW71" s="51"/>
      <c r="AX71" s="51"/>
      <c r="AY71" s="51"/>
      <c r="AZ71" s="51"/>
      <c r="BA71" s="51"/>
      <c r="BB71" s="51"/>
      <c r="BC71" s="51"/>
      <c r="BD71" s="52"/>
    </row>
    <row r="72" spans="1:56" ht="14.4" customHeight="1">
      <c r="A72" s="37" t="str">
        <f>IF(B72="","",COUNTA($B$8:B72))</f>
        <v/>
      </c>
      <c r="B72" s="26"/>
      <c r="C72" s="34"/>
      <c r="D72" s="34"/>
      <c r="E72" s="34"/>
      <c r="F72" s="34"/>
      <c r="G72" s="34"/>
      <c r="H72" s="34"/>
      <c r="I72" s="19"/>
      <c r="J72" s="27"/>
      <c r="K72" s="27"/>
      <c r="L72" s="27"/>
      <c r="M72" s="27"/>
      <c r="N72" s="27"/>
      <c r="O72" s="27"/>
      <c r="P72" s="27"/>
      <c r="Q72" s="27"/>
      <c r="R72" s="26"/>
      <c r="S72" s="34"/>
      <c r="T72" s="34"/>
      <c r="U72" s="34"/>
      <c r="V72" s="34"/>
      <c r="W72" s="34"/>
      <c r="X72" s="34"/>
      <c r="Y72" s="589"/>
      <c r="Z72" s="590"/>
      <c r="AA72" s="591"/>
      <c r="AB72" s="592"/>
      <c r="AC72" s="593"/>
      <c r="AD72" s="38"/>
      <c r="AE72" s="25"/>
      <c r="AF72" s="25"/>
      <c r="AG72" s="25"/>
      <c r="AH72" s="25"/>
      <c r="AI72" s="25"/>
      <c r="AJ72" s="25"/>
      <c r="AK72" s="25"/>
      <c r="AL72" s="25"/>
      <c r="AM72" s="25"/>
      <c r="AN72" s="25"/>
      <c r="AO72" s="25"/>
      <c r="AP72" s="25"/>
      <c r="AQ72" s="25"/>
      <c r="AR72" s="25"/>
      <c r="AS72" s="26"/>
      <c r="AT72" s="51"/>
      <c r="AU72" s="51"/>
      <c r="AV72" s="51"/>
      <c r="AW72" s="51"/>
      <c r="AX72" s="51"/>
      <c r="AY72" s="51"/>
      <c r="AZ72" s="51"/>
      <c r="BA72" s="51"/>
      <c r="BB72" s="51"/>
      <c r="BC72" s="51"/>
      <c r="BD72" s="52"/>
    </row>
    <row r="73" spans="1:56" ht="14.4" customHeight="1">
      <c r="A73" s="37" t="str">
        <f>IF(B73="","",COUNTA($B$8:B73))</f>
        <v/>
      </c>
      <c r="B73" s="26"/>
      <c r="C73" s="34"/>
      <c r="D73" s="34"/>
      <c r="E73" s="34"/>
      <c r="F73" s="34"/>
      <c r="G73" s="34"/>
      <c r="H73" s="34"/>
      <c r="I73" s="19"/>
      <c r="J73" s="27"/>
      <c r="K73" s="27"/>
      <c r="L73" s="27"/>
      <c r="M73" s="27"/>
      <c r="N73" s="27"/>
      <c r="O73" s="27"/>
      <c r="P73" s="27"/>
      <c r="Q73" s="27"/>
      <c r="R73" s="26"/>
      <c r="S73" s="34"/>
      <c r="T73" s="34"/>
      <c r="U73" s="34"/>
      <c r="V73" s="34"/>
      <c r="W73" s="34"/>
      <c r="X73" s="34"/>
      <c r="Y73" s="589"/>
      <c r="Z73" s="590"/>
      <c r="AA73" s="591"/>
      <c r="AB73" s="592"/>
      <c r="AC73" s="593"/>
      <c r="AD73" s="38"/>
      <c r="AE73" s="25"/>
      <c r="AF73" s="25"/>
      <c r="AG73" s="25"/>
      <c r="AH73" s="25"/>
      <c r="AI73" s="25"/>
      <c r="AJ73" s="25"/>
      <c r="AK73" s="25"/>
      <c r="AL73" s="25"/>
      <c r="AM73" s="25"/>
      <c r="AN73" s="25"/>
      <c r="AO73" s="25"/>
      <c r="AP73" s="25"/>
      <c r="AQ73" s="25"/>
      <c r="AR73" s="25"/>
      <c r="AS73" s="26"/>
      <c r="AT73" s="51"/>
      <c r="AU73" s="51"/>
      <c r="AV73" s="51"/>
      <c r="AW73" s="51"/>
      <c r="AX73" s="51"/>
      <c r="AY73" s="51"/>
      <c r="AZ73" s="51"/>
      <c r="BA73" s="51"/>
      <c r="BB73" s="51"/>
      <c r="BC73" s="51"/>
      <c r="BD73" s="52"/>
    </row>
    <row r="74" spans="1:56" ht="14.4" customHeight="1">
      <c r="A74" s="37" t="str">
        <f>IF(B74="","",COUNTA($B$8:B74))</f>
        <v/>
      </c>
      <c r="B74" s="26"/>
      <c r="C74" s="34"/>
      <c r="D74" s="34"/>
      <c r="E74" s="34"/>
      <c r="F74" s="34"/>
      <c r="G74" s="34"/>
      <c r="H74" s="34"/>
      <c r="I74" s="19"/>
      <c r="J74" s="27"/>
      <c r="K74" s="27"/>
      <c r="L74" s="27"/>
      <c r="M74" s="27"/>
      <c r="N74" s="27"/>
      <c r="O74" s="27"/>
      <c r="P74" s="27"/>
      <c r="Q74" s="27"/>
      <c r="R74" s="26"/>
      <c r="S74" s="34"/>
      <c r="T74" s="34"/>
      <c r="U74" s="34"/>
      <c r="V74" s="34"/>
      <c r="W74" s="34"/>
      <c r="X74" s="34"/>
      <c r="Y74" s="589"/>
      <c r="Z74" s="590"/>
      <c r="AA74" s="591"/>
      <c r="AB74" s="592"/>
      <c r="AC74" s="593"/>
      <c r="AD74" s="38"/>
      <c r="AE74" s="25"/>
      <c r="AF74" s="25"/>
      <c r="AG74" s="25"/>
      <c r="AH74" s="25"/>
      <c r="AI74" s="25"/>
      <c r="AJ74" s="25"/>
      <c r="AK74" s="25"/>
      <c r="AL74" s="25"/>
      <c r="AM74" s="25"/>
      <c r="AN74" s="25"/>
      <c r="AO74" s="25"/>
      <c r="AP74" s="25"/>
      <c r="AQ74" s="25"/>
      <c r="AR74" s="25"/>
      <c r="AS74" s="26"/>
      <c r="AT74" s="51"/>
      <c r="AU74" s="51"/>
      <c r="AV74" s="51"/>
      <c r="AW74" s="51"/>
      <c r="AX74" s="51"/>
      <c r="AY74" s="51"/>
      <c r="AZ74" s="51"/>
      <c r="BA74" s="51"/>
      <c r="BB74" s="51"/>
      <c r="BC74" s="51"/>
      <c r="BD74" s="52"/>
    </row>
    <row r="75" spans="1:56" ht="14.4" customHeight="1">
      <c r="A75" s="37" t="str">
        <f>IF(B75="","",COUNTA($B$8:B75))</f>
        <v/>
      </c>
      <c r="B75" s="26"/>
      <c r="C75" s="34"/>
      <c r="D75" s="34"/>
      <c r="E75" s="34"/>
      <c r="F75" s="34"/>
      <c r="G75" s="34"/>
      <c r="H75" s="34"/>
      <c r="I75" s="19"/>
      <c r="J75" s="27"/>
      <c r="K75" s="27"/>
      <c r="L75" s="27"/>
      <c r="M75" s="27"/>
      <c r="N75" s="27"/>
      <c r="O75" s="27"/>
      <c r="P75" s="27"/>
      <c r="Q75" s="27"/>
      <c r="R75" s="26"/>
      <c r="S75" s="34"/>
      <c r="T75" s="34"/>
      <c r="U75" s="34"/>
      <c r="V75" s="34"/>
      <c r="W75" s="34"/>
      <c r="X75" s="34"/>
      <c r="Y75" s="589"/>
      <c r="Z75" s="590"/>
      <c r="AA75" s="591"/>
      <c r="AB75" s="592"/>
      <c r="AC75" s="593"/>
      <c r="AD75" s="38"/>
      <c r="AE75" s="25"/>
      <c r="AF75" s="25"/>
      <c r="AG75" s="25"/>
      <c r="AH75" s="25"/>
      <c r="AI75" s="25"/>
      <c r="AJ75" s="25"/>
      <c r="AK75" s="25"/>
      <c r="AL75" s="25"/>
      <c r="AM75" s="25"/>
      <c r="AN75" s="25"/>
      <c r="AO75" s="25"/>
      <c r="AP75" s="25"/>
      <c r="AQ75" s="25"/>
      <c r="AR75" s="25"/>
      <c r="AS75" s="26"/>
      <c r="AT75" s="51"/>
      <c r="AU75" s="51"/>
      <c r="AV75" s="51"/>
      <c r="AW75" s="51"/>
      <c r="AX75" s="51"/>
      <c r="AY75" s="51"/>
      <c r="AZ75" s="51"/>
      <c r="BA75" s="51"/>
      <c r="BB75" s="51"/>
      <c r="BC75" s="51"/>
      <c r="BD75" s="52"/>
    </row>
    <row r="76" spans="1:56" ht="14.4" customHeight="1">
      <c r="A76" s="37" t="str">
        <f>IF(B76="","",COUNTA($B$8:B76))</f>
        <v/>
      </c>
      <c r="B76" s="26"/>
      <c r="C76" s="34"/>
      <c r="D76" s="34"/>
      <c r="E76" s="34"/>
      <c r="F76" s="34"/>
      <c r="G76" s="34"/>
      <c r="H76" s="34"/>
      <c r="I76" s="19"/>
      <c r="J76" s="27"/>
      <c r="K76" s="27"/>
      <c r="L76" s="27"/>
      <c r="M76" s="27"/>
      <c r="N76" s="27"/>
      <c r="O76" s="27"/>
      <c r="P76" s="27"/>
      <c r="Q76" s="27"/>
      <c r="R76" s="26"/>
      <c r="S76" s="34"/>
      <c r="T76" s="34"/>
      <c r="U76" s="34"/>
      <c r="V76" s="34"/>
      <c r="W76" s="34"/>
      <c r="X76" s="34"/>
      <c r="Y76" s="589"/>
      <c r="Z76" s="590"/>
      <c r="AA76" s="591"/>
      <c r="AB76" s="592"/>
      <c r="AC76" s="593"/>
      <c r="AD76" s="38"/>
      <c r="AE76" s="25"/>
      <c r="AF76" s="25"/>
      <c r="AG76" s="25"/>
      <c r="AH76" s="25"/>
      <c r="AI76" s="25"/>
      <c r="AJ76" s="25"/>
      <c r="AK76" s="25"/>
      <c r="AL76" s="25"/>
      <c r="AM76" s="25"/>
      <c r="AN76" s="25"/>
      <c r="AO76" s="25"/>
      <c r="AP76" s="25"/>
      <c r="AQ76" s="25"/>
      <c r="AR76" s="25"/>
      <c r="AS76" s="26"/>
      <c r="AT76" s="51"/>
      <c r="AU76" s="51"/>
      <c r="AV76" s="51"/>
      <c r="AW76" s="51"/>
      <c r="AX76" s="51"/>
      <c r="AY76" s="51"/>
      <c r="AZ76" s="51"/>
      <c r="BA76" s="51"/>
      <c r="BB76" s="51"/>
      <c r="BC76" s="51"/>
      <c r="BD76" s="52"/>
    </row>
    <row r="77" spans="1:56" ht="14.4" customHeight="1">
      <c r="A77" s="37" t="str">
        <f>IF(B77="","",COUNTA($B$8:B77))</f>
        <v/>
      </c>
      <c r="B77" s="26"/>
      <c r="C77" s="34"/>
      <c r="D77" s="34"/>
      <c r="E77" s="34"/>
      <c r="F77" s="34"/>
      <c r="G77" s="34"/>
      <c r="H77" s="34"/>
      <c r="I77" s="19"/>
      <c r="J77" s="27"/>
      <c r="K77" s="27"/>
      <c r="L77" s="27"/>
      <c r="M77" s="27"/>
      <c r="N77" s="27"/>
      <c r="O77" s="27"/>
      <c r="P77" s="27"/>
      <c r="Q77" s="27"/>
      <c r="R77" s="26"/>
      <c r="S77" s="34"/>
      <c r="T77" s="34"/>
      <c r="U77" s="34"/>
      <c r="V77" s="34"/>
      <c r="W77" s="34"/>
      <c r="X77" s="34"/>
      <c r="Y77" s="589"/>
      <c r="Z77" s="590"/>
      <c r="AA77" s="591"/>
      <c r="AB77" s="592"/>
      <c r="AC77" s="593"/>
      <c r="AD77" s="38"/>
      <c r="AE77" s="25"/>
      <c r="AF77" s="25"/>
      <c r="AG77" s="25"/>
      <c r="AH77" s="25"/>
      <c r="AI77" s="25"/>
      <c r="AJ77" s="25"/>
      <c r="AK77" s="25"/>
      <c r="AL77" s="25"/>
      <c r="AM77" s="25"/>
      <c r="AN77" s="25"/>
      <c r="AO77" s="25"/>
      <c r="AP77" s="25"/>
      <c r="AQ77" s="25"/>
      <c r="AR77" s="25"/>
      <c r="AS77" s="26"/>
      <c r="AT77" s="51"/>
      <c r="AU77" s="51"/>
      <c r="AV77" s="51"/>
      <c r="AW77" s="51"/>
      <c r="AX77" s="51"/>
      <c r="AY77" s="51"/>
      <c r="AZ77" s="51"/>
      <c r="BA77" s="51"/>
      <c r="BB77" s="51"/>
      <c r="BC77" s="51"/>
      <c r="BD77" s="52"/>
    </row>
    <row r="78" spans="1:56" ht="14.4" customHeight="1">
      <c r="A78" s="37" t="str">
        <f>IF(B78="","",COUNTA($B$8:B78))</f>
        <v/>
      </c>
      <c r="B78" s="26"/>
      <c r="C78" s="34"/>
      <c r="D78" s="34"/>
      <c r="E78" s="34"/>
      <c r="F78" s="34"/>
      <c r="G78" s="34"/>
      <c r="H78" s="34"/>
      <c r="I78" s="19"/>
      <c r="J78" s="27"/>
      <c r="K78" s="27"/>
      <c r="L78" s="27"/>
      <c r="M78" s="27"/>
      <c r="N78" s="27"/>
      <c r="O78" s="27"/>
      <c r="P78" s="27"/>
      <c r="Q78" s="27"/>
      <c r="R78" s="26"/>
      <c r="S78" s="34"/>
      <c r="T78" s="34"/>
      <c r="U78" s="34"/>
      <c r="V78" s="34"/>
      <c r="W78" s="34"/>
      <c r="X78" s="34"/>
      <c r="Y78" s="589"/>
      <c r="Z78" s="590"/>
      <c r="AA78" s="591"/>
      <c r="AB78" s="592"/>
      <c r="AC78" s="593"/>
      <c r="AD78" s="38"/>
      <c r="AE78" s="25"/>
      <c r="AF78" s="25"/>
      <c r="AG78" s="25"/>
      <c r="AH78" s="25"/>
      <c r="AI78" s="25"/>
      <c r="AJ78" s="25"/>
      <c r="AK78" s="25"/>
      <c r="AL78" s="25"/>
      <c r="AM78" s="25"/>
      <c r="AN78" s="25"/>
      <c r="AO78" s="25"/>
      <c r="AP78" s="25"/>
      <c r="AQ78" s="25"/>
      <c r="AR78" s="25"/>
      <c r="AS78" s="26"/>
      <c r="AT78" s="51"/>
      <c r="AU78" s="51"/>
      <c r="AV78" s="51"/>
      <c r="AW78" s="51"/>
      <c r="AX78" s="51"/>
      <c r="AY78" s="51"/>
      <c r="AZ78" s="51"/>
      <c r="BA78" s="51"/>
      <c r="BB78" s="51"/>
      <c r="BC78" s="51"/>
      <c r="BD78" s="52"/>
    </row>
    <row r="79" spans="1:56" ht="14.4" customHeight="1">
      <c r="A79" s="37" t="str">
        <f>IF(B79="","",COUNTA($B$8:B79))</f>
        <v/>
      </c>
      <c r="B79" s="26"/>
      <c r="C79" s="34"/>
      <c r="D79" s="34"/>
      <c r="E79" s="34"/>
      <c r="F79" s="34"/>
      <c r="G79" s="34"/>
      <c r="H79" s="34"/>
      <c r="I79" s="19"/>
      <c r="J79" s="27"/>
      <c r="K79" s="27"/>
      <c r="L79" s="27"/>
      <c r="M79" s="27"/>
      <c r="N79" s="27"/>
      <c r="O79" s="27"/>
      <c r="P79" s="27"/>
      <c r="Q79" s="27"/>
      <c r="R79" s="26"/>
      <c r="S79" s="34"/>
      <c r="T79" s="34"/>
      <c r="U79" s="34"/>
      <c r="V79" s="34"/>
      <c r="W79" s="34"/>
      <c r="X79" s="34"/>
      <c r="Y79" s="589"/>
      <c r="Z79" s="590"/>
      <c r="AA79" s="591"/>
      <c r="AB79" s="592"/>
      <c r="AC79" s="593"/>
      <c r="AD79" s="38"/>
      <c r="AE79" s="25"/>
      <c r="AF79" s="25"/>
      <c r="AG79" s="25"/>
      <c r="AH79" s="25"/>
      <c r="AI79" s="25"/>
      <c r="AJ79" s="25"/>
      <c r="AK79" s="25"/>
      <c r="AL79" s="25"/>
      <c r="AM79" s="25"/>
      <c r="AN79" s="25"/>
      <c r="AO79" s="25"/>
      <c r="AP79" s="25"/>
      <c r="AQ79" s="25"/>
      <c r="AR79" s="25"/>
      <c r="AS79" s="26"/>
      <c r="AT79" s="51"/>
      <c r="AU79" s="51"/>
      <c r="AV79" s="51"/>
      <c r="AW79" s="51"/>
      <c r="AX79" s="51"/>
      <c r="AY79" s="51"/>
      <c r="AZ79" s="51"/>
      <c r="BA79" s="51"/>
      <c r="BB79" s="51"/>
      <c r="BC79" s="51"/>
      <c r="BD79" s="52"/>
    </row>
    <row r="80" spans="1:56" ht="14.4" customHeight="1">
      <c r="A80" s="37" t="str">
        <f>IF(B80="","",COUNTA($B$8:B80))</f>
        <v/>
      </c>
      <c r="B80" s="26"/>
      <c r="C80" s="34"/>
      <c r="D80" s="34"/>
      <c r="E80" s="34"/>
      <c r="F80" s="34"/>
      <c r="G80" s="34"/>
      <c r="H80" s="34"/>
      <c r="I80" s="19"/>
      <c r="J80" s="27"/>
      <c r="K80" s="27"/>
      <c r="L80" s="27"/>
      <c r="M80" s="27"/>
      <c r="N80" s="27"/>
      <c r="O80" s="27"/>
      <c r="P80" s="27"/>
      <c r="Q80" s="27"/>
      <c r="R80" s="26"/>
      <c r="S80" s="34"/>
      <c r="T80" s="34"/>
      <c r="U80" s="34"/>
      <c r="V80" s="34"/>
      <c r="W80" s="34"/>
      <c r="X80" s="34"/>
      <c r="Y80" s="589"/>
      <c r="Z80" s="590"/>
      <c r="AA80" s="591"/>
      <c r="AB80" s="592"/>
      <c r="AC80" s="593"/>
      <c r="AD80" s="38"/>
      <c r="AE80" s="25"/>
      <c r="AF80" s="25"/>
      <c r="AG80" s="25"/>
      <c r="AH80" s="25"/>
      <c r="AI80" s="25"/>
      <c r="AJ80" s="25"/>
      <c r="AK80" s="25"/>
      <c r="AL80" s="25"/>
      <c r="AM80" s="25"/>
      <c r="AN80" s="25"/>
      <c r="AO80" s="25"/>
      <c r="AP80" s="25"/>
      <c r="AQ80" s="25"/>
      <c r="AR80" s="25"/>
      <c r="AS80" s="26"/>
      <c r="AT80" s="51"/>
      <c r="AU80" s="51"/>
      <c r="AV80" s="51"/>
      <c r="AW80" s="51"/>
      <c r="AX80" s="51"/>
      <c r="AY80" s="51"/>
      <c r="AZ80" s="51"/>
      <c r="BA80" s="51"/>
      <c r="BB80" s="51"/>
      <c r="BC80" s="51"/>
      <c r="BD80" s="52"/>
    </row>
    <row r="81" spans="1:56" ht="14.4" customHeight="1">
      <c r="A81" s="37" t="str">
        <f>IF(B81="","",COUNTA($B$8:B81))</f>
        <v/>
      </c>
      <c r="B81" s="26"/>
      <c r="C81" s="34"/>
      <c r="D81" s="34"/>
      <c r="E81" s="34"/>
      <c r="F81" s="34"/>
      <c r="G81" s="34"/>
      <c r="H81" s="34"/>
      <c r="I81" s="19"/>
      <c r="J81" s="27"/>
      <c r="K81" s="27"/>
      <c r="L81" s="27"/>
      <c r="M81" s="27"/>
      <c r="N81" s="27"/>
      <c r="O81" s="27"/>
      <c r="P81" s="27"/>
      <c r="Q81" s="27"/>
      <c r="R81" s="26"/>
      <c r="S81" s="34"/>
      <c r="T81" s="34"/>
      <c r="U81" s="34"/>
      <c r="V81" s="34"/>
      <c r="W81" s="34"/>
      <c r="X81" s="34"/>
      <c r="Y81" s="589"/>
      <c r="Z81" s="590"/>
      <c r="AA81" s="591"/>
      <c r="AB81" s="592"/>
      <c r="AC81" s="593"/>
      <c r="AD81" s="38"/>
      <c r="AE81" s="25"/>
      <c r="AF81" s="25"/>
      <c r="AG81" s="25"/>
      <c r="AH81" s="25"/>
      <c r="AI81" s="25"/>
      <c r="AJ81" s="25"/>
      <c r="AK81" s="25"/>
      <c r="AL81" s="25"/>
      <c r="AM81" s="25"/>
      <c r="AN81" s="25"/>
      <c r="AO81" s="25"/>
      <c r="AP81" s="25"/>
      <c r="AQ81" s="25"/>
      <c r="AR81" s="25"/>
      <c r="AS81" s="26"/>
      <c r="AT81" s="51"/>
      <c r="AU81" s="51"/>
      <c r="AV81" s="51"/>
      <c r="AW81" s="51"/>
      <c r="AX81" s="51"/>
      <c r="AY81" s="51"/>
      <c r="AZ81" s="51"/>
      <c r="BA81" s="51"/>
      <c r="BB81" s="51"/>
      <c r="BC81" s="51"/>
      <c r="BD81" s="52"/>
    </row>
    <row r="82" spans="1:56" ht="14.4" customHeight="1">
      <c r="A82" s="37" t="str">
        <f>IF(B82="","",COUNTA($B$8:B82))</f>
        <v/>
      </c>
      <c r="B82" s="26"/>
      <c r="C82" s="34"/>
      <c r="D82" s="34"/>
      <c r="E82" s="34"/>
      <c r="F82" s="34"/>
      <c r="G82" s="34"/>
      <c r="H82" s="34"/>
      <c r="I82" s="19"/>
      <c r="J82" s="27"/>
      <c r="K82" s="27"/>
      <c r="L82" s="27"/>
      <c r="M82" s="27"/>
      <c r="N82" s="27"/>
      <c r="O82" s="27"/>
      <c r="P82" s="27"/>
      <c r="Q82" s="27"/>
      <c r="R82" s="26"/>
      <c r="S82" s="34"/>
      <c r="T82" s="34"/>
      <c r="U82" s="34"/>
      <c r="V82" s="34"/>
      <c r="W82" s="34"/>
      <c r="X82" s="34"/>
      <c r="Y82" s="589"/>
      <c r="Z82" s="590"/>
      <c r="AA82" s="591"/>
      <c r="AB82" s="592"/>
      <c r="AC82" s="593"/>
      <c r="AD82" s="38"/>
      <c r="AE82" s="25"/>
      <c r="AF82" s="25"/>
      <c r="AG82" s="25"/>
      <c r="AH82" s="25"/>
      <c r="AI82" s="25"/>
      <c r="AJ82" s="25"/>
      <c r="AK82" s="25"/>
      <c r="AL82" s="25"/>
      <c r="AM82" s="25"/>
      <c r="AN82" s="25"/>
      <c r="AO82" s="25"/>
      <c r="AP82" s="25"/>
      <c r="AQ82" s="25"/>
      <c r="AR82" s="25"/>
      <c r="AS82" s="26"/>
      <c r="AT82" s="51"/>
      <c r="AU82" s="51"/>
      <c r="AV82" s="51"/>
      <c r="AW82" s="51"/>
      <c r="AX82" s="51"/>
      <c r="AY82" s="51"/>
      <c r="AZ82" s="51"/>
      <c r="BA82" s="51"/>
      <c r="BB82" s="51"/>
      <c r="BC82" s="51"/>
      <c r="BD82" s="52"/>
    </row>
    <row r="83" spans="1:56" ht="14.4" customHeight="1">
      <c r="A83" s="37" t="str">
        <f>IF(B83="","",COUNTA($B$8:B83))</f>
        <v/>
      </c>
      <c r="B83" s="26"/>
      <c r="C83" s="34"/>
      <c r="D83" s="34"/>
      <c r="E83" s="34"/>
      <c r="F83" s="34"/>
      <c r="G83" s="34"/>
      <c r="H83" s="34"/>
      <c r="I83" s="19"/>
      <c r="J83" s="27"/>
      <c r="K83" s="27"/>
      <c r="L83" s="27"/>
      <c r="M83" s="27"/>
      <c r="N83" s="27"/>
      <c r="O83" s="27"/>
      <c r="P83" s="27"/>
      <c r="Q83" s="27"/>
      <c r="R83" s="26"/>
      <c r="S83" s="34"/>
      <c r="T83" s="34"/>
      <c r="U83" s="34"/>
      <c r="V83" s="34"/>
      <c r="W83" s="34"/>
      <c r="X83" s="34"/>
      <c r="Y83" s="589"/>
      <c r="Z83" s="590"/>
      <c r="AA83" s="591"/>
      <c r="AB83" s="592"/>
      <c r="AC83" s="593"/>
      <c r="AD83" s="38"/>
      <c r="AE83" s="25"/>
      <c r="AF83" s="25"/>
      <c r="AG83" s="25"/>
      <c r="AH83" s="25"/>
      <c r="AI83" s="25"/>
      <c r="AJ83" s="25"/>
      <c r="AK83" s="25"/>
      <c r="AL83" s="25"/>
      <c r="AM83" s="25"/>
      <c r="AN83" s="25"/>
      <c r="AO83" s="25"/>
      <c r="AP83" s="25"/>
      <c r="AQ83" s="25"/>
      <c r="AR83" s="25"/>
      <c r="AS83" s="26"/>
      <c r="AT83" s="51"/>
      <c r="AU83" s="51"/>
      <c r="AV83" s="51"/>
      <c r="AW83" s="51"/>
      <c r="AX83" s="51"/>
      <c r="AY83" s="51"/>
      <c r="AZ83" s="51"/>
      <c r="BA83" s="51"/>
      <c r="BB83" s="51"/>
      <c r="BC83" s="51"/>
      <c r="BD83" s="52"/>
    </row>
    <row r="84" spans="1:56" ht="14.4" customHeight="1">
      <c r="A84" s="37" t="str">
        <f>IF(B84="","",COUNTA($B$8:B84))</f>
        <v/>
      </c>
      <c r="B84" s="26"/>
      <c r="C84" s="34"/>
      <c r="D84" s="34"/>
      <c r="E84" s="34"/>
      <c r="F84" s="34"/>
      <c r="G84" s="34"/>
      <c r="H84" s="34"/>
      <c r="I84" s="19"/>
      <c r="J84" s="27"/>
      <c r="K84" s="27"/>
      <c r="L84" s="27"/>
      <c r="M84" s="27"/>
      <c r="N84" s="27"/>
      <c r="O84" s="27"/>
      <c r="P84" s="27"/>
      <c r="Q84" s="27"/>
      <c r="R84" s="26"/>
      <c r="S84" s="34"/>
      <c r="T84" s="34"/>
      <c r="U84" s="34"/>
      <c r="V84" s="34"/>
      <c r="W84" s="34"/>
      <c r="X84" s="34"/>
      <c r="Y84" s="589"/>
      <c r="Z84" s="590"/>
      <c r="AA84" s="591"/>
      <c r="AB84" s="592"/>
      <c r="AC84" s="593"/>
      <c r="AD84" s="38"/>
      <c r="AE84" s="25"/>
      <c r="AF84" s="25"/>
      <c r="AG84" s="25"/>
      <c r="AH84" s="25"/>
      <c r="AI84" s="25"/>
      <c r="AJ84" s="25"/>
      <c r="AK84" s="25"/>
      <c r="AL84" s="25"/>
      <c r="AM84" s="25"/>
      <c r="AN84" s="25"/>
      <c r="AO84" s="25"/>
      <c r="AP84" s="25"/>
      <c r="AQ84" s="25"/>
      <c r="AR84" s="25"/>
      <c r="AS84" s="26"/>
      <c r="AT84" s="51"/>
      <c r="AU84" s="51"/>
      <c r="AV84" s="51"/>
      <c r="AW84" s="51"/>
      <c r="AX84" s="51"/>
      <c r="AY84" s="51"/>
      <c r="AZ84" s="51"/>
      <c r="BA84" s="51"/>
      <c r="BB84" s="51"/>
      <c r="BC84" s="51"/>
      <c r="BD84" s="52"/>
    </row>
    <row r="85" spans="1:56" ht="14.4" customHeight="1">
      <c r="A85" s="37" t="str">
        <f>IF(B85="","",COUNTA($B$8:B85))</f>
        <v/>
      </c>
      <c r="B85" s="26"/>
      <c r="C85" s="34"/>
      <c r="D85" s="34"/>
      <c r="E85" s="34"/>
      <c r="F85" s="34"/>
      <c r="G85" s="34"/>
      <c r="H85" s="34"/>
      <c r="I85" s="19"/>
      <c r="J85" s="27"/>
      <c r="K85" s="27"/>
      <c r="L85" s="27"/>
      <c r="M85" s="27"/>
      <c r="N85" s="27"/>
      <c r="O85" s="27"/>
      <c r="P85" s="27"/>
      <c r="Q85" s="27"/>
      <c r="R85" s="26"/>
      <c r="S85" s="34"/>
      <c r="T85" s="34"/>
      <c r="U85" s="34"/>
      <c r="V85" s="34"/>
      <c r="W85" s="34"/>
      <c r="X85" s="34"/>
      <c r="Y85" s="589"/>
      <c r="Z85" s="590"/>
      <c r="AA85" s="591"/>
      <c r="AB85" s="592"/>
      <c r="AC85" s="593"/>
      <c r="AD85" s="38"/>
      <c r="AE85" s="25"/>
      <c r="AF85" s="25"/>
      <c r="AG85" s="25"/>
      <c r="AH85" s="25"/>
      <c r="AI85" s="25"/>
      <c r="AJ85" s="25"/>
      <c r="AK85" s="25"/>
      <c r="AL85" s="25"/>
      <c r="AM85" s="25"/>
      <c r="AN85" s="25"/>
      <c r="AO85" s="25"/>
      <c r="AP85" s="25"/>
      <c r="AQ85" s="25"/>
      <c r="AR85" s="25"/>
      <c r="AS85" s="26"/>
      <c r="AT85" s="51"/>
      <c r="AU85" s="51"/>
      <c r="AV85" s="51"/>
      <c r="AW85" s="51"/>
      <c r="AX85" s="51"/>
      <c r="AY85" s="51"/>
      <c r="AZ85" s="51"/>
      <c r="BA85" s="51"/>
      <c r="BB85" s="51"/>
      <c r="BC85" s="51"/>
      <c r="BD85" s="52"/>
    </row>
  </sheetData>
  <mergeCells count="172">
    <mergeCell ref="Y23:Z23"/>
    <mergeCell ref="AA23:AC23"/>
    <mergeCell ref="Y24:Z24"/>
    <mergeCell ref="AA24:AC24"/>
    <mergeCell ref="Y25:Z25"/>
    <mergeCell ref="AA25:AC25"/>
    <mergeCell ref="Y26:Z26"/>
    <mergeCell ref="AA26:AC26"/>
    <mergeCell ref="Y18:Z18"/>
    <mergeCell ref="AA18:AC18"/>
    <mergeCell ref="Y20:Z20"/>
    <mergeCell ref="AA20:AC20"/>
    <mergeCell ref="Y13:Z13"/>
    <mergeCell ref="AA13:AC13"/>
    <mergeCell ref="Y51:Z51"/>
    <mergeCell ref="AA51:AC51"/>
    <mergeCell ref="I1:Q1"/>
    <mergeCell ref="R1:X1"/>
    <mergeCell ref="Y1:AO1"/>
    <mergeCell ref="Y31:Z31"/>
    <mergeCell ref="AA31:AC31"/>
    <mergeCell ref="Y32:Z32"/>
    <mergeCell ref="AA32:AC32"/>
    <mergeCell ref="Y33:Z33"/>
    <mergeCell ref="AA33:AC33"/>
    <mergeCell ref="AA30:AC30"/>
    <mergeCell ref="Y30:Z30"/>
    <mergeCell ref="Y27:Z27"/>
    <mergeCell ref="AA27:AC27"/>
    <mergeCell ref="Y28:Z28"/>
    <mergeCell ref="AA28:AC28"/>
    <mergeCell ref="Y29:Z29"/>
    <mergeCell ref="Y15:Z15"/>
    <mergeCell ref="AA15:AC15"/>
    <mergeCell ref="Y14:Z14"/>
    <mergeCell ref="AA14:AC14"/>
    <mergeCell ref="AS6:BD7"/>
    <mergeCell ref="Y8:Z8"/>
    <mergeCell ref="AA8:AC8"/>
    <mergeCell ref="AZ4:BD4"/>
    <mergeCell ref="Y9:Z9"/>
    <mergeCell ref="AA9:AC9"/>
    <mergeCell ref="Y10:Z10"/>
    <mergeCell ref="AA10:AC10"/>
    <mergeCell ref="Y11:Z11"/>
    <mergeCell ref="AA11:AC11"/>
    <mergeCell ref="AG6:AG7"/>
    <mergeCell ref="AH6:AH7"/>
    <mergeCell ref="AI6:AR6"/>
    <mergeCell ref="AE6:AE7"/>
    <mergeCell ref="AF6:AF7"/>
    <mergeCell ref="Y12:Z12"/>
    <mergeCell ref="AA12:AC12"/>
    <mergeCell ref="A6:A7"/>
    <mergeCell ref="B6:H7"/>
    <mergeCell ref="I6:Q7"/>
    <mergeCell ref="R6:X7"/>
    <mergeCell ref="Y6:Z7"/>
    <mergeCell ref="AA6:AC7"/>
    <mergeCell ref="AD6:AD7"/>
    <mergeCell ref="A1:H4"/>
    <mergeCell ref="AZ1:BD1"/>
    <mergeCell ref="I2:Q4"/>
    <mergeCell ref="R2:X4"/>
    <mergeCell ref="Y2:AO3"/>
    <mergeCell ref="AP2:AT2"/>
    <mergeCell ref="AZ2:BD2"/>
    <mergeCell ref="AP3:AT3"/>
    <mergeCell ref="AU3:AY3"/>
    <mergeCell ref="AZ3:BD3"/>
    <mergeCell ref="Y4:AO4"/>
    <mergeCell ref="AP1:AT1"/>
    <mergeCell ref="AU1:AY1"/>
    <mergeCell ref="AP4:AT4"/>
    <mergeCell ref="AU4:AY4"/>
    <mergeCell ref="Y50:Z50"/>
    <mergeCell ref="AA50:AC50"/>
    <mergeCell ref="AA38:AC38"/>
    <mergeCell ref="Y39:Z39"/>
    <mergeCell ref="AA39:AC39"/>
    <mergeCell ref="Y34:Z34"/>
    <mergeCell ref="AA34:AC34"/>
    <mergeCell ref="Y35:Z35"/>
    <mergeCell ref="AA35:AC35"/>
    <mergeCell ref="Y36:Z36"/>
    <mergeCell ref="AA36:AC36"/>
    <mergeCell ref="Y48:Z48"/>
    <mergeCell ref="AA48:AC48"/>
    <mergeCell ref="AA29:AC29"/>
    <mergeCell ref="Y38:Z38"/>
    <mergeCell ref="Y16:Z16"/>
    <mergeCell ref="AA16:AC16"/>
    <mergeCell ref="Y17:Z17"/>
    <mergeCell ref="AA17:AC17"/>
    <mergeCell ref="Y19:Z19"/>
    <mergeCell ref="AA19:AC19"/>
    <mergeCell ref="Y57:Z57"/>
    <mergeCell ref="AA57:AC57"/>
    <mergeCell ref="Y54:Z54"/>
    <mergeCell ref="AA54:AC54"/>
    <mergeCell ref="Y55:Z55"/>
    <mergeCell ref="AA55:AC55"/>
    <mergeCell ref="Y56:Z56"/>
    <mergeCell ref="AA56:AC56"/>
    <mergeCell ref="Y46:Z46"/>
    <mergeCell ref="AA46:AC46"/>
    <mergeCell ref="Y47:Z47"/>
    <mergeCell ref="AA47:AC47"/>
    <mergeCell ref="Y49:Z49"/>
    <mergeCell ref="AA49:AC49"/>
    <mergeCell ref="Y43:Z43"/>
    <mergeCell ref="AA43:AC43"/>
    <mergeCell ref="Y52:Z52"/>
    <mergeCell ref="AA52:AC52"/>
    <mergeCell ref="Y21:Z21"/>
    <mergeCell ref="AA21:AC21"/>
    <mergeCell ref="Y22:Z22"/>
    <mergeCell ref="AA22:AC22"/>
    <mergeCell ref="Y67:Z67"/>
    <mergeCell ref="AA67:AC67"/>
    <mergeCell ref="Y58:Z58"/>
    <mergeCell ref="AA58:AC58"/>
    <mergeCell ref="Y59:Z59"/>
    <mergeCell ref="AA59:AC59"/>
    <mergeCell ref="Y44:Z44"/>
    <mergeCell ref="AA44:AC44"/>
    <mergeCell ref="Y45:Z45"/>
    <mergeCell ref="AA45:AC45"/>
    <mergeCell ref="Y40:Z40"/>
    <mergeCell ref="AA40:AC40"/>
    <mergeCell ref="Y41:Z41"/>
    <mergeCell ref="AA41:AC41"/>
    <mergeCell ref="Y42:Z42"/>
    <mergeCell ref="AA42:AC42"/>
    <mergeCell ref="Y37:Z37"/>
    <mergeCell ref="AA37:AC37"/>
    <mergeCell ref="Y68:Z68"/>
    <mergeCell ref="AA68:AC68"/>
    <mergeCell ref="Y69:Z69"/>
    <mergeCell ref="AA69:AC69"/>
    <mergeCell ref="Y70:Z70"/>
    <mergeCell ref="AA70:AC70"/>
    <mergeCell ref="Y71:Z71"/>
    <mergeCell ref="AA71:AC71"/>
    <mergeCell ref="Y72:Z72"/>
    <mergeCell ref="AA72:AC72"/>
    <mergeCell ref="Y73:Z73"/>
    <mergeCell ref="AA73:AC73"/>
    <mergeCell ref="Y74:Z74"/>
    <mergeCell ref="AA74:AC74"/>
    <mergeCell ref="Y75:Z75"/>
    <mergeCell ref="AA75:AC75"/>
    <mergeCell ref="Y76:Z76"/>
    <mergeCell ref="AA76:AC76"/>
    <mergeCell ref="Y77:Z77"/>
    <mergeCell ref="AA77:AC77"/>
    <mergeCell ref="Y83:Z83"/>
    <mergeCell ref="AA83:AC83"/>
    <mergeCell ref="Y84:Z84"/>
    <mergeCell ref="AA84:AC84"/>
    <mergeCell ref="Y85:Z85"/>
    <mergeCell ref="AA85:AC85"/>
    <mergeCell ref="Y78:Z78"/>
    <mergeCell ref="AA78:AC78"/>
    <mergeCell ref="Y79:Z79"/>
    <mergeCell ref="AA79:AC79"/>
    <mergeCell ref="Y80:Z80"/>
    <mergeCell ref="AA80:AC80"/>
    <mergeCell ref="Y81:Z81"/>
    <mergeCell ref="AA81:AC81"/>
    <mergeCell ref="Y82:Z82"/>
    <mergeCell ref="AA82:AC82"/>
  </mergeCells>
  <phoneticPr fontId="12"/>
  <dataValidations count="4">
    <dataValidation imeMode="hiragana" allowBlank="1" showInputMessage="1" showErrorMessage="1" sqref="JG65542:JR65544 TC65542:TN65544 ACY65542:ADJ65544 AMU65542:ANF65544 AWQ65542:AXB65544 BGM65542:BGX65544 BQI65542:BQT65544 CAE65542:CAP65544 CKA65542:CKL65544 CTW65542:CUH65544 DDS65542:DED65544 DNO65542:DNZ65544 DXK65542:DXV65544 EHG65542:EHR65544 ERC65542:ERN65544 FAY65542:FBJ65544 FKU65542:FLF65544 FUQ65542:FVB65544 GEM65542:GEX65544 GOI65542:GOT65544 GYE65542:GYP65544 HIA65542:HIL65544 HRW65542:HSH65544 IBS65542:ICD65544 ILO65542:ILZ65544 IVK65542:IVV65544 JFG65542:JFR65544 JPC65542:JPN65544 JYY65542:JZJ65544 KIU65542:KJF65544 KSQ65542:KTB65544 LCM65542:LCX65544 LMI65542:LMT65544 LWE65542:LWP65544 MGA65542:MGL65544 MPW65542:MQH65544 MZS65542:NAD65544 NJO65542:NJZ65544 NTK65542:NTV65544 ODG65542:ODR65544 ONC65542:ONN65544 OWY65542:OXJ65544 PGU65542:PHF65544 PQQ65542:PRB65544 QAM65542:QAX65544 QKI65542:QKT65544 QUE65542:QUP65544 REA65542:REL65544 RNW65542:ROH65544 RXS65542:RYD65544 SHO65542:SHZ65544 SRK65542:SRV65544 TBG65542:TBR65544 TLC65542:TLN65544 TUY65542:TVJ65544 UEU65542:UFF65544 UOQ65542:UPB65544 UYM65542:UYX65544 VII65542:VIT65544 VSE65542:VSP65544 WCA65542:WCL65544 WLW65542:WMH65544 WVS65542:WWD65544 JG131078:JR131080 TC131078:TN131080 ACY131078:ADJ131080 AMU131078:ANF131080 AWQ131078:AXB131080 BGM131078:BGX131080 BQI131078:BQT131080 CAE131078:CAP131080 CKA131078:CKL131080 CTW131078:CUH131080 DDS131078:DED131080 DNO131078:DNZ131080 DXK131078:DXV131080 EHG131078:EHR131080 ERC131078:ERN131080 FAY131078:FBJ131080 FKU131078:FLF131080 FUQ131078:FVB131080 GEM131078:GEX131080 GOI131078:GOT131080 GYE131078:GYP131080 HIA131078:HIL131080 HRW131078:HSH131080 IBS131078:ICD131080 ILO131078:ILZ131080 IVK131078:IVV131080 JFG131078:JFR131080 JPC131078:JPN131080 JYY131078:JZJ131080 KIU131078:KJF131080 KSQ131078:KTB131080 LCM131078:LCX131080 LMI131078:LMT131080 LWE131078:LWP131080 MGA131078:MGL131080 MPW131078:MQH131080 MZS131078:NAD131080 NJO131078:NJZ131080 NTK131078:NTV131080 ODG131078:ODR131080 ONC131078:ONN131080 OWY131078:OXJ131080 PGU131078:PHF131080 PQQ131078:PRB131080 QAM131078:QAX131080 QKI131078:QKT131080 QUE131078:QUP131080 REA131078:REL131080 RNW131078:ROH131080 RXS131078:RYD131080 SHO131078:SHZ131080 SRK131078:SRV131080 TBG131078:TBR131080 TLC131078:TLN131080 TUY131078:TVJ131080 UEU131078:UFF131080 UOQ131078:UPB131080 UYM131078:UYX131080 VII131078:VIT131080 VSE131078:VSP131080 WCA131078:WCL131080 WLW131078:WMH131080 WVS131078:WWD131080 JG196614:JR196616 TC196614:TN196616 ACY196614:ADJ196616 AMU196614:ANF196616 AWQ196614:AXB196616 BGM196614:BGX196616 BQI196614:BQT196616 CAE196614:CAP196616 CKA196614:CKL196616 CTW196614:CUH196616 DDS196614:DED196616 DNO196614:DNZ196616 DXK196614:DXV196616 EHG196614:EHR196616 ERC196614:ERN196616 FAY196614:FBJ196616 FKU196614:FLF196616 FUQ196614:FVB196616 GEM196614:GEX196616 GOI196614:GOT196616 GYE196614:GYP196616 HIA196614:HIL196616 HRW196614:HSH196616 IBS196614:ICD196616 ILO196614:ILZ196616 IVK196614:IVV196616 JFG196614:JFR196616 JPC196614:JPN196616 JYY196614:JZJ196616 KIU196614:KJF196616 KSQ196614:KTB196616 LCM196614:LCX196616 LMI196614:LMT196616 LWE196614:LWP196616 MGA196614:MGL196616 MPW196614:MQH196616 MZS196614:NAD196616 NJO196614:NJZ196616 NTK196614:NTV196616 ODG196614:ODR196616 ONC196614:ONN196616 OWY196614:OXJ196616 PGU196614:PHF196616 PQQ196614:PRB196616 QAM196614:QAX196616 QKI196614:QKT196616 QUE196614:QUP196616 REA196614:REL196616 RNW196614:ROH196616 RXS196614:RYD196616 SHO196614:SHZ196616 SRK196614:SRV196616 TBG196614:TBR196616 TLC196614:TLN196616 TUY196614:TVJ196616 UEU196614:UFF196616 UOQ196614:UPB196616 UYM196614:UYX196616 VII196614:VIT196616 VSE196614:VSP196616 WCA196614:WCL196616 WLW196614:WMH196616 WVS196614:WWD196616 JG262150:JR262152 TC262150:TN262152 ACY262150:ADJ262152 AMU262150:ANF262152 AWQ262150:AXB262152 BGM262150:BGX262152 BQI262150:BQT262152 CAE262150:CAP262152 CKA262150:CKL262152 CTW262150:CUH262152 DDS262150:DED262152 DNO262150:DNZ262152 DXK262150:DXV262152 EHG262150:EHR262152 ERC262150:ERN262152 FAY262150:FBJ262152 FKU262150:FLF262152 FUQ262150:FVB262152 GEM262150:GEX262152 GOI262150:GOT262152 GYE262150:GYP262152 HIA262150:HIL262152 HRW262150:HSH262152 IBS262150:ICD262152 ILO262150:ILZ262152 IVK262150:IVV262152 JFG262150:JFR262152 JPC262150:JPN262152 JYY262150:JZJ262152 KIU262150:KJF262152 KSQ262150:KTB262152 LCM262150:LCX262152 LMI262150:LMT262152 LWE262150:LWP262152 MGA262150:MGL262152 MPW262150:MQH262152 MZS262150:NAD262152 NJO262150:NJZ262152 NTK262150:NTV262152 ODG262150:ODR262152 ONC262150:ONN262152 OWY262150:OXJ262152 PGU262150:PHF262152 PQQ262150:PRB262152 QAM262150:QAX262152 QKI262150:QKT262152 QUE262150:QUP262152 REA262150:REL262152 RNW262150:ROH262152 RXS262150:RYD262152 SHO262150:SHZ262152 SRK262150:SRV262152 TBG262150:TBR262152 TLC262150:TLN262152 TUY262150:TVJ262152 UEU262150:UFF262152 UOQ262150:UPB262152 UYM262150:UYX262152 VII262150:VIT262152 VSE262150:VSP262152 WCA262150:WCL262152 WLW262150:WMH262152 WVS262150:WWD262152 JG327686:JR327688 TC327686:TN327688 ACY327686:ADJ327688 AMU327686:ANF327688 AWQ327686:AXB327688 BGM327686:BGX327688 BQI327686:BQT327688 CAE327686:CAP327688 CKA327686:CKL327688 CTW327686:CUH327688 DDS327686:DED327688 DNO327686:DNZ327688 DXK327686:DXV327688 EHG327686:EHR327688 ERC327686:ERN327688 FAY327686:FBJ327688 FKU327686:FLF327688 FUQ327686:FVB327688 GEM327686:GEX327688 GOI327686:GOT327688 GYE327686:GYP327688 HIA327686:HIL327688 HRW327686:HSH327688 IBS327686:ICD327688 ILO327686:ILZ327688 IVK327686:IVV327688 JFG327686:JFR327688 JPC327686:JPN327688 JYY327686:JZJ327688 KIU327686:KJF327688 KSQ327686:KTB327688 LCM327686:LCX327688 LMI327686:LMT327688 LWE327686:LWP327688 MGA327686:MGL327688 MPW327686:MQH327688 MZS327686:NAD327688 NJO327686:NJZ327688 NTK327686:NTV327688 ODG327686:ODR327688 ONC327686:ONN327688 OWY327686:OXJ327688 PGU327686:PHF327688 PQQ327686:PRB327688 QAM327686:QAX327688 QKI327686:QKT327688 QUE327686:QUP327688 REA327686:REL327688 RNW327686:ROH327688 RXS327686:RYD327688 SHO327686:SHZ327688 SRK327686:SRV327688 TBG327686:TBR327688 TLC327686:TLN327688 TUY327686:TVJ327688 UEU327686:UFF327688 UOQ327686:UPB327688 UYM327686:UYX327688 VII327686:VIT327688 VSE327686:VSP327688 WCA327686:WCL327688 WLW327686:WMH327688 WVS327686:WWD327688 JG393222:JR393224 TC393222:TN393224 ACY393222:ADJ393224 AMU393222:ANF393224 AWQ393222:AXB393224 BGM393222:BGX393224 BQI393222:BQT393224 CAE393222:CAP393224 CKA393222:CKL393224 CTW393222:CUH393224 DDS393222:DED393224 DNO393222:DNZ393224 DXK393222:DXV393224 EHG393222:EHR393224 ERC393222:ERN393224 FAY393222:FBJ393224 FKU393222:FLF393224 FUQ393222:FVB393224 GEM393222:GEX393224 GOI393222:GOT393224 GYE393222:GYP393224 HIA393222:HIL393224 HRW393222:HSH393224 IBS393222:ICD393224 ILO393222:ILZ393224 IVK393222:IVV393224 JFG393222:JFR393224 JPC393222:JPN393224 JYY393222:JZJ393224 KIU393222:KJF393224 KSQ393222:KTB393224 LCM393222:LCX393224 LMI393222:LMT393224 LWE393222:LWP393224 MGA393222:MGL393224 MPW393222:MQH393224 MZS393222:NAD393224 NJO393222:NJZ393224 NTK393222:NTV393224 ODG393222:ODR393224 ONC393222:ONN393224 OWY393222:OXJ393224 PGU393222:PHF393224 PQQ393222:PRB393224 QAM393222:QAX393224 QKI393222:QKT393224 QUE393222:QUP393224 REA393222:REL393224 RNW393222:ROH393224 RXS393222:RYD393224 SHO393222:SHZ393224 SRK393222:SRV393224 TBG393222:TBR393224 TLC393222:TLN393224 TUY393222:TVJ393224 UEU393222:UFF393224 UOQ393222:UPB393224 UYM393222:UYX393224 VII393222:VIT393224 VSE393222:VSP393224 WCA393222:WCL393224 WLW393222:WMH393224 WVS393222:WWD393224 JG458758:JR458760 TC458758:TN458760 ACY458758:ADJ458760 AMU458758:ANF458760 AWQ458758:AXB458760 BGM458758:BGX458760 BQI458758:BQT458760 CAE458758:CAP458760 CKA458758:CKL458760 CTW458758:CUH458760 DDS458758:DED458760 DNO458758:DNZ458760 DXK458758:DXV458760 EHG458758:EHR458760 ERC458758:ERN458760 FAY458758:FBJ458760 FKU458758:FLF458760 FUQ458758:FVB458760 GEM458758:GEX458760 GOI458758:GOT458760 GYE458758:GYP458760 HIA458758:HIL458760 HRW458758:HSH458760 IBS458758:ICD458760 ILO458758:ILZ458760 IVK458758:IVV458760 JFG458758:JFR458760 JPC458758:JPN458760 JYY458758:JZJ458760 KIU458758:KJF458760 KSQ458758:KTB458760 LCM458758:LCX458760 LMI458758:LMT458760 LWE458758:LWP458760 MGA458758:MGL458760 MPW458758:MQH458760 MZS458758:NAD458760 NJO458758:NJZ458760 NTK458758:NTV458760 ODG458758:ODR458760 ONC458758:ONN458760 OWY458758:OXJ458760 PGU458758:PHF458760 PQQ458758:PRB458760 QAM458758:QAX458760 QKI458758:QKT458760 QUE458758:QUP458760 REA458758:REL458760 RNW458758:ROH458760 RXS458758:RYD458760 SHO458758:SHZ458760 SRK458758:SRV458760 TBG458758:TBR458760 TLC458758:TLN458760 TUY458758:TVJ458760 UEU458758:UFF458760 UOQ458758:UPB458760 UYM458758:UYX458760 VII458758:VIT458760 VSE458758:VSP458760 WCA458758:WCL458760 WLW458758:WMH458760 WVS458758:WWD458760 JG524294:JR524296 TC524294:TN524296 ACY524294:ADJ524296 AMU524294:ANF524296 AWQ524294:AXB524296 BGM524294:BGX524296 BQI524294:BQT524296 CAE524294:CAP524296 CKA524294:CKL524296 CTW524294:CUH524296 DDS524294:DED524296 DNO524294:DNZ524296 DXK524294:DXV524296 EHG524294:EHR524296 ERC524294:ERN524296 FAY524294:FBJ524296 FKU524294:FLF524296 FUQ524294:FVB524296 GEM524294:GEX524296 GOI524294:GOT524296 GYE524294:GYP524296 HIA524294:HIL524296 HRW524294:HSH524296 IBS524294:ICD524296 ILO524294:ILZ524296 IVK524294:IVV524296 JFG524294:JFR524296 JPC524294:JPN524296 JYY524294:JZJ524296 KIU524294:KJF524296 KSQ524294:KTB524296 LCM524294:LCX524296 LMI524294:LMT524296 LWE524294:LWP524296 MGA524294:MGL524296 MPW524294:MQH524296 MZS524294:NAD524296 NJO524294:NJZ524296 NTK524294:NTV524296 ODG524294:ODR524296 ONC524294:ONN524296 OWY524294:OXJ524296 PGU524294:PHF524296 PQQ524294:PRB524296 QAM524294:QAX524296 QKI524294:QKT524296 QUE524294:QUP524296 REA524294:REL524296 RNW524294:ROH524296 RXS524294:RYD524296 SHO524294:SHZ524296 SRK524294:SRV524296 TBG524294:TBR524296 TLC524294:TLN524296 TUY524294:TVJ524296 UEU524294:UFF524296 UOQ524294:UPB524296 UYM524294:UYX524296 VII524294:VIT524296 VSE524294:VSP524296 WCA524294:WCL524296 WLW524294:WMH524296 WVS524294:WWD524296 JG589830:JR589832 TC589830:TN589832 ACY589830:ADJ589832 AMU589830:ANF589832 AWQ589830:AXB589832 BGM589830:BGX589832 BQI589830:BQT589832 CAE589830:CAP589832 CKA589830:CKL589832 CTW589830:CUH589832 DDS589830:DED589832 DNO589830:DNZ589832 DXK589830:DXV589832 EHG589830:EHR589832 ERC589830:ERN589832 FAY589830:FBJ589832 FKU589830:FLF589832 FUQ589830:FVB589832 GEM589830:GEX589832 GOI589830:GOT589832 GYE589830:GYP589832 HIA589830:HIL589832 HRW589830:HSH589832 IBS589830:ICD589832 ILO589830:ILZ589832 IVK589830:IVV589832 JFG589830:JFR589832 JPC589830:JPN589832 JYY589830:JZJ589832 KIU589830:KJF589832 KSQ589830:KTB589832 LCM589830:LCX589832 LMI589830:LMT589832 LWE589830:LWP589832 MGA589830:MGL589832 MPW589830:MQH589832 MZS589830:NAD589832 NJO589830:NJZ589832 NTK589830:NTV589832 ODG589830:ODR589832 ONC589830:ONN589832 OWY589830:OXJ589832 PGU589830:PHF589832 PQQ589830:PRB589832 QAM589830:QAX589832 QKI589830:QKT589832 QUE589830:QUP589832 REA589830:REL589832 RNW589830:ROH589832 RXS589830:RYD589832 SHO589830:SHZ589832 SRK589830:SRV589832 TBG589830:TBR589832 TLC589830:TLN589832 TUY589830:TVJ589832 UEU589830:UFF589832 UOQ589830:UPB589832 UYM589830:UYX589832 VII589830:VIT589832 VSE589830:VSP589832 WCA589830:WCL589832 WLW589830:WMH589832 WVS589830:WWD589832 JG655366:JR655368 TC655366:TN655368 ACY655366:ADJ655368 AMU655366:ANF655368 AWQ655366:AXB655368 BGM655366:BGX655368 BQI655366:BQT655368 CAE655366:CAP655368 CKA655366:CKL655368 CTW655366:CUH655368 DDS655366:DED655368 DNO655366:DNZ655368 DXK655366:DXV655368 EHG655366:EHR655368 ERC655366:ERN655368 FAY655366:FBJ655368 FKU655366:FLF655368 FUQ655366:FVB655368 GEM655366:GEX655368 GOI655366:GOT655368 GYE655366:GYP655368 HIA655366:HIL655368 HRW655366:HSH655368 IBS655366:ICD655368 ILO655366:ILZ655368 IVK655366:IVV655368 JFG655366:JFR655368 JPC655366:JPN655368 JYY655366:JZJ655368 KIU655366:KJF655368 KSQ655366:KTB655368 LCM655366:LCX655368 LMI655366:LMT655368 LWE655366:LWP655368 MGA655366:MGL655368 MPW655366:MQH655368 MZS655366:NAD655368 NJO655366:NJZ655368 NTK655366:NTV655368 ODG655366:ODR655368 ONC655366:ONN655368 OWY655366:OXJ655368 PGU655366:PHF655368 PQQ655366:PRB655368 QAM655366:QAX655368 QKI655366:QKT655368 QUE655366:QUP655368 REA655366:REL655368 RNW655366:ROH655368 RXS655366:RYD655368 SHO655366:SHZ655368 SRK655366:SRV655368 TBG655366:TBR655368 TLC655366:TLN655368 TUY655366:TVJ655368 UEU655366:UFF655368 UOQ655366:UPB655368 UYM655366:UYX655368 VII655366:VIT655368 VSE655366:VSP655368 WCA655366:WCL655368 WLW655366:WMH655368 WVS655366:WWD655368 JG720902:JR720904 TC720902:TN720904 ACY720902:ADJ720904 AMU720902:ANF720904 AWQ720902:AXB720904 BGM720902:BGX720904 BQI720902:BQT720904 CAE720902:CAP720904 CKA720902:CKL720904 CTW720902:CUH720904 DDS720902:DED720904 DNO720902:DNZ720904 DXK720902:DXV720904 EHG720902:EHR720904 ERC720902:ERN720904 FAY720902:FBJ720904 FKU720902:FLF720904 FUQ720902:FVB720904 GEM720902:GEX720904 GOI720902:GOT720904 GYE720902:GYP720904 HIA720902:HIL720904 HRW720902:HSH720904 IBS720902:ICD720904 ILO720902:ILZ720904 IVK720902:IVV720904 JFG720902:JFR720904 JPC720902:JPN720904 JYY720902:JZJ720904 KIU720902:KJF720904 KSQ720902:KTB720904 LCM720902:LCX720904 LMI720902:LMT720904 LWE720902:LWP720904 MGA720902:MGL720904 MPW720902:MQH720904 MZS720902:NAD720904 NJO720902:NJZ720904 NTK720902:NTV720904 ODG720902:ODR720904 ONC720902:ONN720904 OWY720902:OXJ720904 PGU720902:PHF720904 PQQ720902:PRB720904 QAM720902:QAX720904 QKI720902:QKT720904 QUE720902:QUP720904 REA720902:REL720904 RNW720902:ROH720904 RXS720902:RYD720904 SHO720902:SHZ720904 SRK720902:SRV720904 TBG720902:TBR720904 TLC720902:TLN720904 TUY720902:TVJ720904 UEU720902:UFF720904 UOQ720902:UPB720904 UYM720902:UYX720904 VII720902:VIT720904 VSE720902:VSP720904 WCA720902:WCL720904 WLW720902:WMH720904 WVS720902:WWD720904 JG786438:JR786440 TC786438:TN786440 ACY786438:ADJ786440 AMU786438:ANF786440 AWQ786438:AXB786440 BGM786438:BGX786440 BQI786438:BQT786440 CAE786438:CAP786440 CKA786438:CKL786440 CTW786438:CUH786440 DDS786438:DED786440 DNO786438:DNZ786440 DXK786438:DXV786440 EHG786438:EHR786440 ERC786438:ERN786440 FAY786438:FBJ786440 FKU786438:FLF786440 FUQ786438:FVB786440 GEM786438:GEX786440 GOI786438:GOT786440 GYE786438:GYP786440 HIA786438:HIL786440 HRW786438:HSH786440 IBS786438:ICD786440 ILO786438:ILZ786440 IVK786438:IVV786440 JFG786438:JFR786440 JPC786438:JPN786440 JYY786438:JZJ786440 KIU786438:KJF786440 KSQ786438:KTB786440 LCM786438:LCX786440 LMI786438:LMT786440 LWE786438:LWP786440 MGA786438:MGL786440 MPW786438:MQH786440 MZS786438:NAD786440 NJO786438:NJZ786440 NTK786438:NTV786440 ODG786438:ODR786440 ONC786438:ONN786440 OWY786438:OXJ786440 PGU786438:PHF786440 PQQ786438:PRB786440 QAM786438:QAX786440 QKI786438:QKT786440 QUE786438:QUP786440 REA786438:REL786440 RNW786438:ROH786440 RXS786438:RYD786440 SHO786438:SHZ786440 SRK786438:SRV786440 TBG786438:TBR786440 TLC786438:TLN786440 TUY786438:TVJ786440 UEU786438:UFF786440 UOQ786438:UPB786440 UYM786438:UYX786440 VII786438:VIT786440 VSE786438:VSP786440 WCA786438:WCL786440 WLW786438:WMH786440 WVS786438:WWD786440 JG851974:JR851976 TC851974:TN851976 ACY851974:ADJ851976 AMU851974:ANF851976 AWQ851974:AXB851976 BGM851974:BGX851976 BQI851974:BQT851976 CAE851974:CAP851976 CKA851974:CKL851976 CTW851974:CUH851976 DDS851974:DED851976 DNO851974:DNZ851976 DXK851974:DXV851976 EHG851974:EHR851976 ERC851974:ERN851976 FAY851974:FBJ851976 FKU851974:FLF851976 FUQ851974:FVB851976 GEM851974:GEX851976 GOI851974:GOT851976 GYE851974:GYP851976 HIA851974:HIL851976 HRW851974:HSH851976 IBS851974:ICD851976 ILO851974:ILZ851976 IVK851974:IVV851976 JFG851974:JFR851976 JPC851974:JPN851976 JYY851974:JZJ851976 KIU851974:KJF851976 KSQ851974:KTB851976 LCM851974:LCX851976 LMI851974:LMT851976 LWE851974:LWP851976 MGA851974:MGL851976 MPW851974:MQH851976 MZS851974:NAD851976 NJO851974:NJZ851976 NTK851974:NTV851976 ODG851974:ODR851976 ONC851974:ONN851976 OWY851974:OXJ851976 PGU851974:PHF851976 PQQ851974:PRB851976 QAM851974:QAX851976 QKI851974:QKT851976 QUE851974:QUP851976 REA851974:REL851976 RNW851974:ROH851976 RXS851974:RYD851976 SHO851974:SHZ851976 SRK851974:SRV851976 TBG851974:TBR851976 TLC851974:TLN851976 TUY851974:TVJ851976 UEU851974:UFF851976 UOQ851974:UPB851976 UYM851974:UYX851976 VII851974:VIT851976 VSE851974:VSP851976 WCA851974:WCL851976 WLW851974:WMH851976 WVS851974:WWD851976 JG917510:JR917512 TC917510:TN917512 ACY917510:ADJ917512 AMU917510:ANF917512 AWQ917510:AXB917512 BGM917510:BGX917512 BQI917510:BQT917512 CAE917510:CAP917512 CKA917510:CKL917512 CTW917510:CUH917512 DDS917510:DED917512 DNO917510:DNZ917512 DXK917510:DXV917512 EHG917510:EHR917512 ERC917510:ERN917512 FAY917510:FBJ917512 FKU917510:FLF917512 FUQ917510:FVB917512 GEM917510:GEX917512 GOI917510:GOT917512 GYE917510:GYP917512 HIA917510:HIL917512 HRW917510:HSH917512 IBS917510:ICD917512 ILO917510:ILZ917512 IVK917510:IVV917512 JFG917510:JFR917512 JPC917510:JPN917512 JYY917510:JZJ917512 KIU917510:KJF917512 KSQ917510:KTB917512 LCM917510:LCX917512 LMI917510:LMT917512 LWE917510:LWP917512 MGA917510:MGL917512 MPW917510:MQH917512 MZS917510:NAD917512 NJO917510:NJZ917512 NTK917510:NTV917512 ODG917510:ODR917512 ONC917510:ONN917512 OWY917510:OXJ917512 PGU917510:PHF917512 PQQ917510:PRB917512 QAM917510:QAX917512 QKI917510:QKT917512 QUE917510:QUP917512 REA917510:REL917512 RNW917510:ROH917512 RXS917510:RYD917512 SHO917510:SHZ917512 SRK917510:SRV917512 TBG917510:TBR917512 TLC917510:TLN917512 TUY917510:TVJ917512 UEU917510:UFF917512 UOQ917510:UPB917512 UYM917510:UYX917512 VII917510:VIT917512 VSE917510:VSP917512 WCA917510:WCL917512 WLW917510:WMH917512 WVS917510:WWD917512 JG983046:JR983048 TC983046:TN983048 ACY983046:ADJ983048 AMU983046:ANF983048 AWQ983046:AXB983048 BGM983046:BGX983048 BQI983046:BQT983048 CAE983046:CAP983048 CKA983046:CKL983048 CTW983046:CUH983048 DDS983046:DED983048 DNO983046:DNZ983048 DXK983046:DXV983048 EHG983046:EHR983048 ERC983046:ERN983048 FAY983046:FBJ983048 FKU983046:FLF983048 FUQ983046:FVB983048 GEM983046:GEX983048 GOI983046:GOT983048 GYE983046:GYP983048 HIA983046:HIL983048 HRW983046:HSH983048 IBS983046:ICD983048 ILO983046:ILZ983048 IVK983046:IVV983048 JFG983046:JFR983048 JPC983046:JPN983048 JYY983046:JZJ983048 KIU983046:KJF983048 KSQ983046:KTB983048 LCM983046:LCX983048 LMI983046:LMT983048 LWE983046:LWP983048 MGA983046:MGL983048 MPW983046:MQH983048 MZS983046:NAD983048 NJO983046:NJZ983048 NTK983046:NTV983048 ODG983046:ODR983048 ONC983046:ONN983048 OWY983046:OXJ983048 PGU983046:PHF983048 PQQ983046:PRB983048 QAM983046:QAX983048 QKI983046:QKT983048 QUE983046:QUP983048 REA983046:REL983048 RNW983046:ROH983048 RXS983046:RYD983048 SHO983046:SHZ983048 SRK983046:SRV983048 TBG983046:TBR983048 TLC983046:TLN983048 TUY983046:TVJ983048 UEU983046:UFF983048 UOQ983046:UPB983048 UYM983046:UYX983048 VII983046:VIT983048 VSE983046:VSP983048 WCA983046:WCL983048 WLW983046:WMH983048 WVS983046:WWD983048 WVS983051:WWD983053 JG65547:JR65549 TC65547:TN65549 ACY65547:ADJ65549 AMU65547:ANF65549 AWQ65547:AXB65549 BGM65547:BGX65549 BQI65547:BQT65549 CAE65547:CAP65549 CKA65547:CKL65549 CTW65547:CUH65549 DDS65547:DED65549 DNO65547:DNZ65549 DXK65547:DXV65549 EHG65547:EHR65549 ERC65547:ERN65549 FAY65547:FBJ65549 FKU65547:FLF65549 FUQ65547:FVB65549 GEM65547:GEX65549 GOI65547:GOT65549 GYE65547:GYP65549 HIA65547:HIL65549 HRW65547:HSH65549 IBS65547:ICD65549 ILO65547:ILZ65549 IVK65547:IVV65549 JFG65547:JFR65549 JPC65547:JPN65549 JYY65547:JZJ65549 KIU65547:KJF65549 KSQ65547:KTB65549 LCM65547:LCX65549 LMI65547:LMT65549 LWE65547:LWP65549 MGA65547:MGL65549 MPW65547:MQH65549 MZS65547:NAD65549 NJO65547:NJZ65549 NTK65547:NTV65549 ODG65547:ODR65549 ONC65547:ONN65549 OWY65547:OXJ65549 PGU65547:PHF65549 PQQ65547:PRB65549 QAM65547:QAX65549 QKI65547:QKT65549 QUE65547:QUP65549 REA65547:REL65549 RNW65547:ROH65549 RXS65547:RYD65549 SHO65547:SHZ65549 SRK65547:SRV65549 TBG65547:TBR65549 TLC65547:TLN65549 TUY65547:TVJ65549 UEU65547:UFF65549 UOQ65547:UPB65549 UYM65547:UYX65549 VII65547:VIT65549 VSE65547:VSP65549 WCA65547:WCL65549 WLW65547:WMH65549 WVS65547:WWD65549 JG131083:JR131085 TC131083:TN131085 ACY131083:ADJ131085 AMU131083:ANF131085 AWQ131083:AXB131085 BGM131083:BGX131085 BQI131083:BQT131085 CAE131083:CAP131085 CKA131083:CKL131085 CTW131083:CUH131085 DDS131083:DED131085 DNO131083:DNZ131085 DXK131083:DXV131085 EHG131083:EHR131085 ERC131083:ERN131085 FAY131083:FBJ131085 FKU131083:FLF131085 FUQ131083:FVB131085 GEM131083:GEX131085 GOI131083:GOT131085 GYE131083:GYP131085 HIA131083:HIL131085 HRW131083:HSH131085 IBS131083:ICD131085 ILO131083:ILZ131085 IVK131083:IVV131085 JFG131083:JFR131085 JPC131083:JPN131085 JYY131083:JZJ131085 KIU131083:KJF131085 KSQ131083:KTB131085 LCM131083:LCX131085 LMI131083:LMT131085 LWE131083:LWP131085 MGA131083:MGL131085 MPW131083:MQH131085 MZS131083:NAD131085 NJO131083:NJZ131085 NTK131083:NTV131085 ODG131083:ODR131085 ONC131083:ONN131085 OWY131083:OXJ131085 PGU131083:PHF131085 PQQ131083:PRB131085 QAM131083:QAX131085 QKI131083:QKT131085 QUE131083:QUP131085 REA131083:REL131085 RNW131083:ROH131085 RXS131083:RYD131085 SHO131083:SHZ131085 SRK131083:SRV131085 TBG131083:TBR131085 TLC131083:TLN131085 TUY131083:TVJ131085 UEU131083:UFF131085 UOQ131083:UPB131085 UYM131083:UYX131085 VII131083:VIT131085 VSE131083:VSP131085 WCA131083:WCL131085 WLW131083:WMH131085 WVS131083:WWD131085 JG196619:JR196621 TC196619:TN196621 ACY196619:ADJ196621 AMU196619:ANF196621 AWQ196619:AXB196621 BGM196619:BGX196621 BQI196619:BQT196621 CAE196619:CAP196621 CKA196619:CKL196621 CTW196619:CUH196621 DDS196619:DED196621 DNO196619:DNZ196621 DXK196619:DXV196621 EHG196619:EHR196621 ERC196619:ERN196621 FAY196619:FBJ196621 FKU196619:FLF196621 FUQ196619:FVB196621 GEM196619:GEX196621 GOI196619:GOT196621 GYE196619:GYP196621 HIA196619:HIL196621 HRW196619:HSH196621 IBS196619:ICD196621 ILO196619:ILZ196621 IVK196619:IVV196621 JFG196619:JFR196621 JPC196619:JPN196621 JYY196619:JZJ196621 KIU196619:KJF196621 KSQ196619:KTB196621 LCM196619:LCX196621 LMI196619:LMT196621 LWE196619:LWP196621 MGA196619:MGL196621 MPW196619:MQH196621 MZS196619:NAD196621 NJO196619:NJZ196621 NTK196619:NTV196621 ODG196619:ODR196621 ONC196619:ONN196621 OWY196619:OXJ196621 PGU196619:PHF196621 PQQ196619:PRB196621 QAM196619:QAX196621 QKI196619:QKT196621 QUE196619:QUP196621 REA196619:REL196621 RNW196619:ROH196621 RXS196619:RYD196621 SHO196619:SHZ196621 SRK196619:SRV196621 TBG196619:TBR196621 TLC196619:TLN196621 TUY196619:TVJ196621 UEU196619:UFF196621 UOQ196619:UPB196621 UYM196619:UYX196621 VII196619:VIT196621 VSE196619:VSP196621 WCA196619:WCL196621 WLW196619:WMH196621 WVS196619:WWD196621 JG262155:JR262157 TC262155:TN262157 ACY262155:ADJ262157 AMU262155:ANF262157 AWQ262155:AXB262157 BGM262155:BGX262157 BQI262155:BQT262157 CAE262155:CAP262157 CKA262155:CKL262157 CTW262155:CUH262157 DDS262155:DED262157 DNO262155:DNZ262157 DXK262155:DXV262157 EHG262155:EHR262157 ERC262155:ERN262157 FAY262155:FBJ262157 FKU262155:FLF262157 FUQ262155:FVB262157 GEM262155:GEX262157 GOI262155:GOT262157 GYE262155:GYP262157 HIA262155:HIL262157 HRW262155:HSH262157 IBS262155:ICD262157 ILO262155:ILZ262157 IVK262155:IVV262157 JFG262155:JFR262157 JPC262155:JPN262157 JYY262155:JZJ262157 KIU262155:KJF262157 KSQ262155:KTB262157 LCM262155:LCX262157 LMI262155:LMT262157 LWE262155:LWP262157 MGA262155:MGL262157 MPW262155:MQH262157 MZS262155:NAD262157 NJO262155:NJZ262157 NTK262155:NTV262157 ODG262155:ODR262157 ONC262155:ONN262157 OWY262155:OXJ262157 PGU262155:PHF262157 PQQ262155:PRB262157 QAM262155:QAX262157 QKI262155:QKT262157 QUE262155:QUP262157 REA262155:REL262157 RNW262155:ROH262157 RXS262155:RYD262157 SHO262155:SHZ262157 SRK262155:SRV262157 TBG262155:TBR262157 TLC262155:TLN262157 TUY262155:TVJ262157 UEU262155:UFF262157 UOQ262155:UPB262157 UYM262155:UYX262157 VII262155:VIT262157 VSE262155:VSP262157 WCA262155:WCL262157 WLW262155:WMH262157 WVS262155:WWD262157 JG327691:JR327693 TC327691:TN327693 ACY327691:ADJ327693 AMU327691:ANF327693 AWQ327691:AXB327693 BGM327691:BGX327693 BQI327691:BQT327693 CAE327691:CAP327693 CKA327691:CKL327693 CTW327691:CUH327693 DDS327691:DED327693 DNO327691:DNZ327693 DXK327691:DXV327693 EHG327691:EHR327693 ERC327691:ERN327693 FAY327691:FBJ327693 FKU327691:FLF327693 FUQ327691:FVB327693 GEM327691:GEX327693 GOI327691:GOT327693 GYE327691:GYP327693 HIA327691:HIL327693 HRW327691:HSH327693 IBS327691:ICD327693 ILO327691:ILZ327693 IVK327691:IVV327693 JFG327691:JFR327693 JPC327691:JPN327693 JYY327691:JZJ327693 KIU327691:KJF327693 KSQ327691:KTB327693 LCM327691:LCX327693 LMI327691:LMT327693 LWE327691:LWP327693 MGA327691:MGL327693 MPW327691:MQH327693 MZS327691:NAD327693 NJO327691:NJZ327693 NTK327691:NTV327693 ODG327691:ODR327693 ONC327691:ONN327693 OWY327691:OXJ327693 PGU327691:PHF327693 PQQ327691:PRB327693 QAM327691:QAX327693 QKI327691:QKT327693 QUE327691:QUP327693 REA327691:REL327693 RNW327691:ROH327693 RXS327691:RYD327693 SHO327691:SHZ327693 SRK327691:SRV327693 TBG327691:TBR327693 TLC327691:TLN327693 TUY327691:TVJ327693 UEU327691:UFF327693 UOQ327691:UPB327693 UYM327691:UYX327693 VII327691:VIT327693 VSE327691:VSP327693 WCA327691:WCL327693 WLW327691:WMH327693 WVS327691:WWD327693 JG393227:JR393229 TC393227:TN393229 ACY393227:ADJ393229 AMU393227:ANF393229 AWQ393227:AXB393229 BGM393227:BGX393229 BQI393227:BQT393229 CAE393227:CAP393229 CKA393227:CKL393229 CTW393227:CUH393229 DDS393227:DED393229 DNO393227:DNZ393229 DXK393227:DXV393229 EHG393227:EHR393229 ERC393227:ERN393229 FAY393227:FBJ393229 FKU393227:FLF393229 FUQ393227:FVB393229 GEM393227:GEX393229 GOI393227:GOT393229 GYE393227:GYP393229 HIA393227:HIL393229 HRW393227:HSH393229 IBS393227:ICD393229 ILO393227:ILZ393229 IVK393227:IVV393229 JFG393227:JFR393229 JPC393227:JPN393229 JYY393227:JZJ393229 KIU393227:KJF393229 KSQ393227:KTB393229 LCM393227:LCX393229 LMI393227:LMT393229 LWE393227:LWP393229 MGA393227:MGL393229 MPW393227:MQH393229 MZS393227:NAD393229 NJO393227:NJZ393229 NTK393227:NTV393229 ODG393227:ODR393229 ONC393227:ONN393229 OWY393227:OXJ393229 PGU393227:PHF393229 PQQ393227:PRB393229 QAM393227:QAX393229 QKI393227:QKT393229 QUE393227:QUP393229 REA393227:REL393229 RNW393227:ROH393229 RXS393227:RYD393229 SHO393227:SHZ393229 SRK393227:SRV393229 TBG393227:TBR393229 TLC393227:TLN393229 TUY393227:TVJ393229 UEU393227:UFF393229 UOQ393227:UPB393229 UYM393227:UYX393229 VII393227:VIT393229 VSE393227:VSP393229 WCA393227:WCL393229 WLW393227:WMH393229 WVS393227:WWD393229 JG458763:JR458765 TC458763:TN458765 ACY458763:ADJ458765 AMU458763:ANF458765 AWQ458763:AXB458765 BGM458763:BGX458765 BQI458763:BQT458765 CAE458763:CAP458765 CKA458763:CKL458765 CTW458763:CUH458765 DDS458763:DED458765 DNO458763:DNZ458765 DXK458763:DXV458765 EHG458763:EHR458765 ERC458763:ERN458765 FAY458763:FBJ458765 FKU458763:FLF458765 FUQ458763:FVB458765 GEM458763:GEX458765 GOI458763:GOT458765 GYE458763:GYP458765 HIA458763:HIL458765 HRW458763:HSH458765 IBS458763:ICD458765 ILO458763:ILZ458765 IVK458763:IVV458765 JFG458763:JFR458765 JPC458763:JPN458765 JYY458763:JZJ458765 KIU458763:KJF458765 KSQ458763:KTB458765 LCM458763:LCX458765 LMI458763:LMT458765 LWE458763:LWP458765 MGA458763:MGL458765 MPW458763:MQH458765 MZS458763:NAD458765 NJO458763:NJZ458765 NTK458763:NTV458765 ODG458763:ODR458765 ONC458763:ONN458765 OWY458763:OXJ458765 PGU458763:PHF458765 PQQ458763:PRB458765 QAM458763:QAX458765 QKI458763:QKT458765 QUE458763:QUP458765 REA458763:REL458765 RNW458763:ROH458765 RXS458763:RYD458765 SHO458763:SHZ458765 SRK458763:SRV458765 TBG458763:TBR458765 TLC458763:TLN458765 TUY458763:TVJ458765 UEU458763:UFF458765 UOQ458763:UPB458765 UYM458763:UYX458765 VII458763:VIT458765 VSE458763:VSP458765 WCA458763:WCL458765 WLW458763:WMH458765 WVS458763:WWD458765 JG524299:JR524301 TC524299:TN524301 ACY524299:ADJ524301 AMU524299:ANF524301 AWQ524299:AXB524301 BGM524299:BGX524301 BQI524299:BQT524301 CAE524299:CAP524301 CKA524299:CKL524301 CTW524299:CUH524301 DDS524299:DED524301 DNO524299:DNZ524301 DXK524299:DXV524301 EHG524299:EHR524301 ERC524299:ERN524301 FAY524299:FBJ524301 FKU524299:FLF524301 FUQ524299:FVB524301 GEM524299:GEX524301 GOI524299:GOT524301 GYE524299:GYP524301 HIA524299:HIL524301 HRW524299:HSH524301 IBS524299:ICD524301 ILO524299:ILZ524301 IVK524299:IVV524301 JFG524299:JFR524301 JPC524299:JPN524301 JYY524299:JZJ524301 KIU524299:KJF524301 KSQ524299:KTB524301 LCM524299:LCX524301 LMI524299:LMT524301 LWE524299:LWP524301 MGA524299:MGL524301 MPW524299:MQH524301 MZS524299:NAD524301 NJO524299:NJZ524301 NTK524299:NTV524301 ODG524299:ODR524301 ONC524299:ONN524301 OWY524299:OXJ524301 PGU524299:PHF524301 PQQ524299:PRB524301 QAM524299:QAX524301 QKI524299:QKT524301 QUE524299:QUP524301 REA524299:REL524301 RNW524299:ROH524301 RXS524299:RYD524301 SHO524299:SHZ524301 SRK524299:SRV524301 TBG524299:TBR524301 TLC524299:TLN524301 TUY524299:TVJ524301 UEU524299:UFF524301 UOQ524299:UPB524301 UYM524299:UYX524301 VII524299:VIT524301 VSE524299:VSP524301 WCA524299:WCL524301 WLW524299:WMH524301 WVS524299:WWD524301 JG589835:JR589837 TC589835:TN589837 ACY589835:ADJ589837 AMU589835:ANF589837 AWQ589835:AXB589837 BGM589835:BGX589837 BQI589835:BQT589837 CAE589835:CAP589837 CKA589835:CKL589837 CTW589835:CUH589837 DDS589835:DED589837 DNO589835:DNZ589837 DXK589835:DXV589837 EHG589835:EHR589837 ERC589835:ERN589837 FAY589835:FBJ589837 FKU589835:FLF589837 FUQ589835:FVB589837 GEM589835:GEX589837 GOI589835:GOT589837 GYE589835:GYP589837 HIA589835:HIL589837 HRW589835:HSH589837 IBS589835:ICD589837 ILO589835:ILZ589837 IVK589835:IVV589837 JFG589835:JFR589837 JPC589835:JPN589837 JYY589835:JZJ589837 KIU589835:KJF589837 KSQ589835:KTB589837 LCM589835:LCX589837 LMI589835:LMT589837 LWE589835:LWP589837 MGA589835:MGL589837 MPW589835:MQH589837 MZS589835:NAD589837 NJO589835:NJZ589837 NTK589835:NTV589837 ODG589835:ODR589837 ONC589835:ONN589837 OWY589835:OXJ589837 PGU589835:PHF589837 PQQ589835:PRB589837 QAM589835:QAX589837 QKI589835:QKT589837 QUE589835:QUP589837 REA589835:REL589837 RNW589835:ROH589837 RXS589835:RYD589837 SHO589835:SHZ589837 SRK589835:SRV589837 TBG589835:TBR589837 TLC589835:TLN589837 TUY589835:TVJ589837 UEU589835:UFF589837 UOQ589835:UPB589837 UYM589835:UYX589837 VII589835:VIT589837 VSE589835:VSP589837 WCA589835:WCL589837 WLW589835:WMH589837 WVS589835:WWD589837 JG655371:JR655373 TC655371:TN655373 ACY655371:ADJ655373 AMU655371:ANF655373 AWQ655371:AXB655373 BGM655371:BGX655373 BQI655371:BQT655373 CAE655371:CAP655373 CKA655371:CKL655373 CTW655371:CUH655373 DDS655371:DED655373 DNO655371:DNZ655373 DXK655371:DXV655373 EHG655371:EHR655373 ERC655371:ERN655373 FAY655371:FBJ655373 FKU655371:FLF655373 FUQ655371:FVB655373 GEM655371:GEX655373 GOI655371:GOT655373 GYE655371:GYP655373 HIA655371:HIL655373 HRW655371:HSH655373 IBS655371:ICD655373 ILO655371:ILZ655373 IVK655371:IVV655373 JFG655371:JFR655373 JPC655371:JPN655373 JYY655371:JZJ655373 KIU655371:KJF655373 KSQ655371:KTB655373 LCM655371:LCX655373 LMI655371:LMT655373 LWE655371:LWP655373 MGA655371:MGL655373 MPW655371:MQH655373 MZS655371:NAD655373 NJO655371:NJZ655373 NTK655371:NTV655373 ODG655371:ODR655373 ONC655371:ONN655373 OWY655371:OXJ655373 PGU655371:PHF655373 PQQ655371:PRB655373 QAM655371:QAX655373 QKI655371:QKT655373 QUE655371:QUP655373 REA655371:REL655373 RNW655371:ROH655373 RXS655371:RYD655373 SHO655371:SHZ655373 SRK655371:SRV655373 TBG655371:TBR655373 TLC655371:TLN655373 TUY655371:TVJ655373 UEU655371:UFF655373 UOQ655371:UPB655373 UYM655371:UYX655373 VII655371:VIT655373 VSE655371:VSP655373 WCA655371:WCL655373 WLW655371:WMH655373 WVS655371:WWD655373 JG720907:JR720909 TC720907:TN720909 ACY720907:ADJ720909 AMU720907:ANF720909 AWQ720907:AXB720909 BGM720907:BGX720909 BQI720907:BQT720909 CAE720907:CAP720909 CKA720907:CKL720909 CTW720907:CUH720909 DDS720907:DED720909 DNO720907:DNZ720909 DXK720907:DXV720909 EHG720907:EHR720909 ERC720907:ERN720909 FAY720907:FBJ720909 FKU720907:FLF720909 FUQ720907:FVB720909 GEM720907:GEX720909 GOI720907:GOT720909 GYE720907:GYP720909 HIA720907:HIL720909 HRW720907:HSH720909 IBS720907:ICD720909 ILO720907:ILZ720909 IVK720907:IVV720909 JFG720907:JFR720909 JPC720907:JPN720909 JYY720907:JZJ720909 KIU720907:KJF720909 KSQ720907:KTB720909 LCM720907:LCX720909 LMI720907:LMT720909 LWE720907:LWP720909 MGA720907:MGL720909 MPW720907:MQH720909 MZS720907:NAD720909 NJO720907:NJZ720909 NTK720907:NTV720909 ODG720907:ODR720909 ONC720907:ONN720909 OWY720907:OXJ720909 PGU720907:PHF720909 PQQ720907:PRB720909 QAM720907:QAX720909 QKI720907:QKT720909 QUE720907:QUP720909 REA720907:REL720909 RNW720907:ROH720909 RXS720907:RYD720909 SHO720907:SHZ720909 SRK720907:SRV720909 TBG720907:TBR720909 TLC720907:TLN720909 TUY720907:TVJ720909 UEU720907:UFF720909 UOQ720907:UPB720909 UYM720907:UYX720909 VII720907:VIT720909 VSE720907:VSP720909 WCA720907:WCL720909 WLW720907:WMH720909 WVS720907:WWD720909 JG786443:JR786445 TC786443:TN786445 ACY786443:ADJ786445 AMU786443:ANF786445 AWQ786443:AXB786445 BGM786443:BGX786445 BQI786443:BQT786445 CAE786443:CAP786445 CKA786443:CKL786445 CTW786443:CUH786445 DDS786443:DED786445 DNO786443:DNZ786445 DXK786443:DXV786445 EHG786443:EHR786445 ERC786443:ERN786445 FAY786443:FBJ786445 FKU786443:FLF786445 FUQ786443:FVB786445 GEM786443:GEX786445 GOI786443:GOT786445 GYE786443:GYP786445 HIA786443:HIL786445 HRW786443:HSH786445 IBS786443:ICD786445 ILO786443:ILZ786445 IVK786443:IVV786445 JFG786443:JFR786445 JPC786443:JPN786445 JYY786443:JZJ786445 KIU786443:KJF786445 KSQ786443:KTB786445 LCM786443:LCX786445 LMI786443:LMT786445 LWE786443:LWP786445 MGA786443:MGL786445 MPW786443:MQH786445 MZS786443:NAD786445 NJO786443:NJZ786445 NTK786443:NTV786445 ODG786443:ODR786445 ONC786443:ONN786445 OWY786443:OXJ786445 PGU786443:PHF786445 PQQ786443:PRB786445 QAM786443:QAX786445 QKI786443:QKT786445 QUE786443:QUP786445 REA786443:REL786445 RNW786443:ROH786445 RXS786443:RYD786445 SHO786443:SHZ786445 SRK786443:SRV786445 TBG786443:TBR786445 TLC786443:TLN786445 TUY786443:TVJ786445 UEU786443:UFF786445 UOQ786443:UPB786445 UYM786443:UYX786445 VII786443:VIT786445 VSE786443:VSP786445 WCA786443:WCL786445 WLW786443:WMH786445 WVS786443:WWD786445 JG851979:JR851981 TC851979:TN851981 ACY851979:ADJ851981 AMU851979:ANF851981 AWQ851979:AXB851981 BGM851979:BGX851981 BQI851979:BQT851981 CAE851979:CAP851981 CKA851979:CKL851981 CTW851979:CUH851981 DDS851979:DED851981 DNO851979:DNZ851981 DXK851979:DXV851981 EHG851979:EHR851981 ERC851979:ERN851981 FAY851979:FBJ851981 FKU851979:FLF851981 FUQ851979:FVB851981 GEM851979:GEX851981 GOI851979:GOT851981 GYE851979:GYP851981 HIA851979:HIL851981 HRW851979:HSH851981 IBS851979:ICD851981 ILO851979:ILZ851981 IVK851979:IVV851981 JFG851979:JFR851981 JPC851979:JPN851981 JYY851979:JZJ851981 KIU851979:KJF851981 KSQ851979:KTB851981 LCM851979:LCX851981 LMI851979:LMT851981 LWE851979:LWP851981 MGA851979:MGL851981 MPW851979:MQH851981 MZS851979:NAD851981 NJO851979:NJZ851981 NTK851979:NTV851981 ODG851979:ODR851981 ONC851979:ONN851981 OWY851979:OXJ851981 PGU851979:PHF851981 PQQ851979:PRB851981 QAM851979:QAX851981 QKI851979:QKT851981 QUE851979:QUP851981 REA851979:REL851981 RNW851979:ROH851981 RXS851979:RYD851981 SHO851979:SHZ851981 SRK851979:SRV851981 TBG851979:TBR851981 TLC851979:TLN851981 TUY851979:TVJ851981 UEU851979:UFF851981 UOQ851979:UPB851981 UYM851979:UYX851981 VII851979:VIT851981 VSE851979:VSP851981 WCA851979:WCL851981 WLW851979:WMH851981 WVS851979:WWD851981 JG917515:JR917517 TC917515:TN917517 ACY917515:ADJ917517 AMU917515:ANF917517 AWQ917515:AXB917517 BGM917515:BGX917517 BQI917515:BQT917517 CAE917515:CAP917517 CKA917515:CKL917517 CTW917515:CUH917517 DDS917515:DED917517 DNO917515:DNZ917517 DXK917515:DXV917517 EHG917515:EHR917517 ERC917515:ERN917517 FAY917515:FBJ917517 FKU917515:FLF917517 FUQ917515:FVB917517 GEM917515:GEX917517 GOI917515:GOT917517 GYE917515:GYP917517 HIA917515:HIL917517 HRW917515:HSH917517 IBS917515:ICD917517 ILO917515:ILZ917517 IVK917515:IVV917517 JFG917515:JFR917517 JPC917515:JPN917517 JYY917515:JZJ917517 KIU917515:KJF917517 KSQ917515:KTB917517 LCM917515:LCX917517 LMI917515:LMT917517 LWE917515:LWP917517 MGA917515:MGL917517 MPW917515:MQH917517 MZS917515:NAD917517 NJO917515:NJZ917517 NTK917515:NTV917517 ODG917515:ODR917517 ONC917515:ONN917517 OWY917515:OXJ917517 PGU917515:PHF917517 PQQ917515:PRB917517 QAM917515:QAX917517 QKI917515:QKT917517 QUE917515:QUP917517 REA917515:REL917517 RNW917515:ROH917517 RXS917515:RYD917517 SHO917515:SHZ917517 SRK917515:SRV917517 TBG917515:TBR917517 TLC917515:TLN917517 TUY917515:TVJ917517 UEU917515:UFF917517 UOQ917515:UPB917517 UYM917515:UYX917517 VII917515:VIT917517 VSE917515:VSP917517 WCA917515:WCL917517 WLW917515:WMH917517 WVS917515:WWD917517 JG983051:JR983053 TC983051:TN983053 ACY983051:ADJ983053 AMU983051:ANF983053 AWQ983051:AXB983053 BGM983051:BGX983053 BQI983051:BQT983053 CAE983051:CAP983053 CKA983051:CKL983053 CTW983051:CUH983053 DDS983051:DED983053 DNO983051:DNZ983053 DXK983051:DXV983053 EHG983051:EHR983053 ERC983051:ERN983053 FAY983051:FBJ983053 FKU983051:FLF983053 FUQ983051:FVB983053 GEM983051:GEX983053 GOI983051:GOT983053 GYE983051:GYP983053 HIA983051:HIL983053 HRW983051:HSH983053 IBS983051:ICD983053 ILO983051:ILZ983053 IVK983051:IVV983053 JFG983051:JFR983053 JPC983051:JPN983053 JYY983051:JZJ983053 KIU983051:KJF983053 KSQ983051:KTB983053 LCM983051:LCX983053 LMI983051:LMT983053 LWE983051:LWP983053 MGA983051:MGL983053 MPW983051:MQH983053 MZS983051:NAD983053 NJO983051:NJZ983053 NTK983051:NTV983053 ODG983051:ODR983053 ONC983051:ONN983053 OWY983051:OXJ983053 PGU983051:PHF983053 PQQ983051:PRB983053 QAM983051:QAX983053 QKI983051:QKT983053 QUE983051:QUP983053 REA983051:REL983053 RNW983051:ROH983053 RXS983051:RYD983053 SHO983051:SHZ983053 SRK983051:SRV983053 TBG983051:TBR983053 TLC983051:TLN983053 TUY983051:TVJ983053 UEU983051:UFF983053 UOQ983051:UPB983053 UYM983051:UYX983053 VII983051:VIT983053 VSE983051:VSP983053 WCA983051:WCL983053 WLW983051:WMH983053 Z262150:AJ262152 Z196614:AJ196616 Z131078:AJ131080 Z65542:AJ65544 Z983051:AJ983053 Z917515:AJ917517 Z851979:AJ851981 Z786443:AJ786445 Z720907:AJ720909 Z655371:AJ655373 Z589835:AJ589837 Z524299:AJ524301 Z458763:AJ458765 Z393227:AJ393229 Z327691:AJ327693 Z262155:AJ262157 Z196619:AJ196621 Z131083:AJ131085 Z65547:AJ65549 Z983046:AJ983048 Z917510:AJ917512 Z851974:AJ851976 Z786438:AJ786440 Z720902:AJ720904 Z655366:AJ655368 Z589830:AJ589832 Z524294:AJ524296 Z458758:AJ458760 Z393222:AJ393224 Z327686:AJ327688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AA8:AA10 AA11:AC11 AA60:AA85 AA12:AA22 AA27:AA53 AA23:AC26">
      <formula1>"datetime,int,numeric,varchar,nvarchar"</formula1>
    </dataValidation>
    <dataValidation type="list" allowBlank="1" showInputMessage="1" showErrorMessage="1" sqref="AA54:AC59">
      <formula1>"int,numeric,varchar,date,datetime2(0),datetime2,varbinary(max)"</formula1>
    </dataValidation>
    <dataValidation type="list" allowBlank="1" showInputMessage="1" showErrorMessage="1" sqref="Y8:Z85">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theme="0" tint="-0.499984740745262"/>
    <pageSetUpPr autoPageBreaks="0"/>
  </sheetPr>
  <dimension ref="A1:BD58"/>
  <sheetViews>
    <sheetView showGridLines="0" zoomScaleNormal="100" zoomScaleSheetLayoutView="100" workbookViewId="0">
      <pane ySplit="7" topLeftCell="A8" activePane="bottomLeft" state="frozen"/>
      <selection pane="bottomLeft" sqref="A1:H4"/>
    </sheetView>
  </sheetViews>
  <sheetFormatPr defaultColWidth="2.6328125" defaultRowHeight="14.4" customHeight="1"/>
  <cols>
    <col min="1" max="1" width="4.6328125" style="16" customWidth="1"/>
    <col min="2" max="29" width="2.6328125" style="16"/>
    <col min="30" max="30" width="4.6328125" style="16" customWidth="1"/>
    <col min="31" max="33" width="2.6328125" style="16"/>
    <col min="34" max="34" width="6.6328125" style="16" customWidth="1"/>
    <col min="35" max="16384" width="2.6328125" style="16"/>
  </cols>
  <sheetData>
    <row r="1" spans="1:56" s="15" customFormat="1" ht="14.4"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6" s="15" customFormat="1" ht="14.4" customHeight="1">
      <c r="A2" s="609"/>
      <c r="B2" s="610"/>
      <c r="C2" s="610"/>
      <c r="D2" s="610"/>
      <c r="E2" s="610"/>
      <c r="F2" s="610"/>
      <c r="G2" s="610"/>
      <c r="H2" s="611"/>
      <c r="I2" s="446" t="s">
        <v>96</v>
      </c>
      <c r="J2" s="447"/>
      <c r="K2" s="447"/>
      <c r="L2" s="447"/>
      <c r="M2" s="447"/>
      <c r="N2" s="447"/>
      <c r="O2" s="447"/>
      <c r="P2" s="447"/>
      <c r="Q2" s="448"/>
      <c r="R2" s="446" t="str">
        <f ca="1">VLOOKUP(RIGHT(CELL("filename",A2),LEN(CELL("filename",A2))-FIND("]",CELL("filename",A2))),テーブル一覧!B:AC,22,FALSE)</f>
        <v>K.在庫</v>
      </c>
      <c r="S2" s="447"/>
      <c r="T2" s="447"/>
      <c r="U2" s="447"/>
      <c r="V2" s="447"/>
      <c r="W2" s="447"/>
      <c r="X2" s="448"/>
      <c r="Y2" s="446" t="str">
        <f ca="1">VLOOKUP(RIGHT(CELL("filename",A2),LEN(CELL("filename",A2))-FIND("]",CELL("filename",A2))),テーブル一覧!B:AC,1,FALSE)</f>
        <v>資材在庫実績情報_一時退避</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6" s="15" customFormat="1" ht="14.4"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6" s="15" customFormat="1" ht="14.4"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str">
        <f ca="1">IF(VLOOKUP(RIGHT(CELL("filename",A2),LEN(CELL("filename",A2))-FIND("]",CELL("filename",A2))),テーブル一覧!B:AC,11,FALSE)=0,"",VLOOKUP(RIGHT(CELL("filename",A2),LEN(CELL("filename",A2))-FIND("]",CELL("filename",A2))),テーブル一覧!B:AC,11,FALSE))</f>
        <v>tmp_shizai_zaiko_jisseki</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5" spans="1:56" ht="14.4" customHeight="1">
      <c r="A5" s="291"/>
      <c r="B5" s="291"/>
      <c r="C5" s="291"/>
      <c r="D5" s="291"/>
      <c r="E5" s="291"/>
      <c r="F5" s="291"/>
      <c r="G5" s="291"/>
      <c r="H5" s="291"/>
      <c r="I5" s="291"/>
      <c r="J5" s="291"/>
      <c r="K5" s="291"/>
      <c r="L5" s="291"/>
      <c r="M5" s="291"/>
      <c r="N5" s="291"/>
      <c r="O5" s="291"/>
      <c r="P5" s="291"/>
      <c r="Q5" s="291"/>
      <c r="R5" s="291"/>
      <c r="S5" s="291"/>
      <c r="T5" s="291"/>
      <c r="U5" s="291"/>
      <c r="V5" s="291"/>
      <c r="W5" s="291"/>
      <c r="X5" s="291"/>
      <c r="Y5" s="291"/>
      <c r="Z5" s="291"/>
      <c r="AA5" s="291"/>
      <c r="AB5" s="291"/>
      <c r="AC5" s="291"/>
    </row>
    <row r="6" spans="1:56" ht="14.4"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6" ht="14.4"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6" ht="14.4" customHeight="1">
      <c r="A8" s="37">
        <f>IF(B8="","",COUNTA($B$8:B8))</f>
        <v>1</v>
      </c>
      <c r="B8" s="17" t="s">
        <v>1655</v>
      </c>
      <c r="C8" s="18"/>
      <c r="D8" s="18"/>
      <c r="E8" s="18"/>
      <c r="F8" s="18"/>
      <c r="G8" s="18"/>
      <c r="H8" s="18"/>
      <c r="I8" s="19"/>
      <c r="J8" s="20"/>
      <c r="K8" s="20"/>
      <c r="L8" s="20"/>
      <c r="M8" s="20"/>
      <c r="N8" s="20"/>
      <c r="O8" s="20"/>
      <c r="P8" s="20"/>
      <c r="Q8" s="20"/>
      <c r="R8" s="17" t="s">
        <v>1655</v>
      </c>
      <c r="S8" s="18"/>
      <c r="T8" s="18"/>
      <c r="U8" s="18"/>
      <c r="V8" s="18"/>
      <c r="W8" s="18"/>
      <c r="X8" s="18"/>
      <c r="Y8" s="589" t="s">
        <v>1504</v>
      </c>
      <c r="Z8" s="590"/>
      <c r="AA8" s="591" t="s">
        <v>1505</v>
      </c>
      <c r="AB8" s="592"/>
      <c r="AC8" s="593"/>
      <c r="AD8" s="53">
        <v>15</v>
      </c>
      <c r="AE8" s="24" t="s">
        <v>1585</v>
      </c>
      <c r="AF8" s="24" t="s">
        <v>116</v>
      </c>
      <c r="AG8" s="24"/>
      <c r="AH8" s="24"/>
      <c r="AI8" s="24"/>
      <c r="AJ8" s="24"/>
      <c r="AK8" s="24"/>
      <c r="AL8" s="24"/>
      <c r="AM8" s="24"/>
      <c r="AN8" s="24"/>
      <c r="AO8" s="25"/>
      <c r="AP8" s="25"/>
      <c r="AQ8" s="25"/>
      <c r="AR8" s="25"/>
      <c r="AS8" s="35" t="s">
        <v>1182</v>
      </c>
      <c r="AT8" s="36"/>
      <c r="AU8" s="36"/>
      <c r="AV8" s="36"/>
      <c r="AW8" s="36"/>
      <c r="AX8" s="36"/>
      <c r="AY8" s="36"/>
      <c r="AZ8" s="36"/>
      <c r="BA8" s="36"/>
      <c r="BB8" s="36"/>
      <c r="BC8" s="36"/>
      <c r="BD8" s="50"/>
    </row>
    <row r="9" spans="1:56" ht="14.4" customHeight="1">
      <c r="A9" s="37">
        <f>IF(B9="","",COUNTA($B$8:B9))</f>
        <v>2</v>
      </c>
      <c r="B9" s="17" t="s">
        <v>1613</v>
      </c>
      <c r="C9" s="18"/>
      <c r="D9" s="18"/>
      <c r="E9" s="18"/>
      <c r="F9" s="18"/>
      <c r="G9" s="18"/>
      <c r="H9" s="18"/>
      <c r="I9" s="19" t="s">
        <v>1480</v>
      </c>
      <c r="J9" s="20"/>
      <c r="K9" s="20"/>
      <c r="L9" s="20"/>
      <c r="M9" s="20"/>
      <c r="N9" s="20"/>
      <c r="O9" s="20"/>
      <c r="P9" s="20"/>
      <c r="Q9" s="20"/>
      <c r="R9" s="17" t="s">
        <v>1613</v>
      </c>
      <c r="S9" s="18"/>
      <c r="T9" s="18"/>
      <c r="U9" s="18"/>
      <c r="V9" s="18"/>
      <c r="W9" s="18"/>
      <c r="X9" s="18"/>
      <c r="Y9" s="589" t="s">
        <v>1504</v>
      </c>
      <c r="Z9" s="590"/>
      <c r="AA9" s="591" t="s">
        <v>1505</v>
      </c>
      <c r="AB9" s="592"/>
      <c r="AC9" s="593"/>
      <c r="AD9" s="23">
        <v>10</v>
      </c>
      <c r="AE9" s="24" t="s">
        <v>1585</v>
      </c>
      <c r="AF9" s="24"/>
      <c r="AG9" s="24"/>
      <c r="AH9" s="24"/>
      <c r="AI9" s="24"/>
      <c r="AJ9" s="24"/>
      <c r="AK9" s="24"/>
      <c r="AL9" s="24"/>
      <c r="AM9" s="24"/>
      <c r="AN9" s="24"/>
      <c r="AO9" s="25"/>
      <c r="AP9" s="25"/>
      <c r="AQ9" s="25"/>
      <c r="AR9" s="25"/>
      <c r="AS9" s="35" t="s">
        <v>1185</v>
      </c>
      <c r="AT9" s="36"/>
      <c r="AU9" s="36"/>
      <c r="AV9" s="36"/>
      <c r="AW9" s="36"/>
      <c r="AX9" s="36"/>
      <c r="AY9" s="36"/>
      <c r="AZ9" s="36"/>
      <c r="BA9" s="36"/>
      <c r="BB9" s="36"/>
      <c r="BC9" s="36"/>
      <c r="BD9" s="50"/>
    </row>
    <row r="10" spans="1:56" ht="14.4" customHeight="1">
      <c r="A10" s="37">
        <f>IF(B10="","",COUNTA($B$8:B10))</f>
        <v>3</v>
      </c>
      <c r="B10" s="17" t="s">
        <v>1183</v>
      </c>
      <c r="C10" s="18"/>
      <c r="D10" s="18"/>
      <c r="E10" s="18"/>
      <c r="F10" s="18"/>
      <c r="G10" s="18"/>
      <c r="H10" s="18"/>
      <c r="I10" s="19"/>
      <c r="J10" s="20"/>
      <c r="K10" s="20"/>
      <c r="L10" s="20"/>
      <c r="M10" s="20"/>
      <c r="N10" s="20"/>
      <c r="O10" s="20"/>
      <c r="P10" s="20"/>
      <c r="Q10" s="20"/>
      <c r="R10" s="17" t="s">
        <v>1183</v>
      </c>
      <c r="S10" s="18"/>
      <c r="T10" s="18"/>
      <c r="U10" s="18"/>
      <c r="V10" s="18"/>
      <c r="W10" s="18"/>
      <c r="X10" s="18"/>
      <c r="Y10" s="589" t="s">
        <v>111</v>
      </c>
      <c r="Z10" s="636"/>
      <c r="AA10" s="591" t="s">
        <v>106</v>
      </c>
      <c r="AB10" s="592"/>
      <c r="AC10" s="593"/>
      <c r="AD10" s="23">
        <v>4</v>
      </c>
      <c r="AE10" s="24"/>
      <c r="AF10" s="24"/>
      <c r="AG10" s="24"/>
      <c r="AH10" s="24"/>
      <c r="AI10" s="24"/>
      <c r="AJ10" s="24"/>
      <c r="AK10" s="24"/>
      <c r="AL10" s="24"/>
      <c r="AM10" s="24"/>
      <c r="AN10" s="24"/>
      <c r="AO10" s="25"/>
      <c r="AP10" s="25"/>
      <c r="AQ10" s="25"/>
      <c r="AR10" s="25"/>
      <c r="AS10" s="35" t="s">
        <v>1185</v>
      </c>
      <c r="AT10" s="36"/>
      <c r="AU10" s="36"/>
      <c r="AV10" s="36"/>
      <c r="AW10" s="36"/>
      <c r="AX10" s="36"/>
      <c r="AY10" s="36"/>
      <c r="AZ10" s="36"/>
      <c r="BA10" s="36"/>
      <c r="BB10" s="36"/>
      <c r="BC10" s="36"/>
      <c r="BD10" s="50"/>
    </row>
    <row r="11" spans="1:56" ht="14.4" customHeight="1">
      <c r="A11" s="37">
        <f>IF(B11="","",COUNTA($B$8:B11))</f>
        <v>4</v>
      </c>
      <c r="B11" s="17" t="s">
        <v>1614</v>
      </c>
      <c r="C11" s="18"/>
      <c r="D11" s="18"/>
      <c r="E11" s="18"/>
      <c r="F11" s="18"/>
      <c r="G11" s="18"/>
      <c r="H11" s="18"/>
      <c r="I11" s="19" t="s">
        <v>1481</v>
      </c>
      <c r="J11" s="20"/>
      <c r="K11" s="20"/>
      <c r="L11" s="20"/>
      <c r="M11" s="20"/>
      <c r="N11" s="20"/>
      <c r="O11" s="20"/>
      <c r="P11" s="20"/>
      <c r="Q11" s="20"/>
      <c r="R11" s="17" t="s">
        <v>1614</v>
      </c>
      <c r="S11" s="18"/>
      <c r="T11" s="18"/>
      <c r="U11" s="18"/>
      <c r="V11" s="18"/>
      <c r="W11" s="18"/>
      <c r="X11" s="18"/>
      <c r="Y11" s="589" t="s">
        <v>1516</v>
      </c>
      <c r="Z11" s="636"/>
      <c r="AA11" s="591" t="s">
        <v>1517</v>
      </c>
      <c r="AB11" s="592"/>
      <c r="AC11" s="593"/>
      <c r="AD11" s="23">
        <v>3</v>
      </c>
      <c r="AE11" s="24" t="s">
        <v>1585</v>
      </c>
      <c r="AF11" s="24"/>
      <c r="AG11" s="24"/>
      <c r="AH11" s="24"/>
      <c r="AI11" s="24"/>
      <c r="AJ11" s="24"/>
      <c r="AK11" s="24"/>
      <c r="AL11" s="24"/>
      <c r="AM11" s="24"/>
      <c r="AN11" s="24"/>
      <c r="AO11" s="25"/>
      <c r="AP11" s="25"/>
      <c r="AQ11" s="25"/>
      <c r="AR11" s="25"/>
      <c r="AS11" s="35" t="s">
        <v>1185</v>
      </c>
      <c r="AT11" s="36"/>
      <c r="AU11" s="36"/>
      <c r="AV11" s="36"/>
      <c r="AW11" s="36"/>
      <c r="AX11" s="36"/>
      <c r="AY11" s="36"/>
      <c r="AZ11" s="36"/>
      <c r="BA11" s="36"/>
      <c r="BB11" s="36"/>
      <c r="BC11" s="36"/>
      <c r="BD11" s="50"/>
    </row>
    <row r="12" spans="1:56" ht="14.4" customHeight="1">
      <c r="A12" s="37">
        <f>IF(B12="","",COUNTA($B$8:B12))</f>
        <v>5</v>
      </c>
      <c r="B12" s="17" t="s">
        <v>1598</v>
      </c>
      <c r="C12" s="18"/>
      <c r="D12" s="18"/>
      <c r="E12" s="18"/>
      <c r="F12" s="18"/>
      <c r="G12" s="18"/>
      <c r="H12" s="18"/>
      <c r="I12" s="19" t="s">
        <v>627</v>
      </c>
      <c r="J12" s="20"/>
      <c r="K12" s="20"/>
      <c r="L12" s="20"/>
      <c r="M12" s="20"/>
      <c r="N12" s="20"/>
      <c r="O12" s="20"/>
      <c r="P12" s="20"/>
      <c r="Q12" s="20"/>
      <c r="R12" s="17" t="s">
        <v>1598</v>
      </c>
      <c r="S12" s="18"/>
      <c r="T12" s="18"/>
      <c r="U12" s="18"/>
      <c r="V12" s="18"/>
      <c r="W12" s="18"/>
      <c r="X12" s="18"/>
      <c r="Y12" s="647" t="s">
        <v>141</v>
      </c>
      <c r="Z12" s="675"/>
      <c r="AA12" s="649" t="s">
        <v>1505</v>
      </c>
      <c r="AB12" s="650"/>
      <c r="AC12" s="651"/>
      <c r="AD12" s="118">
        <v>15</v>
      </c>
      <c r="AE12" s="24" t="s">
        <v>1585</v>
      </c>
      <c r="AF12" s="24"/>
      <c r="AG12" s="24"/>
      <c r="AH12" s="24"/>
      <c r="AI12" s="24"/>
      <c r="AJ12" s="24"/>
      <c r="AK12" s="24"/>
      <c r="AL12" s="24"/>
      <c r="AM12" s="24"/>
      <c r="AN12" s="24"/>
      <c r="AO12" s="25"/>
      <c r="AP12" s="25"/>
      <c r="AQ12" s="25"/>
      <c r="AR12" s="25"/>
      <c r="AS12" s="35" t="s">
        <v>1256</v>
      </c>
      <c r="AT12" s="36"/>
      <c r="AU12" s="36"/>
      <c r="AV12" s="36"/>
      <c r="AW12" s="36"/>
      <c r="AX12" s="36"/>
      <c r="AY12" s="36"/>
      <c r="AZ12" s="36"/>
      <c r="BA12" s="36"/>
      <c r="BB12" s="36"/>
      <c r="BC12" s="36"/>
      <c r="BD12" s="50"/>
    </row>
    <row r="13" spans="1:56" ht="14.4" customHeight="1">
      <c r="A13" s="37">
        <f>IF(B13="","",COUNTA($B$8:B13))</f>
        <v>6</v>
      </c>
      <c r="B13" s="17" t="s">
        <v>1597</v>
      </c>
      <c r="C13" s="18"/>
      <c r="D13" s="18"/>
      <c r="E13" s="18"/>
      <c r="F13" s="18"/>
      <c r="G13" s="18"/>
      <c r="H13" s="18"/>
      <c r="I13" s="19" t="s">
        <v>1486</v>
      </c>
      <c r="J13" s="20"/>
      <c r="K13" s="20"/>
      <c r="L13" s="20"/>
      <c r="M13" s="20"/>
      <c r="N13" s="20"/>
      <c r="O13" s="20"/>
      <c r="P13" s="20"/>
      <c r="Q13" s="20"/>
      <c r="R13" s="17" t="s">
        <v>1597</v>
      </c>
      <c r="S13" s="18"/>
      <c r="T13" s="18"/>
      <c r="U13" s="18"/>
      <c r="V13" s="18"/>
      <c r="W13" s="18"/>
      <c r="X13" s="18"/>
      <c r="Y13" s="589" t="s">
        <v>1510</v>
      </c>
      <c r="Z13" s="636"/>
      <c r="AA13" s="591" t="s">
        <v>1511</v>
      </c>
      <c r="AB13" s="592"/>
      <c r="AC13" s="593"/>
      <c r="AD13" s="23"/>
      <c r="AE13" s="24" t="s">
        <v>1585</v>
      </c>
      <c r="AF13" s="24"/>
      <c r="AG13" s="24"/>
      <c r="AH13" s="24"/>
      <c r="AI13" s="24"/>
      <c r="AJ13" s="24"/>
      <c r="AK13" s="24"/>
      <c r="AL13" s="24"/>
      <c r="AM13" s="24"/>
      <c r="AN13" s="24"/>
      <c r="AO13" s="25"/>
      <c r="AP13" s="25"/>
      <c r="AQ13" s="25"/>
      <c r="AR13" s="25"/>
      <c r="AS13" s="35" t="s">
        <v>1256</v>
      </c>
      <c r="AT13" s="36"/>
      <c r="AU13" s="36"/>
      <c r="AV13" s="36"/>
      <c r="AW13" s="36"/>
      <c r="AX13" s="36"/>
      <c r="AY13" s="36"/>
      <c r="AZ13" s="36"/>
      <c r="BA13" s="36"/>
      <c r="BB13" s="36"/>
      <c r="BC13" s="36"/>
      <c r="BD13" s="50"/>
    </row>
    <row r="14" spans="1:56" ht="14.4" customHeight="1">
      <c r="A14" s="37">
        <f>IF(B14="","",COUNTA($B$8:B14))</f>
        <v>7</v>
      </c>
      <c r="B14" s="17" t="s">
        <v>1594</v>
      </c>
      <c r="C14" s="18"/>
      <c r="D14" s="18"/>
      <c r="E14" s="18"/>
      <c r="F14" s="18"/>
      <c r="G14" s="18"/>
      <c r="H14" s="18"/>
      <c r="I14" s="19"/>
      <c r="J14" s="20"/>
      <c r="K14" s="20"/>
      <c r="L14" s="20"/>
      <c r="M14" s="20"/>
      <c r="N14" s="20"/>
      <c r="O14" s="20"/>
      <c r="P14" s="20"/>
      <c r="Q14" s="20"/>
      <c r="R14" s="17" t="s">
        <v>1594</v>
      </c>
      <c r="S14" s="18"/>
      <c r="T14" s="18"/>
      <c r="U14" s="18"/>
      <c r="V14" s="18"/>
      <c r="W14" s="18"/>
      <c r="X14" s="18"/>
      <c r="Y14" s="589" t="s">
        <v>1510</v>
      </c>
      <c r="Z14" s="636"/>
      <c r="AA14" s="591" t="s">
        <v>1511</v>
      </c>
      <c r="AB14" s="592"/>
      <c r="AC14" s="593"/>
      <c r="AD14" s="23"/>
      <c r="AE14" s="24" t="s">
        <v>1585</v>
      </c>
      <c r="AF14" s="24"/>
      <c r="AG14" s="24"/>
      <c r="AH14" s="24"/>
      <c r="AI14" s="24"/>
      <c r="AJ14" s="24"/>
      <c r="AK14" s="24"/>
      <c r="AL14" s="24"/>
      <c r="AM14" s="24"/>
      <c r="AN14" s="24"/>
      <c r="AO14" s="25"/>
      <c r="AP14" s="25"/>
      <c r="AQ14" s="25"/>
      <c r="AR14" s="25"/>
      <c r="AS14" s="35" t="s">
        <v>1256</v>
      </c>
      <c r="AT14" s="36"/>
      <c r="AU14" s="36"/>
      <c r="AV14" s="36"/>
      <c r="AW14" s="36"/>
      <c r="AX14" s="36"/>
      <c r="AY14" s="36"/>
      <c r="AZ14" s="36"/>
      <c r="BA14" s="36"/>
      <c r="BB14" s="36"/>
      <c r="BC14" s="36"/>
      <c r="BD14" s="50"/>
    </row>
    <row r="15" spans="1:56" ht="14.4" customHeight="1">
      <c r="A15" s="37">
        <f>IF(B15="","",COUNTA($B$8:B15))</f>
        <v>8</v>
      </c>
      <c r="B15" s="17" t="s">
        <v>1593</v>
      </c>
      <c r="C15" s="18"/>
      <c r="D15" s="18"/>
      <c r="E15" s="18"/>
      <c r="F15" s="18"/>
      <c r="G15" s="18"/>
      <c r="H15" s="18"/>
      <c r="I15" s="19" t="s">
        <v>384</v>
      </c>
      <c r="J15" s="20"/>
      <c r="K15" s="20"/>
      <c r="L15" s="20"/>
      <c r="M15" s="20"/>
      <c r="N15" s="20"/>
      <c r="O15" s="20"/>
      <c r="P15" s="20"/>
      <c r="Q15" s="20"/>
      <c r="R15" s="17" t="s">
        <v>1593</v>
      </c>
      <c r="S15" s="18"/>
      <c r="T15" s="18"/>
      <c r="U15" s="18"/>
      <c r="V15" s="18"/>
      <c r="W15" s="18"/>
      <c r="X15" s="18"/>
      <c r="Y15" s="589" t="s">
        <v>141</v>
      </c>
      <c r="Z15" s="636"/>
      <c r="AA15" s="591" t="s">
        <v>1505</v>
      </c>
      <c r="AB15" s="592"/>
      <c r="AC15" s="593"/>
      <c r="AD15" s="23">
        <v>2</v>
      </c>
      <c r="AE15" s="24" t="s">
        <v>1585</v>
      </c>
      <c r="AF15" s="24"/>
      <c r="AG15" s="24"/>
      <c r="AH15" s="24"/>
      <c r="AI15" s="24"/>
      <c r="AJ15" s="24"/>
      <c r="AK15" s="24"/>
      <c r="AL15" s="24"/>
      <c r="AM15" s="24"/>
      <c r="AN15" s="24"/>
      <c r="AO15" s="25"/>
      <c r="AP15" s="25"/>
      <c r="AQ15" s="25"/>
      <c r="AR15" s="25"/>
      <c r="AS15" s="35" t="s">
        <v>1256</v>
      </c>
      <c r="AT15" s="36"/>
      <c r="AU15" s="36"/>
      <c r="AV15" s="36"/>
      <c r="AW15" s="36"/>
      <c r="AX15" s="36"/>
      <c r="AY15" s="36"/>
      <c r="AZ15" s="36"/>
      <c r="BA15" s="36"/>
      <c r="BB15" s="36"/>
      <c r="BC15" s="36"/>
      <c r="BD15" s="50"/>
    </row>
    <row r="16" spans="1:56" ht="14.4" customHeight="1">
      <c r="A16" s="37">
        <f>IF(B16="","",COUNTA($B$8:B16))</f>
        <v>9</v>
      </c>
      <c r="B16" s="17" t="s">
        <v>1599</v>
      </c>
      <c r="C16" s="18"/>
      <c r="D16" s="18"/>
      <c r="E16" s="18"/>
      <c r="F16" s="18"/>
      <c r="G16" s="18"/>
      <c r="H16" s="18"/>
      <c r="I16" s="19" t="s">
        <v>494</v>
      </c>
      <c r="J16" s="20"/>
      <c r="K16" s="20"/>
      <c r="L16" s="20"/>
      <c r="M16" s="20"/>
      <c r="N16" s="20"/>
      <c r="O16" s="20"/>
      <c r="P16" s="20"/>
      <c r="Q16" s="20"/>
      <c r="R16" s="17" t="s">
        <v>1599</v>
      </c>
      <c r="S16" s="18"/>
      <c r="T16" s="18"/>
      <c r="U16" s="18"/>
      <c r="V16" s="18"/>
      <c r="W16" s="18"/>
      <c r="X16" s="18"/>
      <c r="Y16" s="589" t="s">
        <v>141</v>
      </c>
      <c r="Z16" s="636"/>
      <c r="AA16" s="591" t="s">
        <v>1505</v>
      </c>
      <c r="AB16" s="592"/>
      <c r="AC16" s="593"/>
      <c r="AD16" s="23">
        <v>4</v>
      </c>
      <c r="AE16" s="24" t="s">
        <v>1585</v>
      </c>
      <c r="AF16" s="24"/>
      <c r="AG16" s="24"/>
      <c r="AH16" s="24"/>
      <c r="AI16" s="24"/>
      <c r="AJ16" s="24"/>
      <c r="AK16" s="24"/>
      <c r="AL16" s="24"/>
      <c r="AM16" s="24"/>
      <c r="AN16" s="24"/>
      <c r="AO16" s="25"/>
      <c r="AP16" s="25"/>
      <c r="AQ16" s="25"/>
      <c r="AR16" s="25"/>
      <c r="AS16" s="35" t="s">
        <v>1256</v>
      </c>
      <c r="AT16" s="36"/>
      <c r="AU16" s="36"/>
      <c r="AV16" s="36"/>
      <c r="AW16" s="36"/>
      <c r="AX16" s="36"/>
      <c r="AY16" s="36"/>
      <c r="AZ16" s="36"/>
      <c r="BA16" s="36"/>
      <c r="BB16" s="36"/>
      <c r="BC16" s="36"/>
      <c r="BD16" s="50"/>
    </row>
    <row r="17" spans="1:56" ht="14.4" customHeight="1">
      <c r="A17" s="37">
        <f>IF(B17="","",COUNTA($B$8:B17))</f>
        <v>10</v>
      </c>
      <c r="B17" s="17" t="s">
        <v>1592</v>
      </c>
      <c r="C17" s="18"/>
      <c r="D17" s="18"/>
      <c r="E17" s="18"/>
      <c r="F17" s="18"/>
      <c r="G17" s="18"/>
      <c r="H17" s="18"/>
      <c r="I17" s="19" t="s">
        <v>702</v>
      </c>
      <c r="J17" s="20"/>
      <c r="K17" s="20"/>
      <c r="L17" s="20"/>
      <c r="M17" s="20"/>
      <c r="N17" s="20"/>
      <c r="O17" s="20"/>
      <c r="P17" s="20"/>
      <c r="Q17" s="20"/>
      <c r="R17" s="17" t="s">
        <v>1592</v>
      </c>
      <c r="S17" s="18"/>
      <c r="T17" s="18"/>
      <c r="U17" s="18"/>
      <c r="V17" s="18"/>
      <c r="W17" s="18"/>
      <c r="X17" s="18"/>
      <c r="Y17" s="647" t="s">
        <v>141</v>
      </c>
      <c r="Z17" s="675"/>
      <c r="AA17" s="649" t="s">
        <v>1505</v>
      </c>
      <c r="AB17" s="650"/>
      <c r="AC17" s="651"/>
      <c r="AD17" s="118">
        <v>2</v>
      </c>
      <c r="AE17" s="24" t="s">
        <v>1585</v>
      </c>
      <c r="AF17" s="24"/>
      <c r="AG17" s="24"/>
      <c r="AH17" s="24"/>
      <c r="AI17" s="24"/>
      <c r="AJ17" s="24"/>
      <c r="AK17" s="24"/>
      <c r="AL17" s="24"/>
      <c r="AM17" s="24"/>
      <c r="AN17" s="24"/>
      <c r="AO17" s="25"/>
      <c r="AP17" s="25"/>
      <c r="AQ17" s="25"/>
      <c r="AR17" s="25"/>
      <c r="AS17" s="35" t="s">
        <v>1256</v>
      </c>
      <c r="AT17" s="36"/>
      <c r="AU17" s="36"/>
      <c r="AV17" s="36"/>
      <c r="AW17" s="36"/>
      <c r="AX17" s="36"/>
      <c r="AY17" s="36"/>
      <c r="AZ17" s="36"/>
      <c r="BA17" s="36"/>
      <c r="BB17" s="36"/>
      <c r="BC17" s="36"/>
      <c r="BD17" s="50"/>
    </row>
    <row r="18" spans="1:56" ht="14.4" customHeight="1">
      <c r="A18" s="37">
        <f>IF(B18="","",COUNTA($B$8:B18))</f>
        <v>11</v>
      </c>
      <c r="B18" s="17" t="s">
        <v>1595</v>
      </c>
      <c r="C18" s="18"/>
      <c r="D18" s="18"/>
      <c r="E18" s="18"/>
      <c r="F18" s="18"/>
      <c r="G18" s="18"/>
      <c r="H18" s="18"/>
      <c r="I18" s="19" t="s">
        <v>1487</v>
      </c>
      <c r="J18" s="20"/>
      <c r="K18" s="20"/>
      <c r="L18" s="20"/>
      <c r="M18" s="20"/>
      <c r="N18" s="20"/>
      <c r="O18" s="20"/>
      <c r="P18" s="20"/>
      <c r="Q18" s="20"/>
      <c r="R18" s="17" t="s">
        <v>1595</v>
      </c>
      <c r="S18" s="18"/>
      <c r="T18" s="18"/>
      <c r="U18" s="18"/>
      <c r="V18" s="18"/>
      <c r="W18" s="18"/>
      <c r="X18" s="18"/>
      <c r="Y18" s="647" t="s">
        <v>141</v>
      </c>
      <c r="Z18" s="675"/>
      <c r="AA18" s="649" t="s">
        <v>1505</v>
      </c>
      <c r="AB18" s="650"/>
      <c r="AC18" s="651"/>
      <c r="AD18" s="118">
        <v>2</v>
      </c>
      <c r="AE18" s="95"/>
      <c r="AF18" s="24"/>
      <c r="AG18" s="24"/>
      <c r="AH18" s="24"/>
      <c r="AI18" s="24"/>
      <c r="AJ18" s="24"/>
      <c r="AK18" s="24"/>
      <c r="AL18" s="24"/>
      <c r="AM18" s="24"/>
      <c r="AN18" s="24"/>
      <c r="AO18" s="25"/>
      <c r="AP18" s="25"/>
      <c r="AQ18" s="25"/>
      <c r="AR18" s="25"/>
      <c r="AS18" s="35" t="s">
        <v>1256</v>
      </c>
      <c r="AT18" s="36"/>
      <c r="AU18" s="36"/>
      <c r="AV18" s="36"/>
      <c r="AW18" s="36"/>
      <c r="AX18" s="36"/>
      <c r="AY18" s="36"/>
      <c r="AZ18" s="36"/>
      <c r="BA18" s="36"/>
      <c r="BB18" s="36"/>
      <c r="BC18" s="36"/>
      <c r="BD18" s="50"/>
    </row>
    <row r="19" spans="1:56" ht="14.4" customHeight="1">
      <c r="A19" s="37">
        <f>IF(B19="","",COUNTA($B$8:B19))</f>
        <v>12</v>
      </c>
      <c r="B19" s="17" t="s">
        <v>1600</v>
      </c>
      <c r="C19" s="18"/>
      <c r="D19" s="18"/>
      <c r="E19" s="18"/>
      <c r="F19" s="18"/>
      <c r="G19" s="18"/>
      <c r="H19" s="18"/>
      <c r="I19" s="19"/>
      <c r="J19" s="20"/>
      <c r="K19" s="20"/>
      <c r="L19" s="20"/>
      <c r="M19" s="20"/>
      <c r="N19" s="20"/>
      <c r="O19" s="20"/>
      <c r="P19" s="20"/>
      <c r="Q19" s="20"/>
      <c r="R19" s="17" t="s">
        <v>1600</v>
      </c>
      <c r="S19" s="18"/>
      <c r="T19" s="18"/>
      <c r="U19" s="18"/>
      <c r="V19" s="18"/>
      <c r="W19" s="18"/>
      <c r="X19" s="18"/>
      <c r="Y19" s="647" t="s">
        <v>141</v>
      </c>
      <c r="Z19" s="675"/>
      <c r="AA19" s="649" t="s">
        <v>1505</v>
      </c>
      <c r="AB19" s="650"/>
      <c r="AC19" s="651"/>
      <c r="AD19" s="118">
        <v>2</v>
      </c>
      <c r="AE19" s="95"/>
      <c r="AF19" s="24"/>
      <c r="AG19" s="24"/>
      <c r="AH19" s="24"/>
      <c r="AI19" s="24"/>
      <c r="AJ19" s="24"/>
      <c r="AK19" s="24"/>
      <c r="AL19" s="24"/>
      <c r="AM19" s="24"/>
      <c r="AN19" s="24"/>
      <c r="AO19" s="25"/>
      <c r="AP19" s="25"/>
      <c r="AQ19" s="25"/>
      <c r="AR19" s="25"/>
      <c r="AS19" s="35" t="s">
        <v>1256</v>
      </c>
      <c r="AT19" s="36"/>
      <c r="AU19" s="36"/>
      <c r="AV19" s="36"/>
      <c r="AW19" s="36"/>
      <c r="AX19" s="36"/>
      <c r="AY19" s="36"/>
      <c r="AZ19" s="36"/>
      <c r="BA19" s="36"/>
      <c r="BB19" s="36"/>
      <c r="BC19" s="36"/>
      <c r="BD19" s="50"/>
    </row>
    <row r="20" spans="1:56" ht="14.4" customHeight="1">
      <c r="A20" s="37">
        <f>IF(B20="","",COUNTA($B$8:B20))</f>
        <v>13</v>
      </c>
      <c r="B20" s="17" t="s">
        <v>1591</v>
      </c>
      <c r="C20" s="18"/>
      <c r="D20" s="18"/>
      <c r="E20" s="18"/>
      <c r="F20" s="18"/>
      <c r="G20" s="18"/>
      <c r="H20" s="18"/>
      <c r="I20" s="19" t="s">
        <v>1488</v>
      </c>
      <c r="J20" s="20"/>
      <c r="K20" s="20"/>
      <c r="L20" s="20"/>
      <c r="M20" s="20"/>
      <c r="N20" s="20"/>
      <c r="O20" s="20"/>
      <c r="P20" s="20"/>
      <c r="Q20" s="20"/>
      <c r="R20" s="17" t="s">
        <v>1591</v>
      </c>
      <c r="S20" s="18"/>
      <c r="T20" s="18"/>
      <c r="U20" s="18"/>
      <c r="V20" s="18"/>
      <c r="W20" s="18"/>
      <c r="X20" s="18"/>
      <c r="Y20" s="589" t="s">
        <v>1516</v>
      </c>
      <c r="Z20" s="636"/>
      <c r="AA20" s="591" t="s">
        <v>1517</v>
      </c>
      <c r="AB20" s="592"/>
      <c r="AC20" s="593"/>
      <c r="AD20" s="23">
        <v>3</v>
      </c>
      <c r="AE20" s="24" t="s">
        <v>1585</v>
      </c>
      <c r="AF20" s="24"/>
      <c r="AG20" s="24"/>
      <c r="AH20" s="24"/>
      <c r="AI20" s="24"/>
      <c r="AJ20" s="24"/>
      <c r="AK20" s="24"/>
      <c r="AL20" s="24"/>
      <c r="AM20" s="24"/>
      <c r="AN20" s="24"/>
      <c r="AO20" s="25"/>
      <c r="AP20" s="25"/>
      <c r="AQ20" s="25"/>
      <c r="AR20" s="25"/>
      <c r="AS20" s="35" t="s">
        <v>1256</v>
      </c>
      <c r="AT20" s="36"/>
      <c r="AU20" s="36"/>
      <c r="AV20" s="36"/>
      <c r="AW20" s="36"/>
      <c r="AX20" s="36"/>
      <c r="AY20" s="36"/>
      <c r="AZ20" s="36"/>
      <c r="BA20" s="36"/>
      <c r="BB20" s="36"/>
      <c r="BC20" s="36"/>
      <c r="BD20" s="50"/>
    </row>
    <row r="21" spans="1:56" ht="14.4" customHeight="1">
      <c r="A21" s="37">
        <f>IF(B21="","",COUNTA($B$8:B21))</f>
        <v>14</v>
      </c>
      <c r="B21" s="17" t="s">
        <v>1601</v>
      </c>
      <c r="C21" s="18"/>
      <c r="D21" s="18"/>
      <c r="E21" s="18"/>
      <c r="F21" s="18"/>
      <c r="G21" s="18"/>
      <c r="H21" s="18"/>
      <c r="I21" s="19" t="s">
        <v>1489</v>
      </c>
      <c r="J21" s="20"/>
      <c r="K21" s="20"/>
      <c r="L21" s="20"/>
      <c r="M21" s="20"/>
      <c r="N21" s="20"/>
      <c r="O21" s="20"/>
      <c r="P21" s="20"/>
      <c r="Q21" s="20"/>
      <c r="R21" s="17" t="s">
        <v>1601</v>
      </c>
      <c r="S21" s="18"/>
      <c r="T21" s="18"/>
      <c r="U21" s="18"/>
      <c r="V21" s="18"/>
      <c r="W21" s="18"/>
      <c r="X21" s="18"/>
      <c r="Y21" s="589" t="s">
        <v>1516</v>
      </c>
      <c r="Z21" s="636"/>
      <c r="AA21" s="591" t="s">
        <v>1517</v>
      </c>
      <c r="AB21" s="592"/>
      <c r="AC21" s="593"/>
      <c r="AD21" s="23">
        <v>3</v>
      </c>
      <c r="AE21" s="24" t="s">
        <v>1585</v>
      </c>
      <c r="AF21" s="24"/>
      <c r="AG21" s="24"/>
      <c r="AH21" s="24"/>
      <c r="AI21" s="24"/>
      <c r="AJ21" s="24"/>
      <c r="AK21" s="24"/>
      <c r="AL21" s="24"/>
      <c r="AM21" s="24"/>
      <c r="AN21" s="24"/>
      <c r="AO21" s="25"/>
      <c r="AP21" s="25"/>
      <c r="AQ21" s="25"/>
      <c r="AR21" s="25"/>
      <c r="AS21" s="35" t="s">
        <v>1256</v>
      </c>
      <c r="AT21" s="36"/>
      <c r="AU21" s="36"/>
      <c r="AV21" s="36"/>
      <c r="AW21" s="36"/>
      <c r="AX21" s="36"/>
      <c r="AY21" s="36"/>
      <c r="AZ21" s="36"/>
      <c r="BA21" s="36"/>
      <c r="BB21" s="36"/>
      <c r="BC21" s="36"/>
      <c r="BD21" s="50"/>
    </row>
    <row r="22" spans="1:56" ht="14.4" customHeight="1">
      <c r="A22" s="37">
        <f>IF(B22="","",COUNTA($B$8:B22))</f>
        <v>15</v>
      </c>
      <c r="B22" s="35" t="s">
        <v>1660</v>
      </c>
      <c r="C22" s="34"/>
      <c r="D22" s="34"/>
      <c r="E22" s="34"/>
      <c r="F22" s="34"/>
      <c r="G22" s="34"/>
      <c r="H22" s="34"/>
      <c r="I22" s="35"/>
      <c r="J22" s="27"/>
      <c r="K22" s="27"/>
      <c r="L22" s="27"/>
      <c r="M22" s="27"/>
      <c r="N22" s="27"/>
      <c r="O22" s="27"/>
      <c r="P22" s="27"/>
      <c r="Q22" s="27"/>
      <c r="R22" s="35" t="s">
        <v>1660</v>
      </c>
      <c r="S22" s="34"/>
      <c r="T22" s="34"/>
      <c r="U22" s="34"/>
      <c r="V22" s="34"/>
      <c r="W22" s="34"/>
      <c r="X22" s="34"/>
      <c r="Y22" s="589" t="s">
        <v>1510</v>
      </c>
      <c r="Z22" s="636"/>
      <c r="AA22" s="591" t="s">
        <v>1511</v>
      </c>
      <c r="AB22" s="592"/>
      <c r="AC22" s="593"/>
      <c r="AD22" s="53"/>
      <c r="AE22" s="25"/>
      <c r="AF22" s="25"/>
      <c r="AG22" s="25"/>
      <c r="AH22" s="25"/>
      <c r="AI22" s="25"/>
      <c r="AJ22" s="25"/>
      <c r="AK22" s="25"/>
      <c r="AL22" s="25"/>
      <c r="AM22" s="25"/>
      <c r="AN22" s="25"/>
      <c r="AO22" s="25"/>
      <c r="AP22" s="25"/>
      <c r="AQ22" s="25"/>
      <c r="AR22" s="25"/>
      <c r="AS22" s="35" t="s">
        <v>224</v>
      </c>
      <c r="AT22" s="36"/>
      <c r="AU22" s="36"/>
      <c r="AV22" s="36"/>
      <c r="AW22" s="36"/>
      <c r="AX22" s="36"/>
      <c r="AY22" s="36"/>
      <c r="AZ22" s="36"/>
      <c r="BA22" s="36"/>
      <c r="BB22" s="36"/>
      <c r="BC22" s="36"/>
      <c r="BD22" s="50"/>
    </row>
    <row r="23" spans="1:56" ht="14.4" customHeight="1">
      <c r="A23" s="37">
        <f>IF(B23="","",COUNTA($B$8:B23))</f>
        <v>16</v>
      </c>
      <c r="B23" s="35" t="s">
        <v>1659</v>
      </c>
      <c r="C23" s="34"/>
      <c r="D23" s="34"/>
      <c r="E23" s="34"/>
      <c r="F23" s="34"/>
      <c r="G23" s="34"/>
      <c r="H23" s="34"/>
      <c r="I23" s="35"/>
      <c r="J23" s="27"/>
      <c r="K23" s="27"/>
      <c r="L23" s="27"/>
      <c r="M23" s="27"/>
      <c r="N23" s="27"/>
      <c r="O23" s="27"/>
      <c r="P23" s="27"/>
      <c r="Q23" s="27"/>
      <c r="R23" s="35" t="s">
        <v>1659</v>
      </c>
      <c r="S23" s="34"/>
      <c r="T23" s="34"/>
      <c r="U23" s="34"/>
      <c r="V23" s="34"/>
      <c r="W23" s="34"/>
      <c r="X23" s="34"/>
      <c r="Y23" s="589" t="s">
        <v>1504</v>
      </c>
      <c r="Z23" s="590"/>
      <c r="AA23" s="591" t="s">
        <v>1505</v>
      </c>
      <c r="AB23" s="592"/>
      <c r="AC23" s="593"/>
      <c r="AD23" s="53">
        <v>3</v>
      </c>
      <c r="AE23" s="25"/>
      <c r="AF23" s="25"/>
      <c r="AG23" s="25"/>
      <c r="AH23" s="25"/>
      <c r="AI23" s="25"/>
      <c r="AJ23" s="25"/>
      <c r="AK23" s="25"/>
      <c r="AL23" s="25"/>
      <c r="AM23" s="25"/>
      <c r="AN23" s="25"/>
      <c r="AO23" s="25"/>
      <c r="AP23" s="25"/>
      <c r="AQ23" s="25"/>
      <c r="AR23" s="25"/>
      <c r="AS23" s="35" t="s">
        <v>271</v>
      </c>
      <c r="AT23" s="36"/>
      <c r="AU23" s="36"/>
      <c r="AV23" s="36"/>
      <c r="AW23" s="36"/>
      <c r="AX23" s="36"/>
      <c r="AY23" s="36"/>
      <c r="AZ23" s="36"/>
      <c r="BA23" s="36"/>
      <c r="BB23" s="36"/>
      <c r="BC23" s="36"/>
      <c r="BD23" s="50"/>
    </row>
    <row r="24" spans="1:56" ht="14.4" customHeight="1">
      <c r="A24" s="37">
        <f>IF(B24="","",COUNTA($B$8:B24))</f>
        <v>17</v>
      </c>
      <c r="B24" s="35" t="s">
        <v>1623</v>
      </c>
      <c r="C24" s="34"/>
      <c r="D24" s="34"/>
      <c r="E24" s="34"/>
      <c r="F24" s="34"/>
      <c r="G24" s="34"/>
      <c r="H24" s="34"/>
      <c r="I24" s="35"/>
      <c r="J24" s="27"/>
      <c r="K24" s="27"/>
      <c r="L24" s="27"/>
      <c r="M24" s="27"/>
      <c r="N24" s="27"/>
      <c r="O24" s="27"/>
      <c r="P24" s="27"/>
      <c r="Q24" s="27"/>
      <c r="R24" s="35" t="s">
        <v>1623</v>
      </c>
      <c r="S24" s="34"/>
      <c r="T24" s="34"/>
      <c r="U24" s="34"/>
      <c r="V24" s="34"/>
      <c r="W24" s="34"/>
      <c r="X24" s="34"/>
      <c r="Y24" s="589" t="s">
        <v>1504</v>
      </c>
      <c r="Z24" s="590"/>
      <c r="AA24" s="591" t="s">
        <v>1505</v>
      </c>
      <c r="AB24" s="592"/>
      <c r="AC24" s="593"/>
      <c r="AD24" s="53">
        <v>3</v>
      </c>
      <c r="AE24" s="25"/>
      <c r="AF24" s="25"/>
      <c r="AG24" s="25"/>
      <c r="AH24" s="25"/>
      <c r="AI24" s="25"/>
      <c r="AJ24" s="25"/>
      <c r="AK24" s="25"/>
      <c r="AL24" s="25"/>
      <c r="AM24" s="25"/>
      <c r="AN24" s="25"/>
      <c r="AO24" s="25"/>
      <c r="AP24" s="25"/>
      <c r="AQ24" s="25"/>
      <c r="AR24" s="25"/>
      <c r="AS24" s="35" t="s">
        <v>1213</v>
      </c>
      <c r="AT24" s="36"/>
      <c r="AU24" s="36"/>
      <c r="AV24" s="36"/>
      <c r="AW24" s="36"/>
      <c r="AX24" s="36"/>
      <c r="AY24" s="36"/>
      <c r="AZ24" s="36"/>
      <c r="BA24" s="36"/>
      <c r="BB24" s="36"/>
      <c r="BC24" s="36"/>
      <c r="BD24" s="50"/>
    </row>
    <row r="25" spans="1:56" ht="14.4" customHeight="1">
      <c r="A25" s="37">
        <f>IF(B25="","",COUNTA($B$8:B25))</f>
        <v>18</v>
      </c>
      <c r="B25" s="35" t="s">
        <v>1344</v>
      </c>
      <c r="C25" s="34"/>
      <c r="D25" s="34"/>
      <c r="E25" s="34"/>
      <c r="F25" s="34"/>
      <c r="G25" s="34"/>
      <c r="H25" s="34"/>
      <c r="I25" s="35" t="s">
        <v>1444</v>
      </c>
      <c r="J25" s="27"/>
      <c r="K25" s="27"/>
      <c r="L25" s="27"/>
      <c r="M25" s="27"/>
      <c r="N25" s="27"/>
      <c r="O25" s="27"/>
      <c r="P25" s="27"/>
      <c r="Q25" s="27"/>
      <c r="R25" s="35" t="s">
        <v>1344</v>
      </c>
      <c r="S25" s="34"/>
      <c r="T25" s="34"/>
      <c r="U25" s="34"/>
      <c r="V25" s="34"/>
      <c r="W25" s="34"/>
      <c r="X25" s="34"/>
      <c r="Y25" s="589" t="s">
        <v>1504</v>
      </c>
      <c r="Z25" s="636"/>
      <c r="AA25" s="591" t="s">
        <v>1505</v>
      </c>
      <c r="AB25" s="592"/>
      <c r="AC25" s="593"/>
      <c r="AD25" s="53">
        <v>4</v>
      </c>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6" ht="14.4" customHeight="1">
      <c r="A26" s="37">
        <f>IF(B26="","",COUNTA($B$8:B26))</f>
        <v>19</v>
      </c>
      <c r="B26" s="35" t="s">
        <v>1714</v>
      </c>
      <c r="C26" s="34"/>
      <c r="D26" s="34"/>
      <c r="E26" s="34"/>
      <c r="F26" s="34"/>
      <c r="G26" s="34"/>
      <c r="H26" s="34"/>
      <c r="I26" s="35"/>
      <c r="J26" s="27"/>
      <c r="K26" s="27"/>
      <c r="L26" s="27"/>
      <c r="M26" s="27"/>
      <c r="N26" s="27"/>
      <c r="O26" s="27"/>
      <c r="P26" s="27"/>
      <c r="Q26" s="27"/>
      <c r="R26" s="35" t="s">
        <v>1714</v>
      </c>
      <c r="S26" s="34"/>
      <c r="T26" s="34"/>
      <c r="U26" s="34"/>
      <c r="V26" s="34"/>
      <c r="W26" s="34"/>
      <c r="X26" s="34"/>
      <c r="Y26" s="589" t="s">
        <v>1504</v>
      </c>
      <c r="Z26" s="636"/>
      <c r="AA26" s="591" t="s">
        <v>1505</v>
      </c>
      <c r="AB26" s="592"/>
      <c r="AC26" s="593"/>
      <c r="AD26" s="53">
        <v>3</v>
      </c>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6" ht="14.4" customHeight="1">
      <c r="A27" s="37">
        <f>IF(B27="","",COUNTA($B$8:B27))</f>
        <v>20</v>
      </c>
      <c r="B27" s="35" t="s">
        <v>1529</v>
      </c>
      <c r="C27" s="34"/>
      <c r="D27" s="34"/>
      <c r="E27" s="34"/>
      <c r="F27" s="34"/>
      <c r="G27" s="34"/>
      <c r="H27" s="34"/>
      <c r="I27" s="35" t="s">
        <v>457</v>
      </c>
      <c r="J27" s="27"/>
      <c r="K27" s="27"/>
      <c r="L27" s="27"/>
      <c r="M27" s="27"/>
      <c r="N27" s="27"/>
      <c r="O27" s="27"/>
      <c r="P27" s="27"/>
      <c r="Q27" s="27"/>
      <c r="R27" s="35" t="s">
        <v>1529</v>
      </c>
      <c r="S27" s="34"/>
      <c r="T27" s="34"/>
      <c r="U27" s="34"/>
      <c r="V27" s="34"/>
      <c r="W27" s="34"/>
      <c r="X27" s="34"/>
      <c r="Y27" s="589" t="s">
        <v>1504</v>
      </c>
      <c r="Z27" s="590"/>
      <c r="AA27" s="591" t="s">
        <v>1505</v>
      </c>
      <c r="AB27" s="592"/>
      <c r="AC27" s="593"/>
      <c r="AD27" s="53">
        <v>5</v>
      </c>
      <c r="AE27" s="25"/>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6" ht="14.4" customHeight="1">
      <c r="A28" s="37">
        <f>IF(B28="","",COUNTA($B$8:B28))</f>
        <v>21</v>
      </c>
      <c r="B28" s="35" t="s">
        <v>1514</v>
      </c>
      <c r="C28" s="34"/>
      <c r="D28" s="34"/>
      <c r="E28" s="34"/>
      <c r="F28" s="34"/>
      <c r="G28" s="34"/>
      <c r="H28" s="34"/>
      <c r="I28" s="35" t="s">
        <v>568</v>
      </c>
      <c r="J28" s="27"/>
      <c r="K28" s="27"/>
      <c r="L28" s="27"/>
      <c r="M28" s="27"/>
      <c r="N28" s="27"/>
      <c r="O28" s="27"/>
      <c r="P28" s="27"/>
      <c r="Q28" s="27"/>
      <c r="R28" s="35" t="s">
        <v>1514</v>
      </c>
      <c r="S28" s="34"/>
      <c r="T28" s="34"/>
      <c r="U28" s="34"/>
      <c r="V28" s="34"/>
      <c r="W28" s="34"/>
      <c r="X28" s="34"/>
      <c r="Y28" s="589" t="s">
        <v>1504</v>
      </c>
      <c r="Z28" s="590"/>
      <c r="AA28" s="591" t="s">
        <v>1505</v>
      </c>
      <c r="AB28" s="592"/>
      <c r="AC28" s="593"/>
      <c r="AD28" s="53">
        <v>20</v>
      </c>
      <c r="AE28" s="25"/>
      <c r="AF28" s="25"/>
      <c r="AG28" s="25"/>
      <c r="AH28" s="25"/>
      <c r="AI28" s="25"/>
      <c r="AJ28" s="25"/>
      <c r="AK28" s="25"/>
      <c r="AL28" s="25"/>
      <c r="AM28" s="25"/>
      <c r="AN28" s="25"/>
      <c r="AO28" s="25"/>
      <c r="AP28" s="25"/>
      <c r="AQ28" s="25"/>
      <c r="AR28" s="25"/>
      <c r="AS28" s="35"/>
      <c r="AT28" s="36"/>
      <c r="AU28" s="36"/>
      <c r="AV28" s="36"/>
      <c r="AW28" s="36"/>
      <c r="AX28" s="36"/>
      <c r="AY28" s="36"/>
      <c r="AZ28" s="36"/>
      <c r="BA28" s="36"/>
      <c r="BB28" s="36"/>
      <c r="BC28" s="36"/>
      <c r="BD28" s="50"/>
    </row>
    <row r="29" spans="1:56" ht="14.4" customHeight="1">
      <c r="A29" s="37">
        <f>IF(B29="","",COUNTA($B$8:B29))</f>
        <v>22</v>
      </c>
      <c r="B29" s="35" t="s">
        <v>140</v>
      </c>
      <c r="C29" s="34"/>
      <c r="D29" s="34"/>
      <c r="E29" s="34"/>
      <c r="F29" s="34"/>
      <c r="G29" s="34"/>
      <c r="H29" s="34"/>
      <c r="I29" s="35" t="s">
        <v>657</v>
      </c>
      <c r="J29" s="27"/>
      <c r="K29" s="27"/>
      <c r="L29" s="27"/>
      <c r="M29" s="27"/>
      <c r="N29" s="27"/>
      <c r="O29" s="27"/>
      <c r="P29" s="27"/>
      <c r="Q29" s="27"/>
      <c r="R29" s="35" t="s">
        <v>140</v>
      </c>
      <c r="S29" s="34"/>
      <c r="T29" s="34"/>
      <c r="U29" s="34"/>
      <c r="V29" s="34"/>
      <c r="W29" s="34"/>
      <c r="X29" s="34"/>
      <c r="Y29" s="589" t="s">
        <v>1504</v>
      </c>
      <c r="Z29" s="590"/>
      <c r="AA29" s="591" t="s">
        <v>1505</v>
      </c>
      <c r="AB29" s="592"/>
      <c r="AC29" s="593"/>
      <c r="AD29" s="53">
        <v>30</v>
      </c>
      <c r="AE29" s="25"/>
      <c r="AF29" s="25"/>
      <c r="AG29" s="25"/>
      <c r="AH29" s="25"/>
      <c r="AI29" s="25"/>
      <c r="AJ29" s="25"/>
      <c r="AK29" s="25"/>
      <c r="AL29" s="25"/>
      <c r="AM29" s="25"/>
      <c r="AN29" s="25"/>
      <c r="AO29" s="25"/>
      <c r="AP29" s="25"/>
      <c r="AQ29" s="25"/>
      <c r="AR29" s="25"/>
      <c r="AS29" s="35"/>
      <c r="AT29" s="36"/>
      <c r="AU29" s="36"/>
      <c r="AV29" s="36"/>
      <c r="AW29" s="36"/>
      <c r="AX29" s="36"/>
      <c r="AY29" s="36"/>
      <c r="AZ29" s="36"/>
      <c r="BA29" s="36"/>
      <c r="BB29" s="36"/>
      <c r="BC29" s="36"/>
      <c r="BD29" s="50"/>
    </row>
    <row r="30" spans="1:56" ht="14.4" customHeight="1">
      <c r="A30" s="37">
        <f>IF(B30="","",COUNTA($B$8:B30))</f>
        <v>23</v>
      </c>
      <c r="B30" s="35" t="s">
        <v>1506</v>
      </c>
      <c r="C30" s="34"/>
      <c r="D30" s="34"/>
      <c r="E30" s="34"/>
      <c r="F30" s="34"/>
      <c r="G30" s="34"/>
      <c r="H30" s="34"/>
      <c r="I30" s="35" t="s">
        <v>1395</v>
      </c>
      <c r="J30" s="27"/>
      <c r="K30" s="27"/>
      <c r="L30" s="27"/>
      <c r="M30" s="27"/>
      <c r="N30" s="27"/>
      <c r="O30" s="27"/>
      <c r="P30" s="27"/>
      <c r="Q30" s="27"/>
      <c r="R30" s="35" t="s">
        <v>1506</v>
      </c>
      <c r="S30" s="34"/>
      <c r="T30" s="34"/>
      <c r="U30" s="34"/>
      <c r="V30" s="34"/>
      <c r="W30" s="34"/>
      <c r="X30" s="34"/>
      <c r="Y30" s="589" t="s">
        <v>1504</v>
      </c>
      <c r="Z30" s="590"/>
      <c r="AA30" s="591" t="s">
        <v>1505</v>
      </c>
      <c r="AB30" s="592"/>
      <c r="AC30" s="593"/>
      <c r="AD30" s="53">
        <v>3</v>
      </c>
      <c r="AE30" s="25"/>
      <c r="AF30" s="25"/>
      <c r="AG30" s="25"/>
      <c r="AH30" s="25"/>
      <c r="AI30" s="25"/>
      <c r="AJ30" s="25"/>
      <c r="AK30" s="25"/>
      <c r="AL30" s="25"/>
      <c r="AM30" s="25"/>
      <c r="AN30" s="25"/>
      <c r="AO30" s="25"/>
      <c r="AP30" s="25"/>
      <c r="AQ30" s="25"/>
      <c r="AR30" s="25"/>
      <c r="AS30" s="35"/>
      <c r="AT30" s="36"/>
      <c r="AU30" s="36"/>
      <c r="AV30" s="36"/>
      <c r="AW30" s="36"/>
      <c r="AX30" s="36"/>
      <c r="AY30" s="36"/>
      <c r="AZ30" s="36"/>
      <c r="BA30" s="36"/>
      <c r="BB30" s="36"/>
      <c r="BC30" s="36"/>
      <c r="BD30" s="50"/>
    </row>
    <row r="31" spans="1:56" ht="14.4" customHeight="1">
      <c r="A31" s="37">
        <f>IF(B31="","",COUNTA($B$8:B31))</f>
        <v>24</v>
      </c>
      <c r="B31" s="35" t="s">
        <v>1570</v>
      </c>
      <c r="C31" s="34"/>
      <c r="D31" s="34"/>
      <c r="E31" s="34"/>
      <c r="F31" s="34"/>
      <c r="G31" s="34"/>
      <c r="H31" s="34"/>
      <c r="I31" s="35"/>
      <c r="J31" s="27"/>
      <c r="K31" s="27"/>
      <c r="L31" s="27"/>
      <c r="M31" s="27"/>
      <c r="N31" s="27"/>
      <c r="O31" s="27"/>
      <c r="P31" s="27"/>
      <c r="Q31" s="27"/>
      <c r="R31" s="35" t="s">
        <v>1570</v>
      </c>
      <c r="S31" s="34"/>
      <c r="T31" s="34"/>
      <c r="U31" s="34"/>
      <c r="V31" s="34"/>
      <c r="W31" s="34"/>
      <c r="X31" s="34"/>
      <c r="Y31" s="589" t="s">
        <v>1504</v>
      </c>
      <c r="Z31" s="590"/>
      <c r="AA31" s="591" t="s">
        <v>1505</v>
      </c>
      <c r="AB31" s="592"/>
      <c r="AC31" s="593"/>
      <c r="AD31" s="23">
        <v>30</v>
      </c>
      <c r="AE31" s="25"/>
      <c r="AF31" s="25"/>
      <c r="AG31" s="25"/>
      <c r="AH31" s="25"/>
      <c r="AI31" s="25"/>
      <c r="AJ31" s="25"/>
      <c r="AK31" s="25"/>
      <c r="AL31" s="25"/>
      <c r="AM31" s="25"/>
      <c r="AN31" s="25"/>
      <c r="AO31" s="25"/>
      <c r="AP31" s="25"/>
      <c r="AQ31" s="25"/>
      <c r="AR31" s="25"/>
      <c r="AS31" s="35"/>
      <c r="AT31" s="36"/>
      <c r="AU31" s="36"/>
      <c r="AV31" s="36"/>
      <c r="AW31" s="36"/>
      <c r="AX31" s="36"/>
      <c r="AY31" s="36"/>
      <c r="AZ31" s="36"/>
      <c r="BA31" s="36"/>
      <c r="BB31" s="36"/>
      <c r="BC31" s="36"/>
      <c r="BD31" s="50"/>
    </row>
    <row r="32" spans="1:56" ht="14.4" customHeight="1">
      <c r="A32" s="37">
        <f>IF(B32="","",COUNTA($B$8:B32))</f>
        <v>25</v>
      </c>
      <c r="B32" s="35" t="s">
        <v>1716</v>
      </c>
      <c r="C32" s="34"/>
      <c r="D32" s="34"/>
      <c r="E32" s="34"/>
      <c r="F32" s="34"/>
      <c r="G32" s="34"/>
      <c r="H32" s="34"/>
      <c r="I32" s="35" t="s">
        <v>570</v>
      </c>
      <c r="J32" s="27"/>
      <c r="K32" s="27"/>
      <c r="L32" s="27"/>
      <c r="M32" s="27"/>
      <c r="N32" s="27"/>
      <c r="O32" s="27"/>
      <c r="P32" s="27"/>
      <c r="Q32" s="27"/>
      <c r="R32" s="35" t="s">
        <v>1716</v>
      </c>
      <c r="S32" s="34"/>
      <c r="T32" s="34"/>
      <c r="U32" s="34"/>
      <c r="V32" s="34"/>
      <c r="W32" s="34"/>
      <c r="X32" s="34"/>
      <c r="Y32" s="589" t="s">
        <v>1504</v>
      </c>
      <c r="Z32" s="590"/>
      <c r="AA32" s="591" t="s">
        <v>1505</v>
      </c>
      <c r="AB32" s="592"/>
      <c r="AC32" s="593"/>
      <c r="AD32" s="53">
        <v>2</v>
      </c>
      <c r="AE32" s="25"/>
      <c r="AF32" s="25"/>
      <c r="AG32" s="25"/>
      <c r="AH32" s="25"/>
      <c r="AI32" s="25"/>
      <c r="AJ32" s="25"/>
      <c r="AK32" s="25"/>
      <c r="AL32" s="25"/>
      <c r="AM32" s="25"/>
      <c r="AN32" s="25"/>
      <c r="AO32" s="25"/>
      <c r="AP32" s="25"/>
      <c r="AQ32" s="25"/>
      <c r="AR32" s="25"/>
      <c r="AS32" s="35"/>
      <c r="AT32" s="36"/>
      <c r="AU32" s="36"/>
      <c r="AV32" s="36"/>
      <c r="AW32" s="36"/>
      <c r="AX32" s="36"/>
      <c r="AY32" s="36"/>
      <c r="AZ32" s="36"/>
      <c r="BA32" s="36"/>
      <c r="BB32" s="36"/>
      <c r="BC32" s="36"/>
      <c r="BD32" s="50"/>
    </row>
    <row r="33" spans="1:56" ht="14.4" customHeight="1">
      <c r="A33" s="37">
        <f>IF(B33="","",COUNTA($B$8:B33))</f>
        <v>26</v>
      </c>
      <c r="B33" s="35" t="s">
        <v>1717</v>
      </c>
      <c r="C33" s="34"/>
      <c r="D33" s="34"/>
      <c r="E33" s="34"/>
      <c r="F33" s="34"/>
      <c r="G33" s="34"/>
      <c r="H33" s="34"/>
      <c r="I33" s="35"/>
      <c r="J33" s="27"/>
      <c r="K33" s="27"/>
      <c r="L33" s="27"/>
      <c r="M33" s="27"/>
      <c r="N33" s="27"/>
      <c r="O33" s="27"/>
      <c r="P33" s="27"/>
      <c r="Q33" s="27"/>
      <c r="R33" s="35" t="s">
        <v>1717</v>
      </c>
      <c r="S33" s="34"/>
      <c r="T33" s="34"/>
      <c r="U33" s="34"/>
      <c r="V33" s="34"/>
      <c r="W33" s="34"/>
      <c r="X33" s="34"/>
      <c r="Y33" s="589" t="s">
        <v>1504</v>
      </c>
      <c r="Z33" s="590"/>
      <c r="AA33" s="591" t="s">
        <v>1505</v>
      </c>
      <c r="AB33" s="592"/>
      <c r="AC33" s="593"/>
      <c r="AD33" s="53">
        <v>30</v>
      </c>
      <c r="AE33" s="25"/>
      <c r="AF33" s="25"/>
      <c r="AG33" s="25"/>
      <c r="AH33" s="25"/>
      <c r="AI33" s="25"/>
      <c r="AJ33" s="25"/>
      <c r="AK33" s="25"/>
      <c r="AL33" s="25"/>
      <c r="AM33" s="25"/>
      <c r="AN33" s="25"/>
      <c r="AO33" s="25"/>
      <c r="AP33" s="25"/>
      <c r="AQ33" s="25"/>
      <c r="AR33" s="25"/>
      <c r="AS33" s="35"/>
      <c r="AT33" s="36"/>
      <c r="AU33" s="36"/>
      <c r="AV33" s="36"/>
      <c r="AW33" s="36"/>
      <c r="AX33" s="36"/>
      <c r="AY33" s="36"/>
      <c r="AZ33" s="36"/>
      <c r="BA33" s="36"/>
      <c r="BB33" s="36"/>
      <c r="BC33" s="36"/>
      <c r="BD33" s="50"/>
    </row>
    <row r="34" spans="1:56" ht="14.4" customHeight="1">
      <c r="A34" s="37">
        <f>IF(B34="","",COUNTA($B$8:B34))</f>
        <v>27</v>
      </c>
      <c r="B34" s="35" t="s">
        <v>1718</v>
      </c>
      <c r="C34" s="34"/>
      <c r="D34" s="34"/>
      <c r="E34" s="34"/>
      <c r="F34" s="34"/>
      <c r="G34" s="34"/>
      <c r="H34" s="34"/>
      <c r="I34" s="35" t="s">
        <v>572</v>
      </c>
      <c r="J34" s="27"/>
      <c r="K34" s="27"/>
      <c r="L34" s="27"/>
      <c r="M34" s="27"/>
      <c r="N34" s="27"/>
      <c r="O34" s="27"/>
      <c r="P34" s="27"/>
      <c r="Q34" s="27"/>
      <c r="R34" s="35" t="s">
        <v>1718</v>
      </c>
      <c r="S34" s="34"/>
      <c r="T34" s="34"/>
      <c r="U34" s="34"/>
      <c r="V34" s="34"/>
      <c r="W34" s="34"/>
      <c r="X34" s="34"/>
      <c r="Y34" s="589" t="s">
        <v>1504</v>
      </c>
      <c r="Z34" s="590"/>
      <c r="AA34" s="591" t="s">
        <v>1505</v>
      </c>
      <c r="AB34" s="592"/>
      <c r="AC34" s="593"/>
      <c r="AD34" s="53">
        <v>2</v>
      </c>
      <c r="AE34" s="25"/>
      <c r="AF34" s="25"/>
      <c r="AG34" s="25"/>
      <c r="AH34" s="25"/>
      <c r="AI34" s="25"/>
      <c r="AJ34" s="25"/>
      <c r="AK34" s="25"/>
      <c r="AL34" s="25"/>
      <c r="AM34" s="25"/>
      <c r="AN34" s="25"/>
      <c r="AO34" s="25"/>
      <c r="AP34" s="25"/>
      <c r="AQ34" s="25"/>
      <c r="AR34" s="25"/>
      <c r="AS34" s="35"/>
      <c r="AT34" s="36"/>
      <c r="AU34" s="36"/>
      <c r="AV34" s="36"/>
      <c r="AW34" s="36"/>
      <c r="AX34" s="36"/>
      <c r="AY34" s="36"/>
      <c r="AZ34" s="36"/>
      <c r="BA34" s="36"/>
      <c r="BB34" s="36"/>
      <c r="BC34" s="36"/>
      <c r="BD34" s="50"/>
    </row>
    <row r="35" spans="1:56" ht="14.4" customHeight="1">
      <c r="A35" s="37">
        <f>IF(B35="","",COUNTA($B$8:B35))</f>
        <v>28</v>
      </c>
      <c r="B35" s="35" t="s">
        <v>1719</v>
      </c>
      <c r="C35" s="34"/>
      <c r="D35" s="34"/>
      <c r="E35" s="34"/>
      <c r="F35" s="34"/>
      <c r="G35" s="34"/>
      <c r="H35" s="34"/>
      <c r="I35" s="35"/>
      <c r="J35" s="27"/>
      <c r="K35" s="27"/>
      <c r="L35" s="27"/>
      <c r="M35" s="27"/>
      <c r="N35" s="27"/>
      <c r="O35" s="27"/>
      <c r="P35" s="27"/>
      <c r="Q35" s="27"/>
      <c r="R35" s="35" t="s">
        <v>1719</v>
      </c>
      <c r="S35" s="34"/>
      <c r="T35" s="34"/>
      <c r="U35" s="34"/>
      <c r="V35" s="34"/>
      <c r="W35" s="34"/>
      <c r="X35" s="34"/>
      <c r="Y35" s="589" t="s">
        <v>1504</v>
      </c>
      <c r="Z35" s="590"/>
      <c r="AA35" s="591" t="s">
        <v>1505</v>
      </c>
      <c r="AB35" s="592"/>
      <c r="AC35" s="593"/>
      <c r="AD35" s="53">
        <v>30</v>
      </c>
      <c r="AE35" s="25"/>
      <c r="AF35" s="25"/>
      <c r="AG35" s="25"/>
      <c r="AH35" s="25"/>
      <c r="AI35" s="25"/>
      <c r="AJ35" s="25"/>
      <c r="AK35" s="25"/>
      <c r="AL35" s="25"/>
      <c r="AM35" s="25"/>
      <c r="AN35" s="25"/>
      <c r="AO35" s="25"/>
      <c r="AP35" s="25"/>
      <c r="AQ35" s="25"/>
      <c r="AR35" s="25"/>
      <c r="AS35" s="35"/>
      <c r="AT35" s="36"/>
      <c r="AU35" s="36"/>
      <c r="AV35" s="36"/>
      <c r="AW35" s="36"/>
      <c r="AX35" s="36"/>
      <c r="AY35" s="36"/>
      <c r="AZ35" s="36"/>
      <c r="BA35" s="36"/>
      <c r="BB35" s="36"/>
      <c r="BC35" s="36"/>
      <c r="BD35" s="50"/>
    </row>
    <row r="36" spans="1:56" ht="14.4" customHeight="1">
      <c r="A36" s="37">
        <f>IF(B36="","",COUNTA($B$8:B36))</f>
        <v>29</v>
      </c>
      <c r="B36" s="35" t="s">
        <v>1530</v>
      </c>
      <c r="C36" s="34"/>
      <c r="D36" s="34"/>
      <c r="E36" s="34"/>
      <c r="F36" s="34"/>
      <c r="G36" s="34"/>
      <c r="H36" s="34"/>
      <c r="I36" s="35" t="s">
        <v>459</v>
      </c>
      <c r="J36" s="27"/>
      <c r="K36" s="27"/>
      <c r="L36" s="27"/>
      <c r="M36" s="27"/>
      <c r="N36" s="27"/>
      <c r="O36" s="27"/>
      <c r="P36" s="27"/>
      <c r="Q36" s="27"/>
      <c r="R36" s="35" t="s">
        <v>1530</v>
      </c>
      <c r="S36" s="34"/>
      <c r="T36" s="34"/>
      <c r="U36" s="34"/>
      <c r="V36" s="34"/>
      <c r="W36" s="34"/>
      <c r="X36" s="34"/>
      <c r="Y36" s="589" t="s">
        <v>1504</v>
      </c>
      <c r="Z36" s="590"/>
      <c r="AA36" s="591" t="s">
        <v>1505</v>
      </c>
      <c r="AB36" s="592"/>
      <c r="AC36" s="593"/>
      <c r="AD36" s="53">
        <v>2</v>
      </c>
      <c r="AE36" s="25"/>
      <c r="AF36" s="25"/>
      <c r="AG36" s="25"/>
      <c r="AH36" s="25"/>
      <c r="AI36" s="25"/>
      <c r="AJ36" s="25"/>
      <c r="AK36" s="25"/>
      <c r="AL36" s="25"/>
      <c r="AM36" s="25"/>
      <c r="AN36" s="25"/>
      <c r="AO36" s="25"/>
      <c r="AP36" s="25"/>
      <c r="AQ36" s="25"/>
      <c r="AR36" s="25"/>
      <c r="AS36" s="35"/>
      <c r="AT36" s="36"/>
      <c r="AU36" s="36"/>
      <c r="AV36" s="36"/>
      <c r="AW36" s="36"/>
      <c r="AX36" s="36"/>
      <c r="AY36" s="36"/>
      <c r="AZ36" s="36"/>
      <c r="BA36" s="36"/>
      <c r="BB36" s="36"/>
      <c r="BC36" s="36"/>
      <c r="BD36" s="50"/>
    </row>
    <row r="37" spans="1:56" ht="14.4" customHeight="1">
      <c r="A37" s="37">
        <f>IF(B37="","",COUNTA($B$8:B37))</f>
        <v>30</v>
      </c>
      <c r="B37" s="35" t="s">
        <v>1688</v>
      </c>
      <c r="C37" s="34"/>
      <c r="D37" s="34"/>
      <c r="E37" s="34"/>
      <c r="F37" s="34"/>
      <c r="G37" s="34"/>
      <c r="H37" s="34"/>
      <c r="I37" s="35" t="s">
        <v>491</v>
      </c>
      <c r="J37" s="27"/>
      <c r="K37" s="27"/>
      <c r="L37" s="27"/>
      <c r="M37" s="27"/>
      <c r="N37" s="27"/>
      <c r="O37" s="27"/>
      <c r="P37" s="27"/>
      <c r="Q37" s="27"/>
      <c r="R37" s="35" t="s">
        <v>1688</v>
      </c>
      <c r="S37" s="34"/>
      <c r="T37" s="34"/>
      <c r="U37" s="34"/>
      <c r="V37" s="34"/>
      <c r="W37" s="34"/>
      <c r="X37" s="34"/>
      <c r="Y37" s="589" t="s">
        <v>1504</v>
      </c>
      <c r="Z37" s="590"/>
      <c r="AA37" s="591" t="s">
        <v>1505</v>
      </c>
      <c r="AB37" s="592"/>
      <c r="AC37" s="593"/>
      <c r="AD37" s="53">
        <v>30</v>
      </c>
      <c r="AE37" s="25"/>
      <c r="AF37" s="25"/>
      <c r="AG37" s="25"/>
      <c r="AH37" s="25"/>
      <c r="AI37" s="25"/>
      <c r="AJ37" s="25"/>
      <c r="AK37" s="25"/>
      <c r="AL37" s="25"/>
      <c r="AM37" s="25"/>
      <c r="AN37" s="25"/>
      <c r="AO37" s="25"/>
      <c r="AP37" s="25"/>
      <c r="AQ37" s="25"/>
      <c r="AR37" s="25"/>
      <c r="AS37" s="35"/>
      <c r="AT37" s="36"/>
      <c r="AU37" s="36"/>
      <c r="AV37" s="36"/>
      <c r="AW37" s="36"/>
      <c r="AX37" s="36"/>
      <c r="AY37" s="36"/>
      <c r="AZ37" s="36"/>
      <c r="BA37" s="36"/>
      <c r="BB37" s="36"/>
      <c r="BC37" s="36"/>
      <c r="BD37" s="50"/>
    </row>
    <row r="38" spans="1:56" ht="14.4" customHeight="1">
      <c r="A38" s="37">
        <f>IF(B38="","",COUNTA($B$8:B38))</f>
        <v>31</v>
      </c>
      <c r="B38" s="35" t="s">
        <v>260</v>
      </c>
      <c r="C38" s="34"/>
      <c r="D38" s="34"/>
      <c r="E38" s="34"/>
      <c r="F38" s="34"/>
      <c r="G38" s="34"/>
      <c r="H38" s="34"/>
      <c r="I38" s="35" t="s">
        <v>506</v>
      </c>
      <c r="J38" s="27"/>
      <c r="K38" s="27"/>
      <c r="L38" s="27"/>
      <c r="M38" s="27"/>
      <c r="N38" s="27"/>
      <c r="O38" s="27"/>
      <c r="P38" s="27"/>
      <c r="Q38" s="27"/>
      <c r="R38" s="35" t="s">
        <v>267</v>
      </c>
      <c r="S38" s="34"/>
      <c r="T38" s="34"/>
      <c r="U38" s="34"/>
      <c r="V38" s="34"/>
      <c r="W38" s="34"/>
      <c r="X38" s="34"/>
      <c r="Y38" s="589" t="s">
        <v>1504</v>
      </c>
      <c r="Z38" s="590"/>
      <c r="AA38" s="591" t="s">
        <v>1505</v>
      </c>
      <c r="AB38" s="592"/>
      <c r="AC38" s="593"/>
      <c r="AD38" s="53">
        <v>4</v>
      </c>
      <c r="AE38" s="25"/>
      <c r="AF38" s="25"/>
      <c r="AG38" s="25"/>
      <c r="AH38" s="25"/>
      <c r="AI38" s="25"/>
      <c r="AJ38" s="25"/>
      <c r="AK38" s="25"/>
      <c r="AL38" s="25"/>
      <c r="AM38" s="25"/>
      <c r="AN38" s="25"/>
      <c r="AO38" s="25"/>
      <c r="AP38" s="25"/>
      <c r="AQ38" s="25"/>
      <c r="AR38" s="25"/>
      <c r="AS38" s="35"/>
      <c r="AT38" s="36"/>
      <c r="AU38" s="36"/>
      <c r="AV38" s="36"/>
      <c r="AW38" s="36"/>
      <c r="AX38" s="36"/>
      <c r="AY38" s="36"/>
      <c r="AZ38" s="36"/>
      <c r="BA38" s="36"/>
      <c r="BB38" s="36"/>
      <c r="BC38" s="36"/>
      <c r="BD38" s="50"/>
    </row>
    <row r="39" spans="1:56" ht="14.4" customHeight="1">
      <c r="A39" s="37">
        <f>IF(B39="","",COUNTA($B$8:B39))</f>
        <v>32</v>
      </c>
      <c r="B39" s="35" t="s">
        <v>1531</v>
      </c>
      <c r="C39" s="34"/>
      <c r="D39" s="34"/>
      <c r="E39" s="34"/>
      <c r="F39" s="34"/>
      <c r="G39" s="34"/>
      <c r="H39" s="34"/>
      <c r="I39" s="35"/>
      <c r="J39" s="27"/>
      <c r="K39" s="27"/>
      <c r="L39" s="27"/>
      <c r="M39" s="27"/>
      <c r="N39" s="27"/>
      <c r="O39" s="27"/>
      <c r="P39" s="27"/>
      <c r="Q39" s="27"/>
      <c r="R39" s="35" t="s">
        <v>1531</v>
      </c>
      <c r="S39" s="34"/>
      <c r="T39" s="34"/>
      <c r="U39" s="34"/>
      <c r="V39" s="34"/>
      <c r="W39" s="34"/>
      <c r="X39" s="34"/>
      <c r="Y39" s="589" t="s">
        <v>1504</v>
      </c>
      <c r="Z39" s="590"/>
      <c r="AA39" s="591" t="s">
        <v>1505</v>
      </c>
      <c r="AB39" s="592"/>
      <c r="AC39" s="593"/>
      <c r="AD39" s="53">
        <v>10</v>
      </c>
      <c r="AE39" s="25"/>
      <c r="AF39" s="25"/>
      <c r="AG39" s="25"/>
      <c r="AH39" s="25"/>
      <c r="AI39" s="25"/>
      <c r="AJ39" s="25"/>
      <c r="AK39" s="25"/>
      <c r="AL39" s="25"/>
      <c r="AM39" s="25"/>
      <c r="AN39" s="25"/>
      <c r="AO39" s="25"/>
      <c r="AP39" s="25"/>
      <c r="AQ39" s="25"/>
      <c r="AR39" s="25"/>
      <c r="AS39" s="35"/>
      <c r="AT39" s="36"/>
      <c r="AU39" s="36"/>
      <c r="AV39" s="36"/>
      <c r="AW39" s="36"/>
      <c r="AX39" s="36"/>
      <c r="AY39" s="36"/>
      <c r="AZ39" s="36"/>
      <c r="BA39" s="36"/>
      <c r="BB39" s="36"/>
      <c r="BC39" s="36"/>
      <c r="BD39" s="50"/>
    </row>
    <row r="40" spans="1:56" ht="14.4" customHeight="1">
      <c r="A40" s="37">
        <f>IF(B40="","",COUNTA($B$8:B40))</f>
        <v>33</v>
      </c>
      <c r="B40" s="35" t="s">
        <v>1526</v>
      </c>
      <c r="C40" s="34"/>
      <c r="D40" s="34"/>
      <c r="E40" s="34"/>
      <c r="F40" s="34"/>
      <c r="G40" s="34"/>
      <c r="H40" s="34"/>
      <c r="I40" s="35" t="s">
        <v>709</v>
      </c>
      <c r="J40" s="27"/>
      <c r="K40" s="27"/>
      <c r="L40" s="27"/>
      <c r="M40" s="27"/>
      <c r="N40" s="27"/>
      <c r="O40" s="27"/>
      <c r="P40" s="27"/>
      <c r="Q40" s="27"/>
      <c r="R40" s="35" t="s">
        <v>1526</v>
      </c>
      <c r="S40" s="34"/>
      <c r="T40" s="34"/>
      <c r="U40" s="34"/>
      <c r="V40" s="34"/>
      <c r="W40" s="34"/>
      <c r="X40" s="34"/>
      <c r="Y40" s="589" t="s">
        <v>1516</v>
      </c>
      <c r="Z40" s="590"/>
      <c r="AA40" s="591" t="s">
        <v>1517</v>
      </c>
      <c r="AB40" s="592"/>
      <c r="AC40" s="593"/>
      <c r="AD40" s="53">
        <v>7</v>
      </c>
      <c r="AE40" s="25">
        <v>2</v>
      </c>
      <c r="AF40" s="25"/>
      <c r="AG40" s="25"/>
      <c r="AH40" s="25"/>
      <c r="AI40" s="25"/>
      <c r="AJ40" s="25"/>
      <c r="AK40" s="25"/>
      <c r="AL40" s="25"/>
      <c r="AM40" s="25"/>
      <c r="AN40" s="25"/>
      <c r="AO40" s="25"/>
      <c r="AP40" s="25"/>
      <c r="AQ40" s="25"/>
      <c r="AR40" s="25"/>
      <c r="AS40" s="35"/>
      <c r="AT40" s="36"/>
      <c r="AU40" s="36"/>
      <c r="AV40" s="36"/>
      <c r="AW40" s="36"/>
      <c r="AX40" s="36"/>
      <c r="AY40" s="36"/>
      <c r="AZ40" s="36"/>
      <c r="BA40" s="36"/>
      <c r="BB40" s="36"/>
      <c r="BC40" s="36"/>
      <c r="BD40" s="50"/>
    </row>
    <row r="41" spans="1:56" ht="14.4" customHeight="1">
      <c r="A41" s="37">
        <f>IF(B41="","",COUNTA($B$8:B41))</f>
        <v>34</v>
      </c>
      <c r="B41" s="35" t="s">
        <v>1698</v>
      </c>
      <c r="C41" s="34"/>
      <c r="D41" s="34"/>
      <c r="E41" s="34"/>
      <c r="F41" s="34"/>
      <c r="G41" s="34"/>
      <c r="H41" s="34"/>
      <c r="I41" s="35"/>
      <c r="J41" s="27"/>
      <c r="K41" s="27"/>
      <c r="L41" s="27"/>
      <c r="M41" s="27"/>
      <c r="N41" s="27"/>
      <c r="O41" s="27"/>
      <c r="P41" s="27"/>
      <c r="Q41" s="27"/>
      <c r="R41" s="35" t="s">
        <v>251</v>
      </c>
      <c r="S41" s="34"/>
      <c r="T41" s="34"/>
      <c r="U41" s="34"/>
      <c r="V41" s="34"/>
      <c r="W41" s="34"/>
      <c r="X41" s="34"/>
      <c r="Y41" s="589" t="s">
        <v>1516</v>
      </c>
      <c r="Z41" s="590"/>
      <c r="AA41" s="591" t="s">
        <v>1505</v>
      </c>
      <c r="AB41" s="592"/>
      <c r="AC41" s="593"/>
      <c r="AD41" s="53">
        <v>10</v>
      </c>
      <c r="AE41" s="25"/>
      <c r="AF41" s="25"/>
      <c r="AG41" s="24"/>
      <c r="AH41" s="25"/>
      <c r="AI41" s="25"/>
      <c r="AJ41" s="25"/>
      <c r="AK41" s="25"/>
      <c r="AL41" s="25"/>
      <c r="AM41" s="25"/>
      <c r="AN41" s="25"/>
      <c r="AO41" s="25"/>
      <c r="AP41" s="25"/>
      <c r="AQ41" s="25"/>
      <c r="AR41" s="25"/>
      <c r="AS41" s="35"/>
      <c r="AT41" s="36"/>
      <c r="AU41" s="36"/>
      <c r="AV41" s="36"/>
      <c r="AW41" s="36"/>
      <c r="AX41" s="36"/>
      <c r="AY41" s="36"/>
      <c r="AZ41" s="36"/>
      <c r="BA41" s="36"/>
      <c r="BB41" s="36"/>
      <c r="BC41" s="36"/>
      <c r="BD41" s="50"/>
    </row>
    <row r="42" spans="1:56" ht="14.4" customHeight="1">
      <c r="A42" s="37">
        <f>IF(B42="","",COUNTA($B$8:B42))</f>
        <v>35</v>
      </c>
      <c r="B42" s="35" t="s">
        <v>431</v>
      </c>
      <c r="C42" s="34"/>
      <c r="D42" s="34"/>
      <c r="E42" s="34"/>
      <c r="F42" s="34"/>
      <c r="G42" s="34"/>
      <c r="H42" s="34"/>
      <c r="I42" s="35" t="s">
        <v>432</v>
      </c>
      <c r="J42" s="27"/>
      <c r="K42" s="27"/>
      <c r="L42" s="27"/>
      <c r="M42" s="27"/>
      <c r="N42" s="27"/>
      <c r="O42" s="27"/>
      <c r="P42" s="27"/>
      <c r="Q42" s="27"/>
      <c r="R42" s="35" t="s">
        <v>431</v>
      </c>
      <c r="S42" s="34"/>
      <c r="T42" s="34"/>
      <c r="U42" s="34"/>
      <c r="V42" s="34"/>
      <c r="W42" s="34"/>
      <c r="X42" s="34"/>
      <c r="Y42" s="589" t="s">
        <v>1516</v>
      </c>
      <c r="Z42" s="636"/>
      <c r="AA42" s="591" t="s">
        <v>1517</v>
      </c>
      <c r="AB42" s="592"/>
      <c r="AC42" s="593"/>
      <c r="AD42" s="53">
        <v>7</v>
      </c>
      <c r="AE42" s="25">
        <v>3</v>
      </c>
      <c r="AF42" s="25"/>
      <c r="AG42" s="25"/>
      <c r="AH42" s="25"/>
      <c r="AI42" s="25"/>
      <c r="AJ42" s="25"/>
      <c r="AK42" s="25"/>
      <c r="AL42" s="25"/>
      <c r="AM42" s="25"/>
      <c r="AN42" s="25"/>
      <c r="AO42" s="25"/>
      <c r="AP42" s="25"/>
      <c r="AQ42" s="25"/>
      <c r="AR42" s="25"/>
      <c r="AS42" s="35"/>
      <c r="AT42" s="36"/>
      <c r="AU42" s="36"/>
      <c r="AV42" s="36"/>
      <c r="AW42" s="36"/>
      <c r="AX42" s="36"/>
      <c r="AY42" s="36"/>
      <c r="AZ42" s="36"/>
      <c r="BA42" s="36"/>
      <c r="BB42" s="36"/>
      <c r="BC42" s="36"/>
      <c r="BD42" s="50"/>
    </row>
    <row r="43" spans="1:56" ht="14.4" customHeight="1">
      <c r="A43" s="37">
        <f>IF(B43="","",COUNTA($B$8:B43))</f>
        <v>36</v>
      </c>
      <c r="B43" s="35" t="s">
        <v>1632</v>
      </c>
      <c r="C43" s="34"/>
      <c r="D43" s="34"/>
      <c r="E43" s="34"/>
      <c r="F43" s="34"/>
      <c r="G43" s="34"/>
      <c r="H43" s="34"/>
      <c r="I43" s="35" t="s">
        <v>1414</v>
      </c>
      <c r="J43" s="27"/>
      <c r="K43" s="27"/>
      <c r="L43" s="27"/>
      <c r="M43" s="27"/>
      <c r="N43" s="27"/>
      <c r="O43" s="27"/>
      <c r="P43" s="27"/>
      <c r="Q43" s="27"/>
      <c r="R43" s="35" t="s">
        <v>1632</v>
      </c>
      <c r="S43" s="34"/>
      <c r="T43" s="34"/>
      <c r="U43" s="34"/>
      <c r="V43" s="34"/>
      <c r="W43" s="34"/>
      <c r="X43" s="34"/>
      <c r="Y43" s="589" t="s">
        <v>1516</v>
      </c>
      <c r="Z43" s="636"/>
      <c r="AA43" s="591" t="s">
        <v>1517</v>
      </c>
      <c r="AB43" s="592"/>
      <c r="AC43" s="593"/>
      <c r="AD43" s="53">
        <v>7</v>
      </c>
      <c r="AE43" s="25">
        <v>1</v>
      </c>
      <c r="AF43" s="25"/>
      <c r="AG43" s="25"/>
      <c r="AH43" s="25"/>
      <c r="AI43" s="25"/>
      <c r="AJ43" s="25"/>
      <c r="AK43" s="25"/>
      <c r="AL43" s="25"/>
      <c r="AM43" s="25"/>
      <c r="AN43" s="25"/>
      <c r="AO43" s="25"/>
      <c r="AP43" s="25"/>
      <c r="AQ43" s="25"/>
      <c r="AR43" s="25"/>
      <c r="AS43" s="35" t="s">
        <v>1248</v>
      </c>
      <c r="AT43" s="36"/>
      <c r="AU43" s="36"/>
      <c r="AV43" s="36"/>
      <c r="AW43" s="36"/>
      <c r="AX43" s="36"/>
      <c r="AY43" s="36"/>
      <c r="AZ43" s="36"/>
      <c r="BA43" s="36"/>
      <c r="BB43" s="36"/>
      <c r="BC43" s="36"/>
      <c r="BD43" s="50"/>
    </row>
    <row r="44" spans="1:56" ht="14.4" customHeight="1">
      <c r="A44" s="37">
        <f>IF(B44="","",COUNTA($B$8:B44))</f>
        <v>37</v>
      </c>
      <c r="B44" s="35" t="s">
        <v>1650</v>
      </c>
      <c r="C44" s="34"/>
      <c r="D44" s="34"/>
      <c r="E44" s="34"/>
      <c r="F44" s="34"/>
      <c r="G44" s="34"/>
      <c r="H44" s="34"/>
      <c r="I44" s="35"/>
      <c r="J44" s="27"/>
      <c r="K44" s="27"/>
      <c r="L44" s="27"/>
      <c r="M44" s="27"/>
      <c r="N44" s="27"/>
      <c r="O44" s="27"/>
      <c r="P44" s="27"/>
      <c r="Q44" s="27"/>
      <c r="R44" s="35" t="s">
        <v>1650</v>
      </c>
      <c r="S44" s="34"/>
      <c r="T44" s="34"/>
      <c r="U44" s="34"/>
      <c r="V44" s="34"/>
      <c r="W44" s="34"/>
      <c r="X44" s="34"/>
      <c r="Y44" s="589" t="s">
        <v>1516</v>
      </c>
      <c r="Z44" s="590"/>
      <c r="AA44" s="591" t="s">
        <v>1517</v>
      </c>
      <c r="AB44" s="592"/>
      <c r="AC44" s="593"/>
      <c r="AD44" s="53">
        <v>8</v>
      </c>
      <c r="AE44" s="25"/>
      <c r="AF44" s="25"/>
      <c r="AG44" s="25"/>
      <c r="AH44" s="25"/>
      <c r="AI44" s="25"/>
      <c r="AJ44" s="25"/>
      <c r="AK44" s="25"/>
      <c r="AL44" s="25"/>
      <c r="AM44" s="25"/>
      <c r="AN44" s="25"/>
      <c r="AO44" s="25"/>
      <c r="AP44" s="25"/>
      <c r="AQ44" s="25"/>
      <c r="AR44" s="25"/>
      <c r="AS44" s="35" t="s">
        <v>1214</v>
      </c>
      <c r="AT44" s="36"/>
      <c r="AU44" s="36"/>
      <c r="AV44" s="36"/>
      <c r="AW44" s="36"/>
      <c r="AX44" s="36"/>
      <c r="AY44" s="36"/>
      <c r="AZ44" s="36"/>
      <c r="BA44" s="36"/>
      <c r="BB44" s="36"/>
      <c r="BC44" s="36"/>
      <c r="BD44" s="50"/>
    </row>
    <row r="45" spans="1:56" ht="14.4" customHeight="1">
      <c r="A45" s="37">
        <f>IF(B45="","",COUNTA($B$8:B45))</f>
        <v>38</v>
      </c>
      <c r="B45" s="17" t="s">
        <v>1302</v>
      </c>
      <c r="C45" s="34"/>
      <c r="D45" s="34"/>
      <c r="E45" s="34"/>
      <c r="F45" s="34"/>
      <c r="G45" s="34"/>
      <c r="H45" s="34"/>
      <c r="I45" s="19" t="s">
        <v>624</v>
      </c>
      <c r="J45" s="27"/>
      <c r="K45" s="27"/>
      <c r="L45" s="27"/>
      <c r="M45" s="27"/>
      <c r="N45" s="27"/>
      <c r="O45" s="27"/>
      <c r="P45" s="27"/>
      <c r="Q45" s="27"/>
      <c r="R45" s="17" t="s">
        <v>1704</v>
      </c>
      <c r="S45" s="34"/>
      <c r="T45" s="34"/>
      <c r="U45" s="34"/>
      <c r="V45" s="34"/>
      <c r="W45" s="34"/>
      <c r="X45" s="34"/>
      <c r="Y45" s="589" t="s">
        <v>1504</v>
      </c>
      <c r="Z45" s="590"/>
      <c r="AA45" s="591" t="s">
        <v>1505</v>
      </c>
      <c r="AB45" s="592"/>
      <c r="AC45" s="593"/>
      <c r="AD45" s="23">
        <v>10</v>
      </c>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 customHeight="1">
      <c r="A46" s="37">
        <f>IF(B46="","",COUNTA($B$8:B46))</f>
        <v>39</v>
      </c>
      <c r="B46" s="17" t="s">
        <v>1508</v>
      </c>
      <c r="C46" s="34"/>
      <c r="D46" s="34"/>
      <c r="E46" s="34"/>
      <c r="F46" s="34"/>
      <c r="G46" s="34"/>
      <c r="H46" s="34"/>
      <c r="I46" s="19" t="s">
        <v>624</v>
      </c>
      <c r="J46" s="27"/>
      <c r="K46" s="27"/>
      <c r="L46" s="27"/>
      <c r="M46" s="27"/>
      <c r="N46" s="27"/>
      <c r="O46" s="27"/>
      <c r="P46" s="27"/>
      <c r="Q46" s="27"/>
      <c r="R46" s="17" t="s">
        <v>1508</v>
      </c>
      <c r="S46" s="34"/>
      <c r="T46" s="34"/>
      <c r="U46" s="34"/>
      <c r="V46" s="34"/>
      <c r="W46" s="34"/>
      <c r="X46" s="34"/>
      <c r="Y46" s="589" t="s">
        <v>1504</v>
      </c>
      <c r="Z46" s="590"/>
      <c r="AA46" s="591" t="s">
        <v>1505</v>
      </c>
      <c r="AB46" s="592"/>
      <c r="AC46" s="593"/>
      <c r="AD46" s="23">
        <v>10</v>
      </c>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row r="47" spans="1:56" ht="14.4" customHeight="1">
      <c r="A47" s="37">
        <f>IF(B47="","",COUNTA($B$8:B47))</f>
        <v>40</v>
      </c>
      <c r="B47" s="17" t="s">
        <v>1509</v>
      </c>
      <c r="C47" s="34"/>
      <c r="D47" s="34"/>
      <c r="E47" s="34"/>
      <c r="F47" s="34"/>
      <c r="G47" s="34"/>
      <c r="H47" s="34"/>
      <c r="I47" s="19" t="s">
        <v>548</v>
      </c>
      <c r="J47" s="27"/>
      <c r="K47" s="27"/>
      <c r="L47" s="27"/>
      <c r="M47" s="27"/>
      <c r="N47" s="27"/>
      <c r="O47" s="27"/>
      <c r="P47" s="27"/>
      <c r="Q47" s="27"/>
      <c r="R47" s="17" t="s">
        <v>1509</v>
      </c>
      <c r="S47" s="34"/>
      <c r="T47" s="34"/>
      <c r="U47" s="34"/>
      <c r="V47" s="34"/>
      <c r="W47" s="34"/>
      <c r="X47" s="34"/>
      <c r="Y47" s="589" t="s">
        <v>1510</v>
      </c>
      <c r="Z47" s="590"/>
      <c r="AA47" s="591" t="s">
        <v>1511</v>
      </c>
      <c r="AB47" s="592"/>
      <c r="AC47" s="593"/>
      <c r="AD47" s="38"/>
      <c r="AE47" s="25"/>
      <c r="AF47" s="25"/>
      <c r="AG47" s="25"/>
      <c r="AH47" s="25"/>
      <c r="AI47" s="25"/>
      <c r="AJ47" s="25"/>
      <c r="AK47" s="25"/>
      <c r="AL47" s="25"/>
      <c r="AM47" s="25"/>
      <c r="AN47" s="25"/>
      <c r="AO47" s="25"/>
      <c r="AP47" s="25"/>
      <c r="AQ47" s="25"/>
      <c r="AR47" s="25"/>
      <c r="AS47" s="26"/>
      <c r="AT47" s="51"/>
      <c r="AU47" s="51"/>
      <c r="AV47" s="51"/>
      <c r="AW47" s="51"/>
      <c r="AX47" s="51"/>
      <c r="AY47" s="51"/>
      <c r="AZ47" s="51"/>
      <c r="BA47" s="51"/>
      <c r="BB47" s="51"/>
      <c r="BC47" s="51"/>
      <c r="BD47" s="52"/>
    </row>
    <row r="48" spans="1:56" ht="14.4" customHeight="1">
      <c r="A48" s="37">
        <f>IF(B48="","",COUNTA($B$8:B48))</f>
        <v>41</v>
      </c>
      <c r="B48" s="17" t="s">
        <v>1306</v>
      </c>
      <c r="C48" s="34"/>
      <c r="D48" s="34"/>
      <c r="E48" s="34"/>
      <c r="F48" s="34"/>
      <c r="G48" s="34"/>
      <c r="H48" s="34"/>
      <c r="I48" s="19" t="s">
        <v>626</v>
      </c>
      <c r="J48" s="27"/>
      <c r="K48" s="27"/>
      <c r="L48" s="27"/>
      <c r="M48" s="27"/>
      <c r="N48" s="27"/>
      <c r="O48" s="27"/>
      <c r="P48" s="27"/>
      <c r="Q48" s="27"/>
      <c r="R48" s="17" t="s">
        <v>1634</v>
      </c>
      <c r="S48" s="34"/>
      <c r="T48" s="34"/>
      <c r="U48" s="34"/>
      <c r="V48" s="34"/>
      <c r="W48" s="34"/>
      <c r="X48" s="34"/>
      <c r="Y48" s="589" t="s">
        <v>1504</v>
      </c>
      <c r="Z48" s="590"/>
      <c r="AA48" s="591" t="s">
        <v>1505</v>
      </c>
      <c r="AB48" s="592"/>
      <c r="AC48" s="593"/>
      <c r="AD48" s="23">
        <v>10</v>
      </c>
      <c r="AE48" s="25"/>
      <c r="AF48" s="25"/>
      <c r="AG48" s="25"/>
      <c r="AH48" s="25"/>
      <c r="AI48" s="25"/>
      <c r="AJ48" s="25"/>
      <c r="AK48" s="25"/>
      <c r="AL48" s="25"/>
      <c r="AM48" s="25"/>
      <c r="AN48" s="25"/>
      <c r="AO48" s="25"/>
      <c r="AP48" s="25"/>
      <c r="AQ48" s="25"/>
      <c r="AR48" s="25"/>
      <c r="AS48" s="26"/>
      <c r="AT48" s="51"/>
      <c r="AU48" s="51"/>
      <c r="AV48" s="51"/>
      <c r="AW48" s="51"/>
      <c r="AX48" s="51"/>
      <c r="AY48" s="51"/>
      <c r="AZ48" s="51"/>
      <c r="BA48" s="51"/>
      <c r="BB48" s="51"/>
      <c r="BC48" s="51"/>
      <c r="BD48" s="52"/>
    </row>
    <row r="49" spans="1:56" ht="14.4" customHeight="1">
      <c r="A49" s="37">
        <f>IF(B49="","",COUNTA($B$8:B49))</f>
        <v>42</v>
      </c>
      <c r="B49" s="17" t="s">
        <v>1512</v>
      </c>
      <c r="C49" s="18"/>
      <c r="D49" s="18"/>
      <c r="E49" s="18"/>
      <c r="F49" s="18"/>
      <c r="G49" s="18"/>
      <c r="H49" s="18"/>
      <c r="I49" s="19" t="s">
        <v>390</v>
      </c>
      <c r="J49" s="20"/>
      <c r="K49" s="20"/>
      <c r="L49" s="20"/>
      <c r="M49" s="20"/>
      <c r="N49" s="20"/>
      <c r="O49" s="20"/>
      <c r="P49" s="20"/>
      <c r="Q49" s="20"/>
      <c r="R49" s="17" t="s">
        <v>1512</v>
      </c>
      <c r="S49" s="18"/>
      <c r="T49" s="18"/>
      <c r="U49" s="18"/>
      <c r="V49" s="18"/>
      <c r="W49" s="18"/>
      <c r="X49" s="18"/>
      <c r="Y49" s="589" t="s">
        <v>1504</v>
      </c>
      <c r="Z49" s="590"/>
      <c r="AA49" s="591" t="s">
        <v>1505</v>
      </c>
      <c r="AB49" s="592"/>
      <c r="AC49" s="593"/>
      <c r="AD49" s="38">
        <v>10</v>
      </c>
      <c r="AE49" s="30" t="s">
        <v>1585</v>
      </c>
      <c r="AF49" s="30"/>
      <c r="AG49" s="30"/>
      <c r="AH49" s="30"/>
      <c r="AI49" s="30"/>
      <c r="AJ49" s="30"/>
      <c r="AK49" s="30"/>
      <c r="AL49" s="30"/>
      <c r="AM49" s="30"/>
      <c r="AN49" s="30"/>
      <c r="AO49" s="31"/>
      <c r="AP49" s="31"/>
      <c r="AQ49" s="31"/>
      <c r="AR49" s="31"/>
      <c r="AS49" s="32"/>
      <c r="AT49" s="33"/>
      <c r="AU49" s="51"/>
      <c r="AV49" s="51"/>
      <c r="AW49" s="51"/>
      <c r="AX49" s="51"/>
      <c r="AY49" s="51"/>
      <c r="AZ49" s="51"/>
      <c r="BA49" s="51"/>
      <c r="BB49" s="51"/>
      <c r="BC49" s="51"/>
      <c r="BD49" s="52"/>
    </row>
    <row r="50" spans="1:56" ht="14.4" customHeight="1">
      <c r="A50" s="37">
        <f>IF(B50="","",COUNTA($B$8:B50))</f>
        <v>43</v>
      </c>
      <c r="B50" s="17" t="s">
        <v>1513</v>
      </c>
      <c r="C50" s="18"/>
      <c r="D50" s="18"/>
      <c r="E50" s="18"/>
      <c r="F50" s="18"/>
      <c r="G50" s="18"/>
      <c r="H50" s="18"/>
      <c r="I50" s="19" t="s">
        <v>394</v>
      </c>
      <c r="J50" s="20"/>
      <c r="K50" s="20"/>
      <c r="L50" s="20"/>
      <c r="M50" s="20"/>
      <c r="N50" s="20"/>
      <c r="O50" s="20"/>
      <c r="P50" s="20"/>
      <c r="Q50" s="20"/>
      <c r="R50" s="17" t="s">
        <v>1513</v>
      </c>
      <c r="S50" s="18"/>
      <c r="T50" s="18"/>
      <c r="U50" s="18"/>
      <c r="V50" s="18"/>
      <c r="W50" s="18"/>
      <c r="X50" s="18"/>
      <c r="Y50" s="589" t="s">
        <v>1510</v>
      </c>
      <c r="Z50" s="590"/>
      <c r="AA50" s="591" t="s">
        <v>1511</v>
      </c>
      <c r="AB50" s="592"/>
      <c r="AC50" s="593"/>
      <c r="AD50" s="38"/>
      <c r="AE50" s="30" t="s">
        <v>1585</v>
      </c>
      <c r="AF50" s="30"/>
      <c r="AG50" s="30"/>
      <c r="AH50" s="30"/>
      <c r="AI50" s="30"/>
      <c r="AJ50" s="30"/>
      <c r="AK50" s="30"/>
      <c r="AL50" s="30"/>
      <c r="AM50" s="30"/>
      <c r="AN50" s="30"/>
      <c r="AO50" s="31"/>
      <c r="AP50" s="31"/>
      <c r="AQ50" s="31"/>
      <c r="AR50" s="31"/>
      <c r="AS50" s="32"/>
      <c r="AT50" s="33"/>
      <c r="AU50" s="51"/>
      <c r="AV50" s="51"/>
      <c r="AW50" s="51"/>
      <c r="AX50" s="51"/>
      <c r="AY50" s="51"/>
      <c r="AZ50" s="51"/>
      <c r="BA50" s="51"/>
      <c r="BB50" s="51"/>
      <c r="BC50" s="51"/>
      <c r="BD50" s="52"/>
    </row>
    <row r="51" spans="1:56" ht="14.4" customHeight="1">
      <c r="A51" s="37" t="str">
        <f>IF(B51="","",COUNTA($B$8:B51))</f>
        <v/>
      </c>
      <c r="B51" s="17"/>
      <c r="C51" s="18"/>
      <c r="D51" s="18"/>
      <c r="E51" s="18"/>
      <c r="F51" s="18"/>
      <c r="G51" s="18"/>
      <c r="H51" s="18"/>
      <c r="I51" s="19"/>
      <c r="J51" s="20"/>
      <c r="K51" s="20"/>
      <c r="L51" s="20"/>
      <c r="M51" s="20"/>
      <c r="N51" s="20"/>
      <c r="O51" s="20"/>
      <c r="P51" s="20"/>
      <c r="Q51" s="20"/>
      <c r="R51" s="17"/>
      <c r="S51" s="18"/>
      <c r="T51" s="18"/>
      <c r="U51" s="18"/>
      <c r="V51" s="18"/>
      <c r="W51" s="18"/>
      <c r="X51" s="18"/>
      <c r="Y51" s="17"/>
      <c r="Z51" s="28"/>
      <c r="AA51" s="21"/>
      <c r="AB51" s="22"/>
      <c r="AC51" s="29"/>
      <c r="AD51" s="38"/>
      <c r="AE51" s="30"/>
      <c r="AF51" s="30"/>
      <c r="AG51" s="30"/>
      <c r="AH51" s="30"/>
      <c r="AI51" s="30"/>
      <c r="AJ51" s="30"/>
      <c r="AK51" s="30"/>
      <c r="AL51" s="30"/>
      <c r="AM51" s="30"/>
      <c r="AN51" s="30"/>
      <c r="AO51" s="31"/>
      <c r="AP51" s="31"/>
      <c r="AQ51" s="31"/>
      <c r="AR51" s="31"/>
      <c r="AS51" s="32"/>
      <c r="AT51" s="33"/>
      <c r="AU51" s="51"/>
      <c r="AV51" s="51"/>
      <c r="AW51" s="51"/>
      <c r="AX51" s="51"/>
      <c r="AY51" s="51"/>
      <c r="AZ51" s="51"/>
      <c r="BA51" s="51"/>
      <c r="BB51" s="51"/>
      <c r="BC51" s="51"/>
      <c r="BD51" s="52"/>
    </row>
    <row r="52" spans="1:56" ht="14.4" customHeight="1">
      <c r="A52" s="37" t="str">
        <f>IF(B52="","",COUNTA($B$8:B52))</f>
        <v/>
      </c>
      <c r="B52" s="17"/>
      <c r="C52" s="18"/>
      <c r="D52" s="18"/>
      <c r="E52" s="18"/>
      <c r="F52" s="18"/>
      <c r="G52" s="18"/>
      <c r="H52" s="18"/>
      <c r="I52" s="19"/>
      <c r="J52" s="20"/>
      <c r="K52" s="20"/>
      <c r="L52" s="20"/>
      <c r="M52" s="20"/>
      <c r="N52" s="20"/>
      <c r="O52" s="20"/>
      <c r="P52" s="20"/>
      <c r="Q52" s="20"/>
      <c r="R52" s="17"/>
      <c r="S52" s="18"/>
      <c r="T52" s="18"/>
      <c r="U52" s="18"/>
      <c r="V52" s="18"/>
      <c r="W52" s="18"/>
      <c r="X52" s="18"/>
      <c r="Y52" s="17"/>
      <c r="Z52" s="28"/>
      <c r="AA52" s="21"/>
      <c r="AB52" s="22"/>
      <c r="AC52" s="29"/>
      <c r="AD52" s="38"/>
      <c r="AE52" s="30"/>
      <c r="AF52" s="30"/>
      <c r="AG52" s="30"/>
      <c r="AH52" s="30"/>
      <c r="AI52" s="30"/>
      <c r="AJ52" s="30"/>
      <c r="AK52" s="30"/>
      <c r="AL52" s="30"/>
      <c r="AM52" s="30"/>
      <c r="AN52" s="30"/>
      <c r="AO52" s="31"/>
      <c r="AP52" s="31"/>
      <c r="AQ52" s="31"/>
      <c r="AR52" s="31"/>
      <c r="AS52" s="32"/>
      <c r="AT52" s="33"/>
      <c r="AU52" s="51"/>
      <c r="AV52" s="51"/>
      <c r="AW52" s="51"/>
      <c r="AX52" s="51"/>
      <c r="AY52" s="51"/>
      <c r="AZ52" s="51"/>
      <c r="BA52" s="51"/>
      <c r="BB52" s="51"/>
      <c r="BC52" s="51"/>
      <c r="BD52" s="52"/>
    </row>
    <row r="53" spans="1:56" ht="14.4" customHeight="1">
      <c r="A53" s="37" t="str">
        <f>IF(B53="","",COUNTA($B$8:B53))</f>
        <v/>
      </c>
      <c r="B53" s="17"/>
      <c r="C53" s="18"/>
      <c r="D53" s="18"/>
      <c r="E53" s="18"/>
      <c r="F53" s="18"/>
      <c r="G53" s="18"/>
      <c r="H53" s="18"/>
      <c r="I53" s="19"/>
      <c r="J53" s="20"/>
      <c r="K53" s="20"/>
      <c r="L53" s="20"/>
      <c r="M53" s="20"/>
      <c r="N53" s="20"/>
      <c r="O53" s="20"/>
      <c r="P53" s="20"/>
      <c r="Q53" s="20"/>
      <c r="R53" s="17"/>
      <c r="S53" s="18"/>
      <c r="T53" s="18"/>
      <c r="U53" s="18"/>
      <c r="V53" s="18"/>
      <c r="W53" s="18"/>
      <c r="X53" s="18"/>
      <c r="Y53" s="17"/>
      <c r="Z53" s="28"/>
      <c r="AA53" s="21"/>
      <c r="AB53" s="22"/>
      <c r="AC53" s="29"/>
      <c r="AD53" s="38"/>
      <c r="AE53" s="30"/>
      <c r="AF53" s="30"/>
      <c r="AG53" s="30"/>
      <c r="AH53" s="30"/>
      <c r="AI53" s="30"/>
      <c r="AJ53" s="30"/>
      <c r="AK53" s="30"/>
      <c r="AL53" s="30"/>
      <c r="AM53" s="30"/>
      <c r="AN53" s="30"/>
      <c r="AO53" s="31"/>
      <c r="AP53" s="31"/>
      <c r="AQ53" s="31"/>
      <c r="AR53" s="31"/>
      <c r="AS53" s="32"/>
      <c r="AT53" s="33"/>
      <c r="AU53" s="51"/>
      <c r="AV53" s="51"/>
      <c r="AW53" s="51"/>
      <c r="AX53" s="51"/>
      <c r="AY53" s="51"/>
      <c r="AZ53" s="51"/>
      <c r="BA53" s="51"/>
      <c r="BB53" s="51"/>
      <c r="BC53" s="51"/>
      <c r="BD53" s="52"/>
    </row>
    <row r="54" spans="1:56" ht="14.4" customHeight="1">
      <c r="A54" s="37" t="str">
        <f>IF(B54="","",COUNTA($B$8:B54))</f>
        <v/>
      </c>
      <c r="B54" s="17"/>
      <c r="C54" s="18"/>
      <c r="D54" s="18"/>
      <c r="E54" s="18"/>
      <c r="F54" s="18"/>
      <c r="G54" s="18"/>
      <c r="H54" s="18"/>
      <c r="I54" s="19"/>
      <c r="J54" s="20"/>
      <c r="K54" s="20"/>
      <c r="L54" s="20"/>
      <c r="M54" s="20"/>
      <c r="N54" s="20"/>
      <c r="O54" s="20"/>
      <c r="P54" s="20"/>
      <c r="Q54" s="20"/>
      <c r="R54" s="17"/>
      <c r="S54" s="18"/>
      <c r="T54" s="18"/>
      <c r="U54" s="18"/>
      <c r="V54" s="18"/>
      <c r="W54" s="18"/>
      <c r="X54" s="18"/>
      <c r="Y54" s="17"/>
      <c r="Z54" s="28"/>
      <c r="AA54" s="21"/>
      <c r="AB54" s="22"/>
      <c r="AC54" s="29"/>
      <c r="AD54" s="38"/>
      <c r="AE54" s="30"/>
      <c r="AF54" s="30"/>
      <c r="AG54" s="30"/>
      <c r="AH54" s="30"/>
      <c r="AI54" s="30"/>
      <c r="AJ54" s="30"/>
      <c r="AK54" s="30"/>
      <c r="AL54" s="30"/>
      <c r="AM54" s="30"/>
      <c r="AN54" s="30"/>
      <c r="AO54" s="31"/>
      <c r="AP54" s="31"/>
      <c r="AQ54" s="31"/>
      <c r="AR54" s="31"/>
      <c r="AS54" s="32"/>
      <c r="AT54" s="33"/>
      <c r="AU54" s="51"/>
      <c r="AV54" s="51"/>
      <c r="AW54" s="51"/>
      <c r="AX54" s="51"/>
      <c r="AY54" s="51"/>
      <c r="AZ54" s="51"/>
      <c r="BA54" s="51"/>
      <c r="BB54" s="51"/>
      <c r="BC54" s="51"/>
      <c r="BD54" s="52"/>
    </row>
    <row r="55" spans="1:56" ht="14.4" customHeight="1">
      <c r="A55" s="37" t="str">
        <f>IF(B55="","",COUNTA($B$8:B55))</f>
        <v/>
      </c>
      <c r="B55" s="17"/>
      <c r="C55" s="18"/>
      <c r="D55" s="18"/>
      <c r="E55" s="18"/>
      <c r="F55" s="18"/>
      <c r="G55" s="18"/>
      <c r="H55" s="18"/>
      <c r="I55" s="19"/>
      <c r="J55" s="20"/>
      <c r="K55" s="20"/>
      <c r="L55" s="20"/>
      <c r="M55" s="20"/>
      <c r="N55" s="20"/>
      <c r="O55" s="20"/>
      <c r="P55" s="20"/>
      <c r="Q55" s="20"/>
      <c r="R55" s="17"/>
      <c r="S55" s="18"/>
      <c r="T55" s="18"/>
      <c r="U55" s="18"/>
      <c r="V55" s="18"/>
      <c r="W55" s="18"/>
      <c r="X55" s="18"/>
      <c r="Y55" s="17"/>
      <c r="Z55" s="28"/>
      <c r="AA55" s="21"/>
      <c r="AB55" s="22"/>
      <c r="AC55" s="29"/>
      <c r="AD55" s="38"/>
      <c r="AE55" s="30"/>
      <c r="AF55" s="30"/>
      <c r="AG55" s="30"/>
      <c r="AH55" s="30"/>
      <c r="AI55" s="30"/>
      <c r="AJ55" s="30"/>
      <c r="AK55" s="30"/>
      <c r="AL55" s="30"/>
      <c r="AM55" s="30"/>
      <c r="AN55" s="30"/>
      <c r="AO55" s="31"/>
      <c r="AP55" s="31"/>
      <c r="AQ55" s="31"/>
      <c r="AR55" s="31"/>
      <c r="AS55" s="32"/>
      <c r="AT55" s="33"/>
      <c r="AU55" s="51"/>
      <c r="AV55" s="51"/>
      <c r="AW55" s="51"/>
      <c r="AX55" s="51"/>
      <c r="AY55" s="51"/>
      <c r="AZ55" s="51"/>
      <c r="BA55" s="51"/>
      <c r="BB55" s="51"/>
      <c r="BC55" s="51"/>
      <c r="BD55" s="52"/>
    </row>
    <row r="56" spans="1:56" ht="14.4" customHeight="1">
      <c r="A56" s="37" t="str">
        <f>IF(B56="","",COUNTA($B$8:B56))</f>
        <v/>
      </c>
      <c r="B56" s="17"/>
      <c r="C56" s="18"/>
      <c r="D56" s="18"/>
      <c r="E56" s="18"/>
      <c r="F56" s="18"/>
      <c r="G56" s="18"/>
      <c r="H56" s="18"/>
      <c r="I56" s="19"/>
      <c r="J56" s="20"/>
      <c r="K56" s="20"/>
      <c r="L56" s="20"/>
      <c r="M56" s="20"/>
      <c r="N56" s="20"/>
      <c r="O56" s="20"/>
      <c r="P56" s="20"/>
      <c r="Q56" s="20"/>
      <c r="R56" s="17"/>
      <c r="S56" s="18"/>
      <c r="T56" s="18"/>
      <c r="U56" s="18"/>
      <c r="V56" s="18"/>
      <c r="W56" s="18"/>
      <c r="X56" s="18"/>
      <c r="Y56" s="17"/>
      <c r="Z56" s="28"/>
      <c r="AA56" s="21"/>
      <c r="AB56" s="22"/>
      <c r="AC56" s="29"/>
      <c r="AD56" s="38"/>
      <c r="AE56" s="30"/>
      <c r="AF56" s="30"/>
      <c r="AG56" s="30"/>
      <c r="AH56" s="30"/>
      <c r="AI56" s="30"/>
      <c r="AJ56" s="30"/>
      <c r="AK56" s="30"/>
      <c r="AL56" s="30"/>
      <c r="AM56" s="30"/>
      <c r="AN56" s="30"/>
      <c r="AO56" s="31"/>
      <c r="AP56" s="31"/>
      <c r="AQ56" s="31"/>
      <c r="AR56" s="31"/>
      <c r="AS56" s="32"/>
      <c r="AT56" s="33"/>
      <c r="AU56" s="51"/>
      <c r="AV56" s="51"/>
      <c r="AW56" s="51"/>
      <c r="AX56" s="51"/>
      <c r="AY56" s="51"/>
      <c r="AZ56" s="51"/>
      <c r="BA56" s="51"/>
      <c r="BB56" s="51"/>
      <c r="BC56" s="51"/>
      <c r="BD56" s="52"/>
    </row>
    <row r="57" spans="1:56" ht="14.4" customHeight="1">
      <c r="A57" s="37" t="str">
        <f>IF(B57="","",COUNTA($B$8:B57))</f>
        <v/>
      </c>
      <c r="B57" s="17"/>
      <c r="C57" s="18"/>
      <c r="D57" s="18"/>
      <c r="E57" s="18"/>
      <c r="F57" s="18"/>
      <c r="G57" s="18"/>
      <c r="H57" s="18"/>
      <c r="I57" s="19"/>
      <c r="J57" s="20"/>
      <c r="K57" s="20"/>
      <c r="L57" s="20"/>
      <c r="M57" s="20"/>
      <c r="N57" s="20"/>
      <c r="O57" s="20"/>
      <c r="P57" s="20"/>
      <c r="Q57" s="20"/>
      <c r="R57" s="17"/>
      <c r="S57" s="18"/>
      <c r="T57" s="18"/>
      <c r="U57" s="18"/>
      <c r="V57" s="18"/>
      <c r="W57" s="18"/>
      <c r="X57" s="18"/>
      <c r="Y57" s="17"/>
      <c r="Z57" s="28"/>
      <c r="AA57" s="21"/>
      <c r="AB57" s="22"/>
      <c r="AC57" s="29"/>
      <c r="AD57" s="38"/>
      <c r="AE57" s="30"/>
      <c r="AF57" s="30"/>
      <c r="AG57" s="30"/>
      <c r="AH57" s="30"/>
      <c r="AI57" s="30"/>
      <c r="AJ57" s="30"/>
      <c r="AK57" s="30"/>
      <c r="AL57" s="30"/>
      <c r="AM57" s="30"/>
      <c r="AN57" s="30"/>
      <c r="AO57" s="31"/>
      <c r="AP57" s="31"/>
      <c r="AQ57" s="31"/>
      <c r="AR57" s="31"/>
      <c r="AS57" s="32"/>
      <c r="AT57" s="33"/>
      <c r="AU57" s="51"/>
      <c r="AV57" s="51"/>
      <c r="AW57" s="51"/>
      <c r="AX57" s="51"/>
      <c r="AY57" s="51"/>
      <c r="AZ57" s="51"/>
      <c r="BA57" s="51"/>
      <c r="BB57" s="51"/>
      <c r="BC57" s="51"/>
      <c r="BD57" s="52"/>
    </row>
    <row r="58" spans="1:56" ht="14.4" customHeight="1">
      <c r="A58" s="37" t="str">
        <f>IF(B58="","",COUNTA($B$8:B58))</f>
        <v/>
      </c>
      <c r="B58" s="26"/>
      <c r="C58" s="34"/>
      <c r="D58" s="34"/>
      <c r="E58" s="34"/>
      <c r="F58" s="34"/>
      <c r="G58" s="34"/>
      <c r="H58" s="34"/>
      <c r="I58" s="19"/>
      <c r="J58" s="27"/>
      <c r="K58" s="27"/>
      <c r="L58" s="27"/>
      <c r="M58" s="27"/>
      <c r="N58" s="27"/>
      <c r="O58" s="27"/>
      <c r="P58" s="27"/>
      <c r="Q58" s="27"/>
      <c r="R58" s="26"/>
      <c r="S58" s="34"/>
      <c r="T58" s="34"/>
      <c r="U58" s="34"/>
      <c r="V58" s="34"/>
      <c r="W58" s="34"/>
      <c r="X58" s="34"/>
      <c r="Y58" s="589"/>
      <c r="Z58" s="590"/>
      <c r="AA58" s="591"/>
      <c r="AB58" s="592"/>
      <c r="AC58" s="593"/>
      <c r="AD58" s="38"/>
      <c r="AE58" s="25"/>
      <c r="AF58" s="25"/>
      <c r="AG58" s="25"/>
      <c r="AH58" s="25"/>
      <c r="AI58" s="25"/>
      <c r="AJ58" s="25"/>
      <c r="AK58" s="25"/>
      <c r="AL58" s="25"/>
      <c r="AM58" s="25"/>
      <c r="AN58" s="25"/>
      <c r="AO58" s="25"/>
      <c r="AP58" s="25"/>
      <c r="AQ58" s="25"/>
      <c r="AR58" s="25"/>
      <c r="AS58" s="26"/>
      <c r="AT58" s="51"/>
      <c r="AU58" s="51"/>
      <c r="AV58" s="51"/>
      <c r="AW58" s="51"/>
      <c r="AX58" s="51"/>
      <c r="AY58" s="51"/>
      <c r="AZ58" s="51"/>
      <c r="BA58" s="51"/>
      <c r="BB58" s="51"/>
      <c r="BC58" s="51"/>
      <c r="BD58" s="52"/>
    </row>
  </sheetData>
  <mergeCells count="120">
    <mergeCell ref="Y58:Z58"/>
    <mergeCell ref="AA58:AC58"/>
    <mergeCell ref="Y48:Z48"/>
    <mergeCell ref="AA48:AC48"/>
    <mergeCell ref="Y49:Z49"/>
    <mergeCell ref="AA49:AC49"/>
    <mergeCell ref="Y50:Z50"/>
    <mergeCell ref="AA50:AC50"/>
    <mergeCell ref="Y45:Z45"/>
    <mergeCell ref="AA45:AC45"/>
    <mergeCell ref="Y46:Z46"/>
    <mergeCell ref="AA46:AC46"/>
    <mergeCell ref="Y47:Z47"/>
    <mergeCell ref="AA47:AC47"/>
    <mergeCell ref="Y42:Z42"/>
    <mergeCell ref="AA42:AC42"/>
    <mergeCell ref="Y43:Z43"/>
    <mergeCell ref="AA43:AC43"/>
    <mergeCell ref="Y44:Z44"/>
    <mergeCell ref="AA44:AC44"/>
    <mergeCell ref="Y39:Z39"/>
    <mergeCell ref="AA39:AC39"/>
    <mergeCell ref="Y40:Z40"/>
    <mergeCell ref="AA40:AC40"/>
    <mergeCell ref="Y41:Z41"/>
    <mergeCell ref="AA41:AC41"/>
    <mergeCell ref="Y36:Z36"/>
    <mergeCell ref="AA36:AC36"/>
    <mergeCell ref="Y37:Z37"/>
    <mergeCell ref="AA37:AC37"/>
    <mergeCell ref="Y38:Z38"/>
    <mergeCell ref="AA38:AC38"/>
    <mergeCell ref="Y33:Z33"/>
    <mergeCell ref="AA33:AC33"/>
    <mergeCell ref="Y34:Z34"/>
    <mergeCell ref="AA34:AC34"/>
    <mergeCell ref="Y35:Z35"/>
    <mergeCell ref="AA35:AC35"/>
    <mergeCell ref="Y30:Z30"/>
    <mergeCell ref="AA30:AC30"/>
    <mergeCell ref="Y31:Z31"/>
    <mergeCell ref="AA31:AC31"/>
    <mergeCell ref="Y32:Z32"/>
    <mergeCell ref="AA32:AC32"/>
    <mergeCell ref="Y27:Z27"/>
    <mergeCell ref="AA27:AC27"/>
    <mergeCell ref="Y28:Z28"/>
    <mergeCell ref="AA28:AC28"/>
    <mergeCell ref="Y29:Z29"/>
    <mergeCell ref="AA29:AC29"/>
    <mergeCell ref="Y24:Z24"/>
    <mergeCell ref="AA24:AC24"/>
    <mergeCell ref="Y25:Z25"/>
    <mergeCell ref="AA25:AC25"/>
    <mergeCell ref="Y26:Z26"/>
    <mergeCell ref="AA26:AC26"/>
    <mergeCell ref="Y21:Z21"/>
    <mergeCell ref="AA21:AC21"/>
    <mergeCell ref="Y22:Z22"/>
    <mergeCell ref="AA22:AC22"/>
    <mergeCell ref="Y23:Z23"/>
    <mergeCell ref="AA23:AC23"/>
    <mergeCell ref="Y18:Z18"/>
    <mergeCell ref="AA18:AC18"/>
    <mergeCell ref="Y19:Z19"/>
    <mergeCell ref="AA19:AC19"/>
    <mergeCell ref="Y20:Z20"/>
    <mergeCell ref="AA20:AC20"/>
    <mergeCell ref="Y15:Z15"/>
    <mergeCell ref="AA15:AC15"/>
    <mergeCell ref="Y16:Z16"/>
    <mergeCell ref="AA16:AC16"/>
    <mergeCell ref="Y17:Z17"/>
    <mergeCell ref="AA17:AC17"/>
    <mergeCell ref="Y12:Z12"/>
    <mergeCell ref="AA12:AC12"/>
    <mergeCell ref="Y13:Z13"/>
    <mergeCell ref="AA13:AC13"/>
    <mergeCell ref="Y14:Z14"/>
    <mergeCell ref="AA14:AC14"/>
    <mergeCell ref="Y9:Z9"/>
    <mergeCell ref="AA9:AC9"/>
    <mergeCell ref="Y10:Z10"/>
    <mergeCell ref="AA10:AC10"/>
    <mergeCell ref="Y11:Z11"/>
    <mergeCell ref="AA11:AC11"/>
    <mergeCell ref="AG6:AG7"/>
    <mergeCell ref="AH6:AH7"/>
    <mergeCell ref="AI6:AR6"/>
    <mergeCell ref="AS6:BD7"/>
    <mergeCell ref="Y8:Z8"/>
    <mergeCell ref="AA8:AC8"/>
    <mergeCell ref="AZ4:BD4"/>
    <mergeCell ref="A6:A7"/>
    <mergeCell ref="B6:H7"/>
    <mergeCell ref="I6:Q7"/>
    <mergeCell ref="R6:X7"/>
    <mergeCell ref="Y6:Z7"/>
    <mergeCell ref="AA6:AC7"/>
    <mergeCell ref="AD6:AD7"/>
    <mergeCell ref="AE6:AE7"/>
    <mergeCell ref="AF6:AF7"/>
    <mergeCell ref="A1:H4"/>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AU4:AY4"/>
  </mergeCells>
  <phoneticPr fontId="12"/>
  <dataValidations count="3">
    <dataValidation type="list" allowBlank="1" showInputMessage="1" showErrorMessage="1" sqref="Y8:Z58">
      <formula1>"文字,数値,日付,時間"</formula1>
    </dataValidation>
    <dataValidation type="list" allowBlank="1" showInputMessage="1" showErrorMessage="1" sqref="AA8:AA10 AA11:AC11 AA12:AA58">
      <formula1>"datetime,int,numeric,varchar,nvarchar"</formula1>
    </dataValidation>
    <dataValidation imeMode="hiragana" allowBlank="1" showInputMessage="1" showErrorMessage="1" sqref="JG65533:JR65535 TC65533:TN65535 ACY65533:ADJ65535 AMU65533:ANF65535 AWQ65533:AXB65535 BGM65533:BGX65535 BQI65533:BQT65535 CAE65533:CAP65535 CKA65533:CKL65535 CTW65533:CUH65535 DDS65533:DED65535 DNO65533:DNZ65535 DXK65533:DXV65535 EHG65533:EHR65535 ERC65533:ERN65535 FAY65533:FBJ65535 FKU65533:FLF65535 FUQ65533:FVB65535 GEM65533:GEX65535 GOI65533:GOT65535 GYE65533:GYP65535 HIA65533:HIL65535 HRW65533:HSH65535 IBS65533:ICD65535 ILO65533:ILZ65535 IVK65533:IVV65535 JFG65533:JFR65535 JPC65533:JPN65535 JYY65533:JZJ65535 KIU65533:KJF65535 KSQ65533:KTB65535 LCM65533:LCX65535 LMI65533:LMT65535 LWE65533:LWP65535 MGA65533:MGL65535 MPW65533:MQH65535 MZS65533:NAD65535 NJO65533:NJZ65535 NTK65533:NTV65535 ODG65533:ODR65535 ONC65533:ONN65535 OWY65533:OXJ65535 PGU65533:PHF65535 PQQ65533:PRB65535 QAM65533:QAX65535 QKI65533:QKT65535 QUE65533:QUP65535 REA65533:REL65535 RNW65533:ROH65535 RXS65533:RYD65535 SHO65533:SHZ65535 SRK65533:SRV65535 TBG65533:TBR65535 TLC65533:TLN65535 TUY65533:TVJ65535 UEU65533:UFF65535 UOQ65533:UPB65535 UYM65533:UYX65535 VII65533:VIT65535 VSE65533:VSP65535 WCA65533:WCL65535 WLW65533:WMH65535 WVS65533:WWD65535 JG131069:JR131071 TC131069:TN131071 ACY131069:ADJ131071 AMU131069:ANF131071 AWQ131069:AXB131071 BGM131069:BGX131071 BQI131069:BQT131071 CAE131069:CAP131071 CKA131069:CKL131071 CTW131069:CUH131071 DDS131069:DED131071 DNO131069:DNZ131071 DXK131069:DXV131071 EHG131069:EHR131071 ERC131069:ERN131071 FAY131069:FBJ131071 FKU131069:FLF131071 FUQ131069:FVB131071 GEM131069:GEX131071 GOI131069:GOT131071 GYE131069:GYP131071 HIA131069:HIL131071 HRW131069:HSH131071 IBS131069:ICD131071 ILO131069:ILZ131071 IVK131069:IVV131071 JFG131069:JFR131071 JPC131069:JPN131071 JYY131069:JZJ131071 KIU131069:KJF131071 KSQ131069:KTB131071 LCM131069:LCX131071 LMI131069:LMT131071 LWE131069:LWP131071 MGA131069:MGL131071 MPW131069:MQH131071 MZS131069:NAD131071 NJO131069:NJZ131071 NTK131069:NTV131071 ODG131069:ODR131071 ONC131069:ONN131071 OWY131069:OXJ131071 PGU131069:PHF131071 PQQ131069:PRB131071 QAM131069:QAX131071 QKI131069:QKT131071 QUE131069:QUP131071 REA131069:REL131071 RNW131069:ROH131071 RXS131069:RYD131071 SHO131069:SHZ131071 SRK131069:SRV131071 TBG131069:TBR131071 TLC131069:TLN131071 TUY131069:TVJ131071 UEU131069:UFF131071 UOQ131069:UPB131071 UYM131069:UYX131071 VII131069:VIT131071 VSE131069:VSP131071 WCA131069:WCL131071 WLW131069:WMH131071 WVS131069:WWD131071 JG196605:JR196607 TC196605:TN196607 ACY196605:ADJ196607 AMU196605:ANF196607 AWQ196605:AXB196607 BGM196605:BGX196607 BQI196605:BQT196607 CAE196605:CAP196607 CKA196605:CKL196607 CTW196605:CUH196607 DDS196605:DED196607 DNO196605:DNZ196607 DXK196605:DXV196607 EHG196605:EHR196607 ERC196605:ERN196607 FAY196605:FBJ196607 FKU196605:FLF196607 FUQ196605:FVB196607 GEM196605:GEX196607 GOI196605:GOT196607 GYE196605:GYP196607 HIA196605:HIL196607 HRW196605:HSH196607 IBS196605:ICD196607 ILO196605:ILZ196607 IVK196605:IVV196607 JFG196605:JFR196607 JPC196605:JPN196607 JYY196605:JZJ196607 KIU196605:KJF196607 KSQ196605:KTB196607 LCM196605:LCX196607 LMI196605:LMT196607 LWE196605:LWP196607 MGA196605:MGL196607 MPW196605:MQH196607 MZS196605:NAD196607 NJO196605:NJZ196607 NTK196605:NTV196607 ODG196605:ODR196607 ONC196605:ONN196607 OWY196605:OXJ196607 PGU196605:PHF196607 PQQ196605:PRB196607 QAM196605:QAX196607 QKI196605:QKT196607 QUE196605:QUP196607 REA196605:REL196607 RNW196605:ROH196607 RXS196605:RYD196607 SHO196605:SHZ196607 SRK196605:SRV196607 TBG196605:TBR196607 TLC196605:TLN196607 TUY196605:TVJ196607 UEU196605:UFF196607 UOQ196605:UPB196607 UYM196605:UYX196607 VII196605:VIT196607 VSE196605:VSP196607 WCA196605:WCL196607 WLW196605:WMH196607 WVS196605:WWD196607 JG262141:JR262143 TC262141:TN262143 ACY262141:ADJ262143 AMU262141:ANF262143 AWQ262141:AXB262143 BGM262141:BGX262143 BQI262141:BQT262143 CAE262141:CAP262143 CKA262141:CKL262143 CTW262141:CUH262143 DDS262141:DED262143 DNO262141:DNZ262143 DXK262141:DXV262143 EHG262141:EHR262143 ERC262141:ERN262143 FAY262141:FBJ262143 FKU262141:FLF262143 FUQ262141:FVB262143 GEM262141:GEX262143 GOI262141:GOT262143 GYE262141:GYP262143 HIA262141:HIL262143 HRW262141:HSH262143 IBS262141:ICD262143 ILO262141:ILZ262143 IVK262141:IVV262143 JFG262141:JFR262143 JPC262141:JPN262143 JYY262141:JZJ262143 KIU262141:KJF262143 KSQ262141:KTB262143 LCM262141:LCX262143 LMI262141:LMT262143 LWE262141:LWP262143 MGA262141:MGL262143 MPW262141:MQH262143 MZS262141:NAD262143 NJO262141:NJZ262143 NTK262141:NTV262143 ODG262141:ODR262143 ONC262141:ONN262143 OWY262141:OXJ262143 PGU262141:PHF262143 PQQ262141:PRB262143 QAM262141:QAX262143 QKI262141:QKT262143 QUE262141:QUP262143 REA262141:REL262143 RNW262141:ROH262143 RXS262141:RYD262143 SHO262141:SHZ262143 SRK262141:SRV262143 TBG262141:TBR262143 TLC262141:TLN262143 TUY262141:TVJ262143 UEU262141:UFF262143 UOQ262141:UPB262143 UYM262141:UYX262143 VII262141:VIT262143 VSE262141:VSP262143 WCA262141:WCL262143 WLW262141:WMH262143 WVS262141:WWD262143 JG327677:JR327679 TC327677:TN327679 ACY327677:ADJ327679 AMU327677:ANF327679 AWQ327677:AXB327679 BGM327677:BGX327679 BQI327677:BQT327679 CAE327677:CAP327679 CKA327677:CKL327679 CTW327677:CUH327679 DDS327677:DED327679 DNO327677:DNZ327679 DXK327677:DXV327679 EHG327677:EHR327679 ERC327677:ERN327679 FAY327677:FBJ327679 FKU327677:FLF327679 FUQ327677:FVB327679 GEM327677:GEX327679 GOI327677:GOT327679 GYE327677:GYP327679 HIA327677:HIL327679 HRW327677:HSH327679 IBS327677:ICD327679 ILO327677:ILZ327679 IVK327677:IVV327679 JFG327677:JFR327679 JPC327677:JPN327679 JYY327677:JZJ327679 KIU327677:KJF327679 KSQ327677:KTB327679 LCM327677:LCX327679 LMI327677:LMT327679 LWE327677:LWP327679 MGA327677:MGL327679 MPW327677:MQH327679 MZS327677:NAD327679 NJO327677:NJZ327679 NTK327677:NTV327679 ODG327677:ODR327679 ONC327677:ONN327679 OWY327677:OXJ327679 PGU327677:PHF327679 PQQ327677:PRB327679 QAM327677:QAX327679 QKI327677:QKT327679 QUE327677:QUP327679 REA327677:REL327679 RNW327677:ROH327679 RXS327677:RYD327679 SHO327677:SHZ327679 SRK327677:SRV327679 TBG327677:TBR327679 TLC327677:TLN327679 TUY327677:TVJ327679 UEU327677:UFF327679 UOQ327677:UPB327679 UYM327677:UYX327679 VII327677:VIT327679 VSE327677:VSP327679 WCA327677:WCL327679 WLW327677:WMH327679 WVS327677:WWD327679 JG393213:JR393215 TC393213:TN393215 ACY393213:ADJ393215 AMU393213:ANF393215 AWQ393213:AXB393215 BGM393213:BGX393215 BQI393213:BQT393215 CAE393213:CAP393215 CKA393213:CKL393215 CTW393213:CUH393215 DDS393213:DED393215 DNO393213:DNZ393215 DXK393213:DXV393215 EHG393213:EHR393215 ERC393213:ERN393215 FAY393213:FBJ393215 FKU393213:FLF393215 FUQ393213:FVB393215 GEM393213:GEX393215 GOI393213:GOT393215 GYE393213:GYP393215 HIA393213:HIL393215 HRW393213:HSH393215 IBS393213:ICD393215 ILO393213:ILZ393215 IVK393213:IVV393215 JFG393213:JFR393215 JPC393213:JPN393215 JYY393213:JZJ393215 KIU393213:KJF393215 KSQ393213:KTB393215 LCM393213:LCX393215 LMI393213:LMT393215 LWE393213:LWP393215 MGA393213:MGL393215 MPW393213:MQH393215 MZS393213:NAD393215 NJO393213:NJZ393215 NTK393213:NTV393215 ODG393213:ODR393215 ONC393213:ONN393215 OWY393213:OXJ393215 PGU393213:PHF393215 PQQ393213:PRB393215 QAM393213:QAX393215 QKI393213:QKT393215 QUE393213:QUP393215 REA393213:REL393215 RNW393213:ROH393215 RXS393213:RYD393215 SHO393213:SHZ393215 SRK393213:SRV393215 TBG393213:TBR393215 TLC393213:TLN393215 TUY393213:TVJ393215 UEU393213:UFF393215 UOQ393213:UPB393215 UYM393213:UYX393215 VII393213:VIT393215 VSE393213:VSP393215 WCA393213:WCL393215 WLW393213:WMH393215 WVS393213:WWD393215 JG458749:JR458751 TC458749:TN458751 ACY458749:ADJ458751 AMU458749:ANF458751 AWQ458749:AXB458751 BGM458749:BGX458751 BQI458749:BQT458751 CAE458749:CAP458751 CKA458749:CKL458751 CTW458749:CUH458751 DDS458749:DED458751 DNO458749:DNZ458751 DXK458749:DXV458751 EHG458749:EHR458751 ERC458749:ERN458751 FAY458749:FBJ458751 FKU458749:FLF458751 FUQ458749:FVB458751 GEM458749:GEX458751 GOI458749:GOT458751 GYE458749:GYP458751 HIA458749:HIL458751 HRW458749:HSH458751 IBS458749:ICD458751 ILO458749:ILZ458751 IVK458749:IVV458751 JFG458749:JFR458751 JPC458749:JPN458751 JYY458749:JZJ458751 KIU458749:KJF458751 KSQ458749:KTB458751 LCM458749:LCX458751 LMI458749:LMT458751 LWE458749:LWP458751 MGA458749:MGL458751 MPW458749:MQH458751 MZS458749:NAD458751 NJO458749:NJZ458751 NTK458749:NTV458751 ODG458749:ODR458751 ONC458749:ONN458751 OWY458749:OXJ458751 PGU458749:PHF458751 PQQ458749:PRB458751 QAM458749:QAX458751 QKI458749:QKT458751 QUE458749:QUP458751 REA458749:REL458751 RNW458749:ROH458751 RXS458749:RYD458751 SHO458749:SHZ458751 SRK458749:SRV458751 TBG458749:TBR458751 TLC458749:TLN458751 TUY458749:TVJ458751 UEU458749:UFF458751 UOQ458749:UPB458751 UYM458749:UYX458751 VII458749:VIT458751 VSE458749:VSP458751 WCA458749:WCL458751 WLW458749:WMH458751 WVS458749:WWD458751 JG524285:JR524287 TC524285:TN524287 ACY524285:ADJ524287 AMU524285:ANF524287 AWQ524285:AXB524287 BGM524285:BGX524287 BQI524285:BQT524287 CAE524285:CAP524287 CKA524285:CKL524287 CTW524285:CUH524287 DDS524285:DED524287 DNO524285:DNZ524287 DXK524285:DXV524287 EHG524285:EHR524287 ERC524285:ERN524287 FAY524285:FBJ524287 FKU524285:FLF524287 FUQ524285:FVB524287 GEM524285:GEX524287 GOI524285:GOT524287 GYE524285:GYP524287 HIA524285:HIL524287 HRW524285:HSH524287 IBS524285:ICD524287 ILO524285:ILZ524287 IVK524285:IVV524287 JFG524285:JFR524287 JPC524285:JPN524287 JYY524285:JZJ524287 KIU524285:KJF524287 KSQ524285:KTB524287 LCM524285:LCX524287 LMI524285:LMT524287 LWE524285:LWP524287 MGA524285:MGL524287 MPW524285:MQH524287 MZS524285:NAD524287 NJO524285:NJZ524287 NTK524285:NTV524287 ODG524285:ODR524287 ONC524285:ONN524287 OWY524285:OXJ524287 PGU524285:PHF524287 PQQ524285:PRB524287 QAM524285:QAX524287 QKI524285:QKT524287 QUE524285:QUP524287 REA524285:REL524287 RNW524285:ROH524287 RXS524285:RYD524287 SHO524285:SHZ524287 SRK524285:SRV524287 TBG524285:TBR524287 TLC524285:TLN524287 TUY524285:TVJ524287 UEU524285:UFF524287 UOQ524285:UPB524287 UYM524285:UYX524287 VII524285:VIT524287 VSE524285:VSP524287 WCA524285:WCL524287 WLW524285:WMH524287 WVS524285:WWD524287 JG589821:JR589823 TC589821:TN589823 ACY589821:ADJ589823 AMU589821:ANF589823 AWQ589821:AXB589823 BGM589821:BGX589823 BQI589821:BQT589823 CAE589821:CAP589823 CKA589821:CKL589823 CTW589821:CUH589823 DDS589821:DED589823 DNO589821:DNZ589823 DXK589821:DXV589823 EHG589821:EHR589823 ERC589821:ERN589823 FAY589821:FBJ589823 FKU589821:FLF589823 FUQ589821:FVB589823 GEM589821:GEX589823 GOI589821:GOT589823 GYE589821:GYP589823 HIA589821:HIL589823 HRW589821:HSH589823 IBS589821:ICD589823 ILO589821:ILZ589823 IVK589821:IVV589823 JFG589821:JFR589823 JPC589821:JPN589823 JYY589821:JZJ589823 KIU589821:KJF589823 KSQ589821:KTB589823 LCM589821:LCX589823 LMI589821:LMT589823 LWE589821:LWP589823 MGA589821:MGL589823 MPW589821:MQH589823 MZS589821:NAD589823 NJO589821:NJZ589823 NTK589821:NTV589823 ODG589821:ODR589823 ONC589821:ONN589823 OWY589821:OXJ589823 PGU589821:PHF589823 PQQ589821:PRB589823 QAM589821:QAX589823 QKI589821:QKT589823 QUE589821:QUP589823 REA589821:REL589823 RNW589821:ROH589823 RXS589821:RYD589823 SHO589821:SHZ589823 SRK589821:SRV589823 TBG589821:TBR589823 TLC589821:TLN589823 TUY589821:TVJ589823 UEU589821:UFF589823 UOQ589821:UPB589823 UYM589821:UYX589823 VII589821:VIT589823 VSE589821:VSP589823 WCA589821:WCL589823 WLW589821:WMH589823 WVS589821:WWD589823 JG655357:JR655359 TC655357:TN655359 ACY655357:ADJ655359 AMU655357:ANF655359 AWQ655357:AXB655359 BGM655357:BGX655359 BQI655357:BQT655359 CAE655357:CAP655359 CKA655357:CKL655359 CTW655357:CUH655359 DDS655357:DED655359 DNO655357:DNZ655359 DXK655357:DXV655359 EHG655357:EHR655359 ERC655357:ERN655359 FAY655357:FBJ655359 FKU655357:FLF655359 FUQ655357:FVB655359 GEM655357:GEX655359 GOI655357:GOT655359 GYE655357:GYP655359 HIA655357:HIL655359 HRW655357:HSH655359 IBS655357:ICD655359 ILO655357:ILZ655359 IVK655357:IVV655359 JFG655357:JFR655359 JPC655357:JPN655359 JYY655357:JZJ655359 KIU655357:KJF655359 KSQ655357:KTB655359 LCM655357:LCX655359 LMI655357:LMT655359 LWE655357:LWP655359 MGA655357:MGL655359 MPW655357:MQH655359 MZS655357:NAD655359 NJO655357:NJZ655359 NTK655357:NTV655359 ODG655357:ODR655359 ONC655357:ONN655359 OWY655357:OXJ655359 PGU655357:PHF655359 PQQ655357:PRB655359 QAM655357:QAX655359 QKI655357:QKT655359 QUE655357:QUP655359 REA655357:REL655359 RNW655357:ROH655359 RXS655357:RYD655359 SHO655357:SHZ655359 SRK655357:SRV655359 TBG655357:TBR655359 TLC655357:TLN655359 TUY655357:TVJ655359 UEU655357:UFF655359 UOQ655357:UPB655359 UYM655357:UYX655359 VII655357:VIT655359 VSE655357:VSP655359 WCA655357:WCL655359 WLW655357:WMH655359 WVS655357:WWD655359 JG720893:JR720895 TC720893:TN720895 ACY720893:ADJ720895 AMU720893:ANF720895 AWQ720893:AXB720895 BGM720893:BGX720895 BQI720893:BQT720895 CAE720893:CAP720895 CKA720893:CKL720895 CTW720893:CUH720895 DDS720893:DED720895 DNO720893:DNZ720895 DXK720893:DXV720895 EHG720893:EHR720895 ERC720893:ERN720895 FAY720893:FBJ720895 FKU720893:FLF720895 FUQ720893:FVB720895 GEM720893:GEX720895 GOI720893:GOT720895 GYE720893:GYP720895 HIA720893:HIL720895 HRW720893:HSH720895 IBS720893:ICD720895 ILO720893:ILZ720895 IVK720893:IVV720895 JFG720893:JFR720895 JPC720893:JPN720895 JYY720893:JZJ720895 KIU720893:KJF720895 KSQ720893:KTB720895 LCM720893:LCX720895 LMI720893:LMT720895 LWE720893:LWP720895 MGA720893:MGL720895 MPW720893:MQH720895 MZS720893:NAD720895 NJO720893:NJZ720895 NTK720893:NTV720895 ODG720893:ODR720895 ONC720893:ONN720895 OWY720893:OXJ720895 PGU720893:PHF720895 PQQ720893:PRB720895 QAM720893:QAX720895 QKI720893:QKT720895 QUE720893:QUP720895 REA720893:REL720895 RNW720893:ROH720895 RXS720893:RYD720895 SHO720893:SHZ720895 SRK720893:SRV720895 TBG720893:TBR720895 TLC720893:TLN720895 TUY720893:TVJ720895 UEU720893:UFF720895 UOQ720893:UPB720895 UYM720893:UYX720895 VII720893:VIT720895 VSE720893:VSP720895 WCA720893:WCL720895 WLW720893:WMH720895 WVS720893:WWD720895 JG786429:JR786431 TC786429:TN786431 ACY786429:ADJ786431 AMU786429:ANF786431 AWQ786429:AXB786431 BGM786429:BGX786431 BQI786429:BQT786431 CAE786429:CAP786431 CKA786429:CKL786431 CTW786429:CUH786431 DDS786429:DED786431 DNO786429:DNZ786431 DXK786429:DXV786431 EHG786429:EHR786431 ERC786429:ERN786431 FAY786429:FBJ786431 FKU786429:FLF786431 FUQ786429:FVB786431 GEM786429:GEX786431 GOI786429:GOT786431 GYE786429:GYP786431 HIA786429:HIL786431 HRW786429:HSH786431 IBS786429:ICD786431 ILO786429:ILZ786431 IVK786429:IVV786431 JFG786429:JFR786431 JPC786429:JPN786431 JYY786429:JZJ786431 KIU786429:KJF786431 KSQ786429:KTB786431 LCM786429:LCX786431 LMI786429:LMT786431 LWE786429:LWP786431 MGA786429:MGL786431 MPW786429:MQH786431 MZS786429:NAD786431 NJO786429:NJZ786431 NTK786429:NTV786431 ODG786429:ODR786431 ONC786429:ONN786431 OWY786429:OXJ786431 PGU786429:PHF786431 PQQ786429:PRB786431 QAM786429:QAX786431 QKI786429:QKT786431 QUE786429:QUP786431 REA786429:REL786431 RNW786429:ROH786431 RXS786429:RYD786431 SHO786429:SHZ786431 SRK786429:SRV786431 TBG786429:TBR786431 TLC786429:TLN786431 TUY786429:TVJ786431 UEU786429:UFF786431 UOQ786429:UPB786431 UYM786429:UYX786431 VII786429:VIT786431 VSE786429:VSP786431 WCA786429:WCL786431 WLW786429:WMH786431 WVS786429:WWD786431 JG851965:JR851967 TC851965:TN851967 ACY851965:ADJ851967 AMU851965:ANF851967 AWQ851965:AXB851967 BGM851965:BGX851967 BQI851965:BQT851967 CAE851965:CAP851967 CKA851965:CKL851967 CTW851965:CUH851967 DDS851965:DED851967 DNO851965:DNZ851967 DXK851965:DXV851967 EHG851965:EHR851967 ERC851965:ERN851967 FAY851965:FBJ851967 FKU851965:FLF851967 FUQ851965:FVB851967 GEM851965:GEX851967 GOI851965:GOT851967 GYE851965:GYP851967 HIA851965:HIL851967 HRW851965:HSH851967 IBS851965:ICD851967 ILO851965:ILZ851967 IVK851965:IVV851967 JFG851965:JFR851967 JPC851965:JPN851967 JYY851965:JZJ851967 KIU851965:KJF851967 KSQ851965:KTB851967 LCM851965:LCX851967 LMI851965:LMT851967 LWE851965:LWP851967 MGA851965:MGL851967 MPW851965:MQH851967 MZS851965:NAD851967 NJO851965:NJZ851967 NTK851965:NTV851967 ODG851965:ODR851967 ONC851965:ONN851967 OWY851965:OXJ851967 PGU851965:PHF851967 PQQ851965:PRB851967 QAM851965:QAX851967 QKI851965:QKT851967 QUE851965:QUP851967 REA851965:REL851967 RNW851965:ROH851967 RXS851965:RYD851967 SHO851965:SHZ851967 SRK851965:SRV851967 TBG851965:TBR851967 TLC851965:TLN851967 TUY851965:TVJ851967 UEU851965:UFF851967 UOQ851965:UPB851967 UYM851965:UYX851967 VII851965:VIT851967 VSE851965:VSP851967 WCA851965:WCL851967 WLW851965:WMH851967 WVS851965:WWD851967 JG917501:JR917503 TC917501:TN917503 ACY917501:ADJ917503 AMU917501:ANF917503 AWQ917501:AXB917503 BGM917501:BGX917503 BQI917501:BQT917503 CAE917501:CAP917503 CKA917501:CKL917503 CTW917501:CUH917503 DDS917501:DED917503 DNO917501:DNZ917503 DXK917501:DXV917503 EHG917501:EHR917503 ERC917501:ERN917503 FAY917501:FBJ917503 FKU917501:FLF917503 FUQ917501:FVB917503 GEM917501:GEX917503 GOI917501:GOT917503 GYE917501:GYP917503 HIA917501:HIL917503 HRW917501:HSH917503 IBS917501:ICD917503 ILO917501:ILZ917503 IVK917501:IVV917503 JFG917501:JFR917503 JPC917501:JPN917503 JYY917501:JZJ917503 KIU917501:KJF917503 KSQ917501:KTB917503 LCM917501:LCX917503 LMI917501:LMT917503 LWE917501:LWP917503 MGA917501:MGL917503 MPW917501:MQH917503 MZS917501:NAD917503 NJO917501:NJZ917503 NTK917501:NTV917503 ODG917501:ODR917503 ONC917501:ONN917503 OWY917501:OXJ917503 PGU917501:PHF917503 PQQ917501:PRB917503 QAM917501:QAX917503 QKI917501:QKT917503 QUE917501:QUP917503 REA917501:REL917503 RNW917501:ROH917503 RXS917501:RYD917503 SHO917501:SHZ917503 SRK917501:SRV917503 TBG917501:TBR917503 TLC917501:TLN917503 TUY917501:TVJ917503 UEU917501:UFF917503 UOQ917501:UPB917503 UYM917501:UYX917503 VII917501:VIT917503 VSE917501:VSP917503 WCA917501:WCL917503 WLW917501:WMH917503 WVS917501:WWD917503 JG983037:JR983039 TC983037:TN983039 ACY983037:ADJ983039 AMU983037:ANF983039 AWQ983037:AXB983039 BGM983037:BGX983039 BQI983037:BQT983039 CAE983037:CAP983039 CKA983037:CKL983039 CTW983037:CUH983039 DDS983037:DED983039 DNO983037:DNZ983039 DXK983037:DXV983039 EHG983037:EHR983039 ERC983037:ERN983039 FAY983037:FBJ983039 FKU983037:FLF983039 FUQ983037:FVB983039 GEM983037:GEX983039 GOI983037:GOT983039 GYE983037:GYP983039 HIA983037:HIL983039 HRW983037:HSH983039 IBS983037:ICD983039 ILO983037:ILZ983039 IVK983037:IVV983039 JFG983037:JFR983039 JPC983037:JPN983039 JYY983037:JZJ983039 KIU983037:KJF983039 KSQ983037:KTB983039 LCM983037:LCX983039 LMI983037:LMT983039 LWE983037:LWP983039 MGA983037:MGL983039 MPW983037:MQH983039 MZS983037:NAD983039 NJO983037:NJZ983039 NTK983037:NTV983039 ODG983037:ODR983039 ONC983037:ONN983039 OWY983037:OXJ983039 PGU983037:PHF983039 PQQ983037:PRB983039 QAM983037:QAX983039 QKI983037:QKT983039 QUE983037:QUP983039 REA983037:REL983039 RNW983037:ROH983039 RXS983037:RYD983039 SHO983037:SHZ983039 SRK983037:SRV983039 TBG983037:TBR983039 TLC983037:TLN983039 TUY983037:TVJ983039 UEU983037:UFF983039 UOQ983037:UPB983039 UYM983037:UYX983039 VII983037:VIT983039 VSE983037:VSP983039 WCA983037:WCL983039 WLW983037:WMH983039 WVS983037:WWD983039 WVS983042:WWD983044 JG65538:JR65540 TC65538:TN65540 ACY65538:ADJ65540 AMU65538:ANF65540 AWQ65538:AXB65540 BGM65538:BGX65540 BQI65538:BQT65540 CAE65538:CAP65540 CKA65538:CKL65540 CTW65538:CUH65540 DDS65538:DED65540 DNO65538:DNZ65540 DXK65538:DXV65540 EHG65538:EHR65540 ERC65538:ERN65540 FAY65538:FBJ65540 FKU65538:FLF65540 FUQ65538:FVB65540 GEM65538:GEX65540 GOI65538:GOT65540 GYE65538:GYP65540 HIA65538:HIL65540 HRW65538:HSH65540 IBS65538:ICD65540 ILO65538:ILZ65540 IVK65538:IVV65540 JFG65538:JFR65540 JPC65538:JPN65540 JYY65538:JZJ65540 KIU65538:KJF65540 KSQ65538:KTB65540 LCM65538:LCX65540 LMI65538:LMT65540 LWE65538:LWP65540 MGA65538:MGL65540 MPW65538:MQH65540 MZS65538:NAD65540 NJO65538:NJZ65540 NTK65538:NTV65540 ODG65538:ODR65540 ONC65538:ONN65540 OWY65538:OXJ65540 PGU65538:PHF65540 PQQ65538:PRB65540 QAM65538:QAX65540 QKI65538:QKT65540 QUE65538:QUP65540 REA65538:REL65540 RNW65538:ROH65540 RXS65538:RYD65540 SHO65538:SHZ65540 SRK65538:SRV65540 TBG65538:TBR65540 TLC65538:TLN65540 TUY65538:TVJ65540 UEU65538:UFF65540 UOQ65538:UPB65540 UYM65538:UYX65540 VII65538:VIT65540 VSE65538:VSP65540 WCA65538:WCL65540 WLW65538:WMH65540 WVS65538:WWD65540 JG131074:JR131076 TC131074:TN131076 ACY131074:ADJ131076 AMU131074:ANF131076 AWQ131074:AXB131076 BGM131074:BGX131076 BQI131074:BQT131076 CAE131074:CAP131076 CKA131074:CKL131076 CTW131074:CUH131076 DDS131074:DED131076 DNO131074:DNZ131076 DXK131074:DXV131076 EHG131074:EHR131076 ERC131074:ERN131076 FAY131074:FBJ131076 FKU131074:FLF131076 FUQ131074:FVB131076 GEM131074:GEX131076 GOI131074:GOT131076 GYE131074:GYP131076 HIA131074:HIL131076 HRW131074:HSH131076 IBS131074:ICD131076 ILO131074:ILZ131076 IVK131074:IVV131076 JFG131074:JFR131076 JPC131074:JPN131076 JYY131074:JZJ131076 KIU131074:KJF131076 KSQ131074:KTB131076 LCM131074:LCX131076 LMI131074:LMT131076 LWE131074:LWP131076 MGA131074:MGL131076 MPW131074:MQH131076 MZS131074:NAD131076 NJO131074:NJZ131076 NTK131074:NTV131076 ODG131074:ODR131076 ONC131074:ONN131076 OWY131074:OXJ131076 PGU131074:PHF131076 PQQ131074:PRB131076 QAM131074:QAX131076 QKI131074:QKT131076 QUE131074:QUP131076 REA131074:REL131076 RNW131074:ROH131076 RXS131074:RYD131076 SHO131074:SHZ131076 SRK131074:SRV131076 TBG131074:TBR131076 TLC131074:TLN131076 TUY131074:TVJ131076 UEU131074:UFF131076 UOQ131074:UPB131076 UYM131074:UYX131076 VII131074:VIT131076 VSE131074:VSP131076 WCA131074:WCL131076 WLW131074:WMH131076 WVS131074:WWD131076 JG196610:JR196612 TC196610:TN196612 ACY196610:ADJ196612 AMU196610:ANF196612 AWQ196610:AXB196612 BGM196610:BGX196612 BQI196610:BQT196612 CAE196610:CAP196612 CKA196610:CKL196612 CTW196610:CUH196612 DDS196610:DED196612 DNO196610:DNZ196612 DXK196610:DXV196612 EHG196610:EHR196612 ERC196610:ERN196612 FAY196610:FBJ196612 FKU196610:FLF196612 FUQ196610:FVB196612 GEM196610:GEX196612 GOI196610:GOT196612 GYE196610:GYP196612 HIA196610:HIL196612 HRW196610:HSH196612 IBS196610:ICD196612 ILO196610:ILZ196612 IVK196610:IVV196612 JFG196610:JFR196612 JPC196610:JPN196612 JYY196610:JZJ196612 KIU196610:KJF196612 KSQ196610:KTB196612 LCM196610:LCX196612 LMI196610:LMT196612 LWE196610:LWP196612 MGA196610:MGL196612 MPW196610:MQH196612 MZS196610:NAD196612 NJO196610:NJZ196612 NTK196610:NTV196612 ODG196610:ODR196612 ONC196610:ONN196612 OWY196610:OXJ196612 PGU196610:PHF196612 PQQ196610:PRB196612 QAM196610:QAX196612 QKI196610:QKT196612 QUE196610:QUP196612 REA196610:REL196612 RNW196610:ROH196612 RXS196610:RYD196612 SHO196610:SHZ196612 SRK196610:SRV196612 TBG196610:TBR196612 TLC196610:TLN196612 TUY196610:TVJ196612 UEU196610:UFF196612 UOQ196610:UPB196612 UYM196610:UYX196612 VII196610:VIT196612 VSE196610:VSP196612 WCA196610:WCL196612 WLW196610:WMH196612 WVS196610:WWD196612 JG262146:JR262148 TC262146:TN262148 ACY262146:ADJ262148 AMU262146:ANF262148 AWQ262146:AXB262148 BGM262146:BGX262148 BQI262146:BQT262148 CAE262146:CAP262148 CKA262146:CKL262148 CTW262146:CUH262148 DDS262146:DED262148 DNO262146:DNZ262148 DXK262146:DXV262148 EHG262146:EHR262148 ERC262146:ERN262148 FAY262146:FBJ262148 FKU262146:FLF262148 FUQ262146:FVB262148 GEM262146:GEX262148 GOI262146:GOT262148 GYE262146:GYP262148 HIA262146:HIL262148 HRW262146:HSH262148 IBS262146:ICD262148 ILO262146:ILZ262148 IVK262146:IVV262148 JFG262146:JFR262148 JPC262146:JPN262148 JYY262146:JZJ262148 KIU262146:KJF262148 KSQ262146:KTB262148 LCM262146:LCX262148 LMI262146:LMT262148 LWE262146:LWP262148 MGA262146:MGL262148 MPW262146:MQH262148 MZS262146:NAD262148 NJO262146:NJZ262148 NTK262146:NTV262148 ODG262146:ODR262148 ONC262146:ONN262148 OWY262146:OXJ262148 PGU262146:PHF262148 PQQ262146:PRB262148 QAM262146:QAX262148 QKI262146:QKT262148 QUE262146:QUP262148 REA262146:REL262148 RNW262146:ROH262148 RXS262146:RYD262148 SHO262146:SHZ262148 SRK262146:SRV262148 TBG262146:TBR262148 TLC262146:TLN262148 TUY262146:TVJ262148 UEU262146:UFF262148 UOQ262146:UPB262148 UYM262146:UYX262148 VII262146:VIT262148 VSE262146:VSP262148 WCA262146:WCL262148 WLW262146:WMH262148 WVS262146:WWD262148 JG327682:JR327684 TC327682:TN327684 ACY327682:ADJ327684 AMU327682:ANF327684 AWQ327682:AXB327684 BGM327682:BGX327684 BQI327682:BQT327684 CAE327682:CAP327684 CKA327682:CKL327684 CTW327682:CUH327684 DDS327682:DED327684 DNO327682:DNZ327684 DXK327682:DXV327684 EHG327682:EHR327684 ERC327682:ERN327684 FAY327682:FBJ327684 FKU327682:FLF327684 FUQ327682:FVB327684 GEM327682:GEX327684 GOI327682:GOT327684 GYE327682:GYP327684 HIA327682:HIL327684 HRW327682:HSH327684 IBS327682:ICD327684 ILO327682:ILZ327684 IVK327682:IVV327684 JFG327682:JFR327684 JPC327682:JPN327684 JYY327682:JZJ327684 KIU327682:KJF327684 KSQ327682:KTB327684 LCM327682:LCX327684 LMI327682:LMT327684 LWE327682:LWP327684 MGA327682:MGL327684 MPW327682:MQH327684 MZS327682:NAD327684 NJO327682:NJZ327684 NTK327682:NTV327684 ODG327682:ODR327684 ONC327682:ONN327684 OWY327682:OXJ327684 PGU327682:PHF327684 PQQ327682:PRB327684 QAM327682:QAX327684 QKI327682:QKT327684 QUE327682:QUP327684 REA327682:REL327684 RNW327682:ROH327684 RXS327682:RYD327684 SHO327682:SHZ327684 SRK327682:SRV327684 TBG327682:TBR327684 TLC327682:TLN327684 TUY327682:TVJ327684 UEU327682:UFF327684 UOQ327682:UPB327684 UYM327682:UYX327684 VII327682:VIT327684 VSE327682:VSP327684 WCA327682:WCL327684 WLW327682:WMH327684 WVS327682:WWD327684 JG393218:JR393220 TC393218:TN393220 ACY393218:ADJ393220 AMU393218:ANF393220 AWQ393218:AXB393220 BGM393218:BGX393220 BQI393218:BQT393220 CAE393218:CAP393220 CKA393218:CKL393220 CTW393218:CUH393220 DDS393218:DED393220 DNO393218:DNZ393220 DXK393218:DXV393220 EHG393218:EHR393220 ERC393218:ERN393220 FAY393218:FBJ393220 FKU393218:FLF393220 FUQ393218:FVB393220 GEM393218:GEX393220 GOI393218:GOT393220 GYE393218:GYP393220 HIA393218:HIL393220 HRW393218:HSH393220 IBS393218:ICD393220 ILO393218:ILZ393220 IVK393218:IVV393220 JFG393218:JFR393220 JPC393218:JPN393220 JYY393218:JZJ393220 KIU393218:KJF393220 KSQ393218:KTB393220 LCM393218:LCX393220 LMI393218:LMT393220 LWE393218:LWP393220 MGA393218:MGL393220 MPW393218:MQH393220 MZS393218:NAD393220 NJO393218:NJZ393220 NTK393218:NTV393220 ODG393218:ODR393220 ONC393218:ONN393220 OWY393218:OXJ393220 PGU393218:PHF393220 PQQ393218:PRB393220 QAM393218:QAX393220 QKI393218:QKT393220 QUE393218:QUP393220 REA393218:REL393220 RNW393218:ROH393220 RXS393218:RYD393220 SHO393218:SHZ393220 SRK393218:SRV393220 TBG393218:TBR393220 TLC393218:TLN393220 TUY393218:TVJ393220 UEU393218:UFF393220 UOQ393218:UPB393220 UYM393218:UYX393220 VII393218:VIT393220 VSE393218:VSP393220 WCA393218:WCL393220 WLW393218:WMH393220 WVS393218:WWD393220 JG458754:JR458756 TC458754:TN458756 ACY458754:ADJ458756 AMU458754:ANF458756 AWQ458754:AXB458756 BGM458754:BGX458756 BQI458754:BQT458756 CAE458754:CAP458756 CKA458754:CKL458756 CTW458754:CUH458756 DDS458754:DED458756 DNO458754:DNZ458756 DXK458754:DXV458756 EHG458754:EHR458756 ERC458754:ERN458756 FAY458754:FBJ458756 FKU458754:FLF458756 FUQ458754:FVB458756 GEM458754:GEX458756 GOI458754:GOT458756 GYE458754:GYP458756 HIA458754:HIL458756 HRW458754:HSH458756 IBS458754:ICD458756 ILO458754:ILZ458756 IVK458754:IVV458756 JFG458754:JFR458756 JPC458754:JPN458756 JYY458754:JZJ458756 KIU458754:KJF458756 KSQ458754:KTB458756 LCM458754:LCX458756 LMI458754:LMT458756 LWE458754:LWP458756 MGA458754:MGL458756 MPW458754:MQH458756 MZS458754:NAD458756 NJO458754:NJZ458756 NTK458754:NTV458756 ODG458754:ODR458756 ONC458754:ONN458756 OWY458754:OXJ458756 PGU458754:PHF458756 PQQ458754:PRB458756 QAM458754:QAX458756 QKI458754:QKT458756 QUE458754:QUP458756 REA458754:REL458756 RNW458754:ROH458756 RXS458754:RYD458756 SHO458754:SHZ458756 SRK458754:SRV458756 TBG458754:TBR458756 TLC458754:TLN458756 TUY458754:TVJ458756 UEU458754:UFF458756 UOQ458754:UPB458756 UYM458754:UYX458756 VII458754:VIT458756 VSE458754:VSP458756 WCA458754:WCL458756 WLW458754:WMH458756 WVS458754:WWD458756 JG524290:JR524292 TC524290:TN524292 ACY524290:ADJ524292 AMU524290:ANF524292 AWQ524290:AXB524292 BGM524290:BGX524292 BQI524290:BQT524292 CAE524290:CAP524292 CKA524290:CKL524292 CTW524290:CUH524292 DDS524290:DED524292 DNO524290:DNZ524292 DXK524290:DXV524292 EHG524290:EHR524292 ERC524290:ERN524292 FAY524290:FBJ524292 FKU524290:FLF524292 FUQ524290:FVB524292 GEM524290:GEX524292 GOI524290:GOT524292 GYE524290:GYP524292 HIA524290:HIL524292 HRW524290:HSH524292 IBS524290:ICD524292 ILO524290:ILZ524292 IVK524290:IVV524292 JFG524290:JFR524292 JPC524290:JPN524292 JYY524290:JZJ524292 KIU524290:KJF524292 KSQ524290:KTB524292 LCM524290:LCX524292 LMI524290:LMT524292 LWE524290:LWP524292 MGA524290:MGL524292 MPW524290:MQH524292 MZS524290:NAD524292 NJO524290:NJZ524292 NTK524290:NTV524292 ODG524290:ODR524292 ONC524290:ONN524292 OWY524290:OXJ524292 PGU524290:PHF524292 PQQ524290:PRB524292 QAM524290:QAX524292 QKI524290:QKT524292 QUE524290:QUP524292 REA524290:REL524292 RNW524290:ROH524292 RXS524290:RYD524292 SHO524290:SHZ524292 SRK524290:SRV524292 TBG524290:TBR524292 TLC524290:TLN524292 TUY524290:TVJ524292 UEU524290:UFF524292 UOQ524290:UPB524292 UYM524290:UYX524292 VII524290:VIT524292 VSE524290:VSP524292 WCA524290:WCL524292 WLW524290:WMH524292 WVS524290:WWD524292 JG589826:JR589828 TC589826:TN589828 ACY589826:ADJ589828 AMU589826:ANF589828 AWQ589826:AXB589828 BGM589826:BGX589828 BQI589826:BQT589828 CAE589826:CAP589828 CKA589826:CKL589828 CTW589826:CUH589828 DDS589826:DED589828 DNO589826:DNZ589828 DXK589826:DXV589828 EHG589826:EHR589828 ERC589826:ERN589828 FAY589826:FBJ589828 FKU589826:FLF589828 FUQ589826:FVB589828 GEM589826:GEX589828 GOI589826:GOT589828 GYE589826:GYP589828 HIA589826:HIL589828 HRW589826:HSH589828 IBS589826:ICD589828 ILO589826:ILZ589828 IVK589826:IVV589828 JFG589826:JFR589828 JPC589826:JPN589828 JYY589826:JZJ589828 KIU589826:KJF589828 KSQ589826:KTB589828 LCM589826:LCX589828 LMI589826:LMT589828 LWE589826:LWP589828 MGA589826:MGL589828 MPW589826:MQH589828 MZS589826:NAD589828 NJO589826:NJZ589828 NTK589826:NTV589828 ODG589826:ODR589828 ONC589826:ONN589828 OWY589826:OXJ589828 PGU589826:PHF589828 PQQ589826:PRB589828 QAM589826:QAX589828 QKI589826:QKT589828 QUE589826:QUP589828 REA589826:REL589828 RNW589826:ROH589828 RXS589826:RYD589828 SHO589826:SHZ589828 SRK589826:SRV589828 TBG589826:TBR589828 TLC589826:TLN589828 TUY589826:TVJ589828 UEU589826:UFF589828 UOQ589826:UPB589828 UYM589826:UYX589828 VII589826:VIT589828 VSE589826:VSP589828 WCA589826:WCL589828 WLW589826:WMH589828 WVS589826:WWD589828 JG655362:JR655364 TC655362:TN655364 ACY655362:ADJ655364 AMU655362:ANF655364 AWQ655362:AXB655364 BGM655362:BGX655364 BQI655362:BQT655364 CAE655362:CAP655364 CKA655362:CKL655364 CTW655362:CUH655364 DDS655362:DED655364 DNO655362:DNZ655364 DXK655362:DXV655364 EHG655362:EHR655364 ERC655362:ERN655364 FAY655362:FBJ655364 FKU655362:FLF655364 FUQ655362:FVB655364 GEM655362:GEX655364 GOI655362:GOT655364 GYE655362:GYP655364 HIA655362:HIL655364 HRW655362:HSH655364 IBS655362:ICD655364 ILO655362:ILZ655364 IVK655362:IVV655364 JFG655362:JFR655364 JPC655362:JPN655364 JYY655362:JZJ655364 KIU655362:KJF655364 KSQ655362:KTB655364 LCM655362:LCX655364 LMI655362:LMT655364 LWE655362:LWP655364 MGA655362:MGL655364 MPW655362:MQH655364 MZS655362:NAD655364 NJO655362:NJZ655364 NTK655362:NTV655364 ODG655362:ODR655364 ONC655362:ONN655364 OWY655362:OXJ655364 PGU655362:PHF655364 PQQ655362:PRB655364 QAM655362:QAX655364 QKI655362:QKT655364 QUE655362:QUP655364 REA655362:REL655364 RNW655362:ROH655364 RXS655362:RYD655364 SHO655362:SHZ655364 SRK655362:SRV655364 TBG655362:TBR655364 TLC655362:TLN655364 TUY655362:TVJ655364 UEU655362:UFF655364 UOQ655362:UPB655364 UYM655362:UYX655364 VII655362:VIT655364 VSE655362:VSP655364 WCA655362:WCL655364 WLW655362:WMH655364 WVS655362:WWD655364 JG720898:JR720900 TC720898:TN720900 ACY720898:ADJ720900 AMU720898:ANF720900 AWQ720898:AXB720900 BGM720898:BGX720900 BQI720898:BQT720900 CAE720898:CAP720900 CKA720898:CKL720900 CTW720898:CUH720900 DDS720898:DED720900 DNO720898:DNZ720900 DXK720898:DXV720900 EHG720898:EHR720900 ERC720898:ERN720900 FAY720898:FBJ720900 FKU720898:FLF720900 FUQ720898:FVB720900 GEM720898:GEX720900 GOI720898:GOT720900 GYE720898:GYP720900 HIA720898:HIL720900 HRW720898:HSH720900 IBS720898:ICD720900 ILO720898:ILZ720900 IVK720898:IVV720900 JFG720898:JFR720900 JPC720898:JPN720900 JYY720898:JZJ720900 KIU720898:KJF720900 KSQ720898:KTB720900 LCM720898:LCX720900 LMI720898:LMT720900 LWE720898:LWP720900 MGA720898:MGL720900 MPW720898:MQH720900 MZS720898:NAD720900 NJO720898:NJZ720900 NTK720898:NTV720900 ODG720898:ODR720900 ONC720898:ONN720900 OWY720898:OXJ720900 PGU720898:PHF720900 PQQ720898:PRB720900 QAM720898:QAX720900 QKI720898:QKT720900 QUE720898:QUP720900 REA720898:REL720900 RNW720898:ROH720900 RXS720898:RYD720900 SHO720898:SHZ720900 SRK720898:SRV720900 TBG720898:TBR720900 TLC720898:TLN720900 TUY720898:TVJ720900 UEU720898:UFF720900 UOQ720898:UPB720900 UYM720898:UYX720900 VII720898:VIT720900 VSE720898:VSP720900 WCA720898:WCL720900 WLW720898:WMH720900 WVS720898:WWD720900 JG786434:JR786436 TC786434:TN786436 ACY786434:ADJ786436 AMU786434:ANF786436 AWQ786434:AXB786436 BGM786434:BGX786436 BQI786434:BQT786436 CAE786434:CAP786436 CKA786434:CKL786436 CTW786434:CUH786436 DDS786434:DED786436 DNO786434:DNZ786436 DXK786434:DXV786436 EHG786434:EHR786436 ERC786434:ERN786436 FAY786434:FBJ786436 FKU786434:FLF786436 FUQ786434:FVB786436 GEM786434:GEX786436 GOI786434:GOT786436 GYE786434:GYP786436 HIA786434:HIL786436 HRW786434:HSH786436 IBS786434:ICD786436 ILO786434:ILZ786436 IVK786434:IVV786436 JFG786434:JFR786436 JPC786434:JPN786436 JYY786434:JZJ786436 KIU786434:KJF786436 KSQ786434:KTB786436 LCM786434:LCX786436 LMI786434:LMT786436 LWE786434:LWP786436 MGA786434:MGL786436 MPW786434:MQH786436 MZS786434:NAD786436 NJO786434:NJZ786436 NTK786434:NTV786436 ODG786434:ODR786436 ONC786434:ONN786436 OWY786434:OXJ786436 PGU786434:PHF786436 PQQ786434:PRB786436 QAM786434:QAX786436 QKI786434:QKT786436 QUE786434:QUP786436 REA786434:REL786436 RNW786434:ROH786436 RXS786434:RYD786436 SHO786434:SHZ786436 SRK786434:SRV786436 TBG786434:TBR786436 TLC786434:TLN786436 TUY786434:TVJ786436 UEU786434:UFF786436 UOQ786434:UPB786436 UYM786434:UYX786436 VII786434:VIT786436 VSE786434:VSP786436 WCA786434:WCL786436 WLW786434:WMH786436 WVS786434:WWD786436 JG851970:JR851972 TC851970:TN851972 ACY851970:ADJ851972 AMU851970:ANF851972 AWQ851970:AXB851972 BGM851970:BGX851972 BQI851970:BQT851972 CAE851970:CAP851972 CKA851970:CKL851972 CTW851970:CUH851972 DDS851970:DED851972 DNO851970:DNZ851972 DXK851970:DXV851972 EHG851970:EHR851972 ERC851970:ERN851972 FAY851970:FBJ851972 FKU851970:FLF851972 FUQ851970:FVB851972 GEM851970:GEX851972 GOI851970:GOT851972 GYE851970:GYP851972 HIA851970:HIL851972 HRW851970:HSH851972 IBS851970:ICD851972 ILO851970:ILZ851972 IVK851970:IVV851972 JFG851970:JFR851972 JPC851970:JPN851972 JYY851970:JZJ851972 KIU851970:KJF851972 KSQ851970:KTB851972 LCM851970:LCX851972 LMI851970:LMT851972 LWE851970:LWP851972 MGA851970:MGL851972 MPW851970:MQH851972 MZS851970:NAD851972 NJO851970:NJZ851972 NTK851970:NTV851972 ODG851970:ODR851972 ONC851970:ONN851972 OWY851970:OXJ851972 PGU851970:PHF851972 PQQ851970:PRB851972 QAM851970:QAX851972 QKI851970:QKT851972 QUE851970:QUP851972 REA851970:REL851972 RNW851970:ROH851972 RXS851970:RYD851972 SHO851970:SHZ851972 SRK851970:SRV851972 TBG851970:TBR851972 TLC851970:TLN851972 TUY851970:TVJ851972 UEU851970:UFF851972 UOQ851970:UPB851972 UYM851970:UYX851972 VII851970:VIT851972 VSE851970:VSP851972 WCA851970:WCL851972 WLW851970:WMH851972 WVS851970:WWD851972 JG917506:JR917508 TC917506:TN917508 ACY917506:ADJ917508 AMU917506:ANF917508 AWQ917506:AXB917508 BGM917506:BGX917508 BQI917506:BQT917508 CAE917506:CAP917508 CKA917506:CKL917508 CTW917506:CUH917508 DDS917506:DED917508 DNO917506:DNZ917508 DXK917506:DXV917508 EHG917506:EHR917508 ERC917506:ERN917508 FAY917506:FBJ917508 FKU917506:FLF917508 FUQ917506:FVB917508 GEM917506:GEX917508 GOI917506:GOT917508 GYE917506:GYP917508 HIA917506:HIL917508 HRW917506:HSH917508 IBS917506:ICD917508 ILO917506:ILZ917508 IVK917506:IVV917508 JFG917506:JFR917508 JPC917506:JPN917508 JYY917506:JZJ917508 KIU917506:KJF917508 KSQ917506:KTB917508 LCM917506:LCX917508 LMI917506:LMT917508 LWE917506:LWP917508 MGA917506:MGL917508 MPW917506:MQH917508 MZS917506:NAD917508 NJO917506:NJZ917508 NTK917506:NTV917508 ODG917506:ODR917508 ONC917506:ONN917508 OWY917506:OXJ917508 PGU917506:PHF917508 PQQ917506:PRB917508 QAM917506:QAX917508 QKI917506:QKT917508 QUE917506:QUP917508 REA917506:REL917508 RNW917506:ROH917508 RXS917506:RYD917508 SHO917506:SHZ917508 SRK917506:SRV917508 TBG917506:TBR917508 TLC917506:TLN917508 TUY917506:TVJ917508 UEU917506:UFF917508 UOQ917506:UPB917508 UYM917506:UYX917508 VII917506:VIT917508 VSE917506:VSP917508 WCA917506:WCL917508 WLW917506:WMH917508 WVS917506:WWD917508 JG983042:JR983044 TC983042:TN983044 ACY983042:ADJ983044 AMU983042:ANF983044 AWQ983042:AXB983044 BGM983042:BGX983044 BQI983042:BQT983044 CAE983042:CAP983044 CKA983042:CKL983044 CTW983042:CUH983044 DDS983042:DED983044 DNO983042:DNZ983044 DXK983042:DXV983044 EHG983042:EHR983044 ERC983042:ERN983044 FAY983042:FBJ983044 FKU983042:FLF983044 FUQ983042:FVB983044 GEM983042:GEX983044 GOI983042:GOT983044 GYE983042:GYP983044 HIA983042:HIL983044 HRW983042:HSH983044 IBS983042:ICD983044 ILO983042:ILZ983044 IVK983042:IVV983044 JFG983042:JFR983044 JPC983042:JPN983044 JYY983042:JZJ983044 KIU983042:KJF983044 KSQ983042:KTB983044 LCM983042:LCX983044 LMI983042:LMT983044 LWE983042:LWP983044 MGA983042:MGL983044 MPW983042:MQH983044 MZS983042:NAD983044 NJO983042:NJZ983044 NTK983042:NTV983044 ODG983042:ODR983044 ONC983042:ONN983044 OWY983042:OXJ983044 PGU983042:PHF983044 PQQ983042:PRB983044 QAM983042:QAX983044 QKI983042:QKT983044 QUE983042:QUP983044 REA983042:REL983044 RNW983042:ROH983044 RXS983042:RYD983044 SHO983042:SHZ983044 SRK983042:SRV983044 TBG983042:TBR983044 TLC983042:TLN983044 TUY983042:TVJ983044 UEU983042:UFF983044 UOQ983042:UPB983044 UYM983042:UYX983044 VII983042:VIT983044 VSE983042:VSP983044 WCA983042:WCL983044 WLW983042:WMH983044 Z262141:AJ262143 Z196605:AJ196607 Z131069:AJ131071 Z65533:AJ65535 Z983042:AJ983044 Z917506:AJ917508 Z851970:AJ851972 Z786434:AJ786436 Z720898:AJ720900 Z655362:AJ655364 Z589826:AJ589828 Z524290:AJ524292 Z458754:AJ458756 Z393218:AJ393220 Z327682:AJ327684 Z262146:AJ262148 Z196610:AJ196612 Z131074:AJ131076 Z65538:AJ65540 Z983037:AJ983039 Z917501:AJ917503 Z851965:AJ851967 Z786429:AJ786431 Z720893:AJ720895 Z655357:AJ655359 Z589821:AJ589823 Z524285:AJ524287 Z458749:AJ458751 Z393213:AJ393215 Z327677:AJ327679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theme="0" tint="-0.34998626667073579"/>
    <pageSetUpPr autoPageBreaks="0"/>
  </sheetPr>
  <dimension ref="A1:BD58"/>
  <sheetViews>
    <sheetView showGridLines="0" zoomScaleNormal="100" zoomScaleSheetLayoutView="100" workbookViewId="0">
      <selection sqref="A1:H4"/>
    </sheetView>
  </sheetViews>
  <sheetFormatPr defaultColWidth="2.36328125" defaultRowHeight="15" customHeight="1"/>
  <cols>
    <col min="1" max="1" width="4.36328125" style="16" customWidth="1"/>
    <col min="2" max="26" width="2.36328125" style="16"/>
    <col min="27" max="27" width="2.36328125" style="16" customWidth="1"/>
    <col min="28" max="29" width="2.36328125" style="16"/>
    <col min="30" max="30" width="4.36328125" style="16" customWidth="1"/>
    <col min="31" max="31" width="2.36328125" style="16" customWidth="1"/>
    <col min="32" max="33" width="2.36328125" style="16"/>
    <col min="34" max="34" width="6.36328125" style="16" customWidth="1"/>
    <col min="35" max="16384" width="2.36328125" style="16"/>
  </cols>
  <sheetData>
    <row r="1" spans="1:56" s="15" customFormat="1" ht="15"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6" s="15" customFormat="1" ht="15" customHeight="1">
      <c r="A2" s="609"/>
      <c r="B2" s="610"/>
      <c r="C2" s="610"/>
      <c r="D2" s="610"/>
      <c r="E2" s="610"/>
      <c r="F2" s="610"/>
      <c r="G2" s="610"/>
      <c r="H2" s="611"/>
      <c r="I2" s="446" t="s">
        <v>96</v>
      </c>
      <c r="J2" s="447"/>
      <c r="K2" s="447"/>
      <c r="L2" s="447"/>
      <c r="M2" s="447"/>
      <c r="N2" s="447"/>
      <c r="O2" s="447"/>
      <c r="P2" s="447"/>
      <c r="Q2" s="448"/>
      <c r="R2" s="446" t="e">
        <f ca="1">VLOOKUP(RIGHT(CELL("filename",A2),LEN(CELL("filename",A2))-FIND("]",CELL("filename",A2))),#REF!,22,FALSE)</f>
        <v>#REF!</v>
      </c>
      <c r="S2" s="447"/>
      <c r="T2" s="447"/>
      <c r="U2" s="447"/>
      <c r="V2" s="447"/>
      <c r="W2" s="447"/>
      <c r="X2" s="448"/>
      <c r="Y2" s="446" t="e">
        <f ca="1">VLOOKUP(RIGHT(CELL("filename",A2),LEN(CELL("filename",A2))-FIND("]",CELL("filename",A2))),#REF!,1,FALSE)</f>
        <v>#REF!</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6" s="15" customFormat="1" ht="15"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6" s="15" customFormat="1" ht="15"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e">
        <f ca="1">IF(VLOOKUP(RIGHT(CELL("filename",A2),LEN(CELL("filename",A2))-FIND("]",CELL("filename",A2))),#REF!,11,FALSE)=0,"",VLOOKUP(RIGHT(CELL("filename",A2),LEN(CELL("filename",A2))-FIND("]",CELL("filename",A2))),#REF!,11,FALSE))</f>
        <v>#REF!</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6" ht="15"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6" ht="15"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6" ht="15" customHeight="1">
      <c r="A8" s="37">
        <f>IF(B8="","",COUNTA($B$8:B8))</f>
        <v>1</v>
      </c>
      <c r="B8" s="35" t="s">
        <v>1662</v>
      </c>
      <c r="C8" s="34"/>
      <c r="D8" s="34"/>
      <c r="E8" s="34"/>
      <c r="F8" s="34"/>
      <c r="G8" s="34"/>
      <c r="H8" s="34"/>
      <c r="I8" s="35"/>
      <c r="J8" s="27"/>
      <c r="K8" s="27"/>
      <c r="L8" s="27"/>
      <c r="M8" s="27"/>
      <c r="N8" s="27"/>
      <c r="O8" s="27"/>
      <c r="P8" s="27"/>
      <c r="Q8" s="27"/>
      <c r="R8" s="35" t="s">
        <v>1663</v>
      </c>
      <c r="S8" s="34"/>
      <c r="T8" s="34"/>
      <c r="U8" s="34"/>
      <c r="V8" s="34"/>
      <c r="W8" s="34"/>
      <c r="X8" s="34"/>
      <c r="Y8" s="589" t="s">
        <v>1504</v>
      </c>
      <c r="Z8" s="590"/>
      <c r="AA8" s="591" t="s">
        <v>1511</v>
      </c>
      <c r="AB8" s="592"/>
      <c r="AC8" s="593"/>
      <c r="AD8" s="53">
        <v>7</v>
      </c>
      <c r="AE8" s="25"/>
      <c r="AF8" s="25">
        <v>1</v>
      </c>
      <c r="AG8" s="25"/>
      <c r="AH8" s="25"/>
      <c r="AI8" s="25"/>
      <c r="AJ8" s="25"/>
      <c r="AK8" s="25"/>
      <c r="AL8" s="25"/>
      <c r="AM8" s="25"/>
      <c r="AN8" s="25"/>
      <c r="AO8" s="25"/>
      <c r="AP8" s="25"/>
      <c r="AQ8" s="25"/>
      <c r="AR8" s="25"/>
      <c r="AS8" s="35"/>
      <c r="AT8" s="36"/>
      <c r="AU8" s="36"/>
      <c r="AV8" s="36"/>
      <c r="AW8" s="36"/>
      <c r="AX8" s="36"/>
      <c r="AY8" s="36"/>
      <c r="AZ8" s="36"/>
      <c r="BA8" s="36"/>
      <c r="BB8" s="36"/>
      <c r="BC8" s="36"/>
      <c r="BD8" s="50"/>
    </row>
    <row r="9" spans="1:56" ht="15" customHeight="1">
      <c r="A9" s="37">
        <f>IF(B9="","",COUNTA($B$8:B9))</f>
        <v>2</v>
      </c>
      <c r="B9" s="35" t="s">
        <v>1514</v>
      </c>
      <c r="C9" s="34"/>
      <c r="D9" s="34"/>
      <c r="E9" s="34"/>
      <c r="F9" s="34"/>
      <c r="G9" s="34"/>
      <c r="H9" s="34"/>
      <c r="I9" s="35" t="s">
        <v>568</v>
      </c>
      <c r="J9" s="27"/>
      <c r="K9" s="27"/>
      <c r="L9" s="27"/>
      <c r="M9" s="27"/>
      <c r="N9" s="27"/>
      <c r="O9" s="27"/>
      <c r="P9" s="27"/>
      <c r="Q9" s="27"/>
      <c r="R9" s="35" t="s">
        <v>1514</v>
      </c>
      <c r="S9" s="34"/>
      <c r="T9" s="34"/>
      <c r="U9" s="34"/>
      <c r="V9" s="34"/>
      <c r="W9" s="34"/>
      <c r="X9" s="34"/>
      <c r="Y9" s="589" t="s">
        <v>1504</v>
      </c>
      <c r="Z9" s="590"/>
      <c r="AA9" s="591" t="s">
        <v>1505</v>
      </c>
      <c r="AB9" s="592"/>
      <c r="AC9" s="593"/>
      <c r="AD9" s="53">
        <v>20</v>
      </c>
      <c r="AE9" s="25"/>
      <c r="AF9" s="25">
        <v>2</v>
      </c>
      <c r="AG9" s="25"/>
      <c r="AH9" s="25"/>
      <c r="AI9" s="25"/>
      <c r="AJ9" s="25"/>
      <c r="AK9" s="25"/>
      <c r="AL9" s="25"/>
      <c r="AM9" s="25"/>
      <c r="AN9" s="25"/>
      <c r="AO9" s="25"/>
      <c r="AP9" s="25"/>
      <c r="AQ9" s="25"/>
      <c r="AR9" s="25"/>
      <c r="AS9" s="35"/>
      <c r="AT9" s="36"/>
      <c r="AU9" s="36"/>
      <c r="AV9" s="36"/>
      <c r="AW9" s="36"/>
      <c r="AX9" s="36"/>
      <c r="AY9" s="36"/>
      <c r="AZ9" s="36"/>
      <c r="BA9" s="36"/>
      <c r="BB9" s="36"/>
      <c r="BC9" s="36"/>
      <c r="BD9" s="50"/>
    </row>
    <row r="10" spans="1:56" ht="15" customHeight="1">
      <c r="A10" s="37">
        <f>IF(B10="","",COUNTA($B$8:B10))</f>
        <v>3</v>
      </c>
      <c r="B10" s="35" t="s">
        <v>1529</v>
      </c>
      <c r="C10" s="34"/>
      <c r="D10" s="34"/>
      <c r="E10" s="34"/>
      <c r="F10" s="34"/>
      <c r="G10" s="34"/>
      <c r="H10" s="34"/>
      <c r="I10" s="35" t="s">
        <v>457</v>
      </c>
      <c r="J10" s="27"/>
      <c r="K10" s="27"/>
      <c r="L10" s="27"/>
      <c r="M10" s="27"/>
      <c r="N10" s="27"/>
      <c r="O10" s="27"/>
      <c r="P10" s="27"/>
      <c r="Q10" s="27"/>
      <c r="R10" s="35" t="s">
        <v>1529</v>
      </c>
      <c r="S10" s="34"/>
      <c r="T10" s="34"/>
      <c r="U10" s="34"/>
      <c r="V10" s="34"/>
      <c r="W10" s="34"/>
      <c r="X10" s="34"/>
      <c r="Y10" s="589" t="s">
        <v>1504</v>
      </c>
      <c r="Z10" s="590"/>
      <c r="AA10" s="591" t="s">
        <v>1505</v>
      </c>
      <c r="AB10" s="592"/>
      <c r="AC10" s="593"/>
      <c r="AD10" s="53">
        <v>5</v>
      </c>
      <c r="AE10" s="25"/>
      <c r="AF10" s="25"/>
      <c r="AG10" s="25"/>
      <c r="AH10" s="25"/>
      <c r="AI10" s="25"/>
      <c r="AJ10" s="25"/>
      <c r="AK10" s="25"/>
      <c r="AL10" s="25"/>
      <c r="AM10" s="25"/>
      <c r="AN10" s="25"/>
      <c r="AO10" s="25"/>
      <c r="AP10" s="25"/>
      <c r="AQ10" s="25"/>
      <c r="AR10" s="25"/>
      <c r="AS10" s="35"/>
      <c r="AT10" s="36"/>
      <c r="AU10" s="36"/>
      <c r="AV10" s="36"/>
      <c r="AW10" s="36"/>
      <c r="AX10" s="36"/>
      <c r="AY10" s="36"/>
      <c r="AZ10" s="36"/>
      <c r="BA10" s="36"/>
      <c r="BB10" s="36"/>
      <c r="BC10" s="36"/>
      <c r="BD10" s="50"/>
    </row>
    <row r="11" spans="1:56" ht="15" customHeight="1">
      <c r="A11" s="37">
        <f>IF(B11="","",COUNTA($B$8:B11))</f>
        <v>4</v>
      </c>
      <c r="B11" s="35" t="s">
        <v>140</v>
      </c>
      <c r="C11" s="34"/>
      <c r="D11" s="34"/>
      <c r="E11" s="34"/>
      <c r="F11" s="34"/>
      <c r="G11" s="34"/>
      <c r="H11" s="34"/>
      <c r="I11" s="35" t="s">
        <v>657</v>
      </c>
      <c r="J11" s="27"/>
      <c r="K11" s="27"/>
      <c r="L11" s="27"/>
      <c r="M11" s="27"/>
      <c r="N11" s="27"/>
      <c r="O11" s="27"/>
      <c r="P11" s="27"/>
      <c r="Q11" s="27"/>
      <c r="R11" s="35" t="s">
        <v>140</v>
      </c>
      <c r="S11" s="34"/>
      <c r="T11" s="34"/>
      <c r="U11" s="34"/>
      <c r="V11" s="34"/>
      <c r="W11" s="34"/>
      <c r="X11" s="34"/>
      <c r="Y11" s="589" t="s">
        <v>1504</v>
      </c>
      <c r="Z11" s="590"/>
      <c r="AA11" s="591" t="s">
        <v>1505</v>
      </c>
      <c r="AB11" s="592"/>
      <c r="AC11" s="593"/>
      <c r="AD11" s="53">
        <v>30</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6" ht="15" customHeight="1">
      <c r="A12" s="37">
        <f>IF(B12="","",COUNTA($B$8:B12))</f>
        <v>5</v>
      </c>
      <c r="B12" s="35" t="s">
        <v>1530</v>
      </c>
      <c r="C12" s="34"/>
      <c r="D12" s="34"/>
      <c r="E12" s="34"/>
      <c r="F12" s="34"/>
      <c r="G12" s="34"/>
      <c r="H12" s="34"/>
      <c r="I12" s="35" t="s">
        <v>459</v>
      </c>
      <c r="J12" s="27"/>
      <c r="K12" s="27"/>
      <c r="L12" s="27"/>
      <c r="M12" s="27"/>
      <c r="N12" s="27"/>
      <c r="O12" s="27"/>
      <c r="P12" s="27"/>
      <c r="Q12" s="27"/>
      <c r="R12" s="35" t="s">
        <v>1530</v>
      </c>
      <c r="S12" s="34"/>
      <c r="T12" s="34"/>
      <c r="U12" s="34"/>
      <c r="V12" s="34"/>
      <c r="W12" s="34"/>
      <c r="X12" s="34"/>
      <c r="Y12" s="589" t="s">
        <v>1504</v>
      </c>
      <c r="Z12" s="590"/>
      <c r="AA12" s="591" t="s">
        <v>1505</v>
      </c>
      <c r="AB12" s="592"/>
      <c r="AC12" s="593"/>
      <c r="AD12" s="53">
        <v>2</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6" ht="15" customHeight="1">
      <c r="A13" s="37">
        <f>IF(B13="","",COUNTA($B$8:B13))</f>
        <v>6</v>
      </c>
      <c r="B13" s="35" t="s">
        <v>1688</v>
      </c>
      <c r="C13" s="34"/>
      <c r="D13" s="34"/>
      <c r="E13" s="34"/>
      <c r="F13" s="34"/>
      <c r="G13" s="34"/>
      <c r="H13" s="34"/>
      <c r="I13" s="35" t="s">
        <v>491</v>
      </c>
      <c r="J13" s="27"/>
      <c r="K13" s="27"/>
      <c r="L13" s="27"/>
      <c r="M13" s="27"/>
      <c r="N13" s="27"/>
      <c r="O13" s="27"/>
      <c r="P13" s="27"/>
      <c r="Q13" s="27"/>
      <c r="R13" s="35" t="s">
        <v>1688</v>
      </c>
      <c r="S13" s="34"/>
      <c r="T13" s="34"/>
      <c r="U13" s="34"/>
      <c r="V13" s="34"/>
      <c r="W13" s="34"/>
      <c r="X13" s="34"/>
      <c r="Y13" s="589" t="s">
        <v>1504</v>
      </c>
      <c r="Z13" s="590"/>
      <c r="AA13" s="591" t="s">
        <v>1505</v>
      </c>
      <c r="AB13" s="592"/>
      <c r="AC13" s="593"/>
      <c r="AD13" s="53">
        <v>30</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6" ht="15" customHeight="1">
      <c r="A14" s="37">
        <f>IF(B14="","",COUNTA($B$8:B14))</f>
        <v>7</v>
      </c>
      <c r="B14" s="17" t="s">
        <v>127</v>
      </c>
      <c r="C14" s="18"/>
      <c r="D14" s="18"/>
      <c r="E14" s="18"/>
      <c r="F14" s="18"/>
      <c r="G14" s="18"/>
      <c r="H14" s="18"/>
      <c r="I14" s="19" t="s">
        <v>709</v>
      </c>
      <c r="J14" s="20"/>
      <c r="K14" s="20"/>
      <c r="L14" s="20"/>
      <c r="M14" s="20"/>
      <c r="N14" s="20"/>
      <c r="O14" s="20"/>
      <c r="P14" s="20"/>
      <c r="Q14" s="20"/>
      <c r="R14" s="17" t="s">
        <v>127</v>
      </c>
      <c r="S14" s="18"/>
      <c r="T14" s="18"/>
      <c r="U14" s="18"/>
      <c r="V14" s="18"/>
      <c r="W14" s="18"/>
      <c r="X14" s="18"/>
      <c r="Y14" s="589" t="s">
        <v>1516</v>
      </c>
      <c r="Z14" s="590"/>
      <c r="AA14" s="591" t="s">
        <v>1517</v>
      </c>
      <c r="AB14" s="592"/>
      <c r="AC14" s="593"/>
      <c r="AD14" s="38">
        <v>7</v>
      </c>
      <c r="AE14" s="30">
        <v>2</v>
      </c>
      <c r="AF14" s="30"/>
      <c r="AG14" s="30"/>
      <c r="AH14" s="30"/>
      <c r="AI14" s="30"/>
      <c r="AJ14" s="30"/>
      <c r="AK14" s="30"/>
      <c r="AL14" s="30"/>
      <c r="AM14" s="30"/>
      <c r="AN14" s="30"/>
      <c r="AO14" s="31"/>
      <c r="AP14" s="31"/>
      <c r="AQ14" s="31"/>
      <c r="AR14" s="31"/>
      <c r="AS14" s="32"/>
      <c r="AT14" s="33"/>
      <c r="AU14" s="51"/>
      <c r="AV14" s="51"/>
      <c r="AW14" s="51"/>
      <c r="AX14" s="51"/>
      <c r="AY14" s="51"/>
      <c r="AZ14" s="51"/>
      <c r="BA14" s="51"/>
      <c r="BB14" s="51"/>
      <c r="BC14" s="51"/>
      <c r="BD14" s="52"/>
    </row>
    <row r="15" spans="1:56" ht="15" customHeight="1">
      <c r="A15" s="37">
        <f>IF(B15="","",COUNTA($B$8:B15))</f>
        <v>8</v>
      </c>
      <c r="B15" s="17" t="s">
        <v>1699</v>
      </c>
      <c r="C15" s="18"/>
      <c r="D15" s="18"/>
      <c r="E15" s="18"/>
      <c r="F15" s="18"/>
      <c r="G15" s="18"/>
      <c r="H15" s="18"/>
      <c r="I15" s="19"/>
      <c r="J15" s="20"/>
      <c r="K15" s="20"/>
      <c r="L15" s="20"/>
      <c r="M15" s="20"/>
      <c r="N15" s="20"/>
      <c r="O15" s="20"/>
      <c r="P15" s="20"/>
      <c r="Q15" s="20"/>
      <c r="R15" s="17" t="s">
        <v>1699</v>
      </c>
      <c r="S15" s="18"/>
      <c r="T15" s="18"/>
      <c r="U15" s="18"/>
      <c r="V15" s="18"/>
      <c r="W15" s="18"/>
      <c r="X15" s="18"/>
      <c r="Y15" s="589" t="s">
        <v>1516</v>
      </c>
      <c r="Z15" s="590"/>
      <c r="AA15" s="591" t="s">
        <v>1517</v>
      </c>
      <c r="AB15" s="592"/>
      <c r="AC15" s="593"/>
      <c r="AD15" s="38">
        <v>7</v>
      </c>
      <c r="AE15" s="30" t="s">
        <v>116</v>
      </c>
      <c r="AF15" s="30"/>
      <c r="AG15" s="30"/>
      <c r="AH15" s="30"/>
      <c r="AI15" s="30"/>
      <c r="AJ15" s="30"/>
      <c r="AK15" s="30"/>
      <c r="AL15" s="30"/>
      <c r="AM15" s="30"/>
      <c r="AN15" s="30"/>
      <c r="AO15" s="31"/>
      <c r="AP15" s="31"/>
      <c r="AQ15" s="31"/>
      <c r="AR15" s="31"/>
      <c r="AS15" s="32"/>
      <c r="AT15" s="33"/>
      <c r="AU15" s="51"/>
      <c r="AV15" s="51"/>
      <c r="AW15" s="51"/>
      <c r="AX15" s="51"/>
      <c r="AY15" s="51"/>
      <c r="AZ15" s="51"/>
      <c r="BA15" s="51"/>
      <c r="BB15" s="51"/>
      <c r="BC15" s="51"/>
      <c r="BD15" s="52"/>
    </row>
    <row r="16" spans="1:56" ht="15" customHeight="1">
      <c r="A16" s="37">
        <f>IF(B16="","",COUNTA($B$8:B16))</f>
        <v>9</v>
      </c>
      <c r="B16" s="17" t="s">
        <v>1632</v>
      </c>
      <c r="C16" s="18"/>
      <c r="D16" s="18"/>
      <c r="E16" s="18"/>
      <c r="F16" s="18"/>
      <c r="G16" s="18"/>
      <c r="H16" s="18"/>
      <c r="I16" s="19" t="s">
        <v>1414</v>
      </c>
      <c r="J16" s="20"/>
      <c r="K16" s="20"/>
      <c r="L16" s="20"/>
      <c r="M16" s="20"/>
      <c r="N16" s="20"/>
      <c r="O16" s="20"/>
      <c r="P16" s="20"/>
      <c r="Q16" s="20"/>
      <c r="R16" s="17" t="s">
        <v>1632</v>
      </c>
      <c r="S16" s="18"/>
      <c r="T16" s="18"/>
      <c r="U16" s="18"/>
      <c r="V16" s="18"/>
      <c r="W16" s="18"/>
      <c r="X16" s="18"/>
      <c r="Y16" s="589" t="s">
        <v>1516</v>
      </c>
      <c r="Z16" s="590"/>
      <c r="AA16" s="591" t="s">
        <v>1517</v>
      </c>
      <c r="AB16" s="592"/>
      <c r="AC16" s="593"/>
      <c r="AD16" s="38">
        <v>7</v>
      </c>
      <c r="AE16" s="30">
        <v>1</v>
      </c>
      <c r="AF16" s="30"/>
      <c r="AG16" s="30"/>
      <c r="AH16" s="30"/>
      <c r="AI16" s="30"/>
      <c r="AJ16" s="30"/>
      <c r="AK16" s="30"/>
      <c r="AL16" s="30"/>
      <c r="AM16" s="30"/>
      <c r="AN16" s="30"/>
      <c r="AO16" s="31"/>
      <c r="AP16" s="31"/>
      <c r="AQ16" s="31"/>
      <c r="AR16" s="31"/>
      <c r="AS16" s="32"/>
      <c r="AT16" s="33"/>
      <c r="AU16" s="51"/>
      <c r="AV16" s="51"/>
      <c r="AW16" s="51"/>
      <c r="AX16" s="51"/>
      <c r="AY16" s="51"/>
      <c r="AZ16" s="51"/>
      <c r="BA16" s="51"/>
      <c r="BB16" s="51"/>
      <c r="BC16" s="51"/>
      <c r="BD16" s="52"/>
    </row>
    <row r="17" spans="1:56" ht="15" customHeight="1">
      <c r="A17" s="37">
        <f>IF(B17="","",COUNTA($B$8:B17))</f>
        <v>10</v>
      </c>
      <c r="B17" s="17" t="s">
        <v>1302</v>
      </c>
      <c r="C17" s="34"/>
      <c r="D17" s="34"/>
      <c r="E17" s="34"/>
      <c r="F17" s="34"/>
      <c r="G17" s="34"/>
      <c r="H17" s="34"/>
      <c r="I17" s="19" t="s">
        <v>624</v>
      </c>
      <c r="J17" s="27"/>
      <c r="K17" s="27"/>
      <c r="L17" s="27"/>
      <c r="M17" s="27"/>
      <c r="N17" s="27"/>
      <c r="O17" s="27"/>
      <c r="P17" s="27"/>
      <c r="Q17" s="27"/>
      <c r="R17" s="17" t="s">
        <v>1704</v>
      </c>
      <c r="S17" s="34"/>
      <c r="T17" s="34"/>
      <c r="U17" s="34"/>
      <c r="V17" s="34"/>
      <c r="W17" s="34"/>
      <c r="X17" s="34"/>
      <c r="Y17" s="589" t="s">
        <v>1504</v>
      </c>
      <c r="Z17" s="590"/>
      <c r="AA17" s="591" t="s">
        <v>1505</v>
      </c>
      <c r="AB17" s="592"/>
      <c r="AC17" s="593"/>
      <c r="AD17" s="23">
        <v>10</v>
      </c>
      <c r="AE17" s="25"/>
      <c r="AF17" s="25"/>
      <c r="AG17" s="25"/>
      <c r="AH17" s="25"/>
      <c r="AI17" s="25"/>
      <c r="AJ17" s="25"/>
      <c r="AK17" s="25"/>
      <c r="AL17" s="25"/>
      <c r="AM17" s="25"/>
      <c r="AN17" s="25"/>
      <c r="AO17" s="25"/>
      <c r="AP17" s="25"/>
      <c r="AQ17" s="25"/>
      <c r="AR17" s="25"/>
      <c r="AS17" s="26"/>
      <c r="AT17" s="51"/>
      <c r="AU17" s="51"/>
      <c r="AV17" s="51"/>
      <c r="AW17" s="51"/>
      <c r="AX17" s="51"/>
      <c r="AY17" s="51"/>
      <c r="AZ17" s="51"/>
      <c r="BA17" s="51"/>
      <c r="BB17" s="51"/>
      <c r="BC17" s="51"/>
      <c r="BD17" s="52"/>
    </row>
    <row r="18" spans="1:56" ht="15" customHeight="1">
      <c r="A18" s="37">
        <f>IF(B18="","",COUNTA($B$8:B18))</f>
        <v>11</v>
      </c>
      <c r="B18" s="17" t="s">
        <v>1508</v>
      </c>
      <c r="C18" s="34"/>
      <c r="D18" s="34"/>
      <c r="E18" s="34"/>
      <c r="F18" s="34"/>
      <c r="G18" s="34"/>
      <c r="H18" s="34"/>
      <c r="I18" s="19" t="s">
        <v>624</v>
      </c>
      <c r="J18" s="27"/>
      <c r="K18" s="27"/>
      <c r="L18" s="27"/>
      <c r="M18" s="27"/>
      <c r="N18" s="27"/>
      <c r="O18" s="27"/>
      <c r="P18" s="27"/>
      <c r="Q18" s="27"/>
      <c r="R18" s="17" t="s">
        <v>1508</v>
      </c>
      <c r="S18" s="34"/>
      <c r="T18" s="34"/>
      <c r="U18" s="34"/>
      <c r="V18" s="34"/>
      <c r="W18" s="34"/>
      <c r="X18" s="34"/>
      <c r="Y18" s="589" t="s">
        <v>1504</v>
      </c>
      <c r="Z18" s="590"/>
      <c r="AA18" s="591" t="s">
        <v>1505</v>
      </c>
      <c r="AB18" s="592"/>
      <c r="AC18" s="593"/>
      <c r="AD18" s="23">
        <v>10</v>
      </c>
      <c r="AE18" s="25"/>
      <c r="AF18" s="25"/>
      <c r="AG18" s="25"/>
      <c r="AH18" s="25"/>
      <c r="AI18" s="25"/>
      <c r="AJ18" s="25"/>
      <c r="AK18" s="25"/>
      <c r="AL18" s="25"/>
      <c r="AM18" s="25"/>
      <c r="AN18" s="25"/>
      <c r="AO18" s="25"/>
      <c r="AP18" s="25"/>
      <c r="AQ18" s="25"/>
      <c r="AR18" s="25"/>
      <c r="AS18" s="26"/>
      <c r="AT18" s="51"/>
      <c r="AU18" s="51"/>
      <c r="AV18" s="51"/>
      <c r="AW18" s="51"/>
      <c r="AX18" s="51"/>
      <c r="AY18" s="51"/>
      <c r="AZ18" s="51"/>
      <c r="BA18" s="51"/>
      <c r="BB18" s="51"/>
      <c r="BC18" s="51"/>
      <c r="BD18" s="52"/>
    </row>
    <row r="19" spans="1:56" ht="15" customHeight="1">
      <c r="A19" s="37">
        <f>IF(B19="","",COUNTA($B$8:B19))</f>
        <v>12</v>
      </c>
      <c r="B19" s="17" t="s">
        <v>1509</v>
      </c>
      <c r="C19" s="34"/>
      <c r="D19" s="34"/>
      <c r="E19" s="34"/>
      <c r="F19" s="34"/>
      <c r="G19" s="34"/>
      <c r="H19" s="34"/>
      <c r="I19" s="19" t="s">
        <v>548</v>
      </c>
      <c r="J19" s="27"/>
      <c r="K19" s="27"/>
      <c r="L19" s="27"/>
      <c r="M19" s="27"/>
      <c r="N19" s="27"/>
      <c r="O19" s="27"/>
      <c r="P19" s="27"/>
      <c r="Q19" s="27"/>
      <c r="R19" s="17" t="s">
        <v>1509</v>
      </c>
      <c r="S19" s="34"/>
      <c r="T19" s="34"/>
      <c r="U19" s="34"/>
      <c r="V19" s="34"/>
      <c r="W19" s="34"/>
      <c r="X19" s="34"/>
      <c r="Y19" s="589" t="s">
        <v>1510</v>
      </c>
      <c r="Z19" s="590"/>
      <c r="AA19" s="591" t="s">
        <v>1511</v>
      </c>
      <c r="AB19" s="592"/>
      <c r="AC19" s="593"/>
      <c r="AD19" s="38"/>
      <c r="AE19" s="25"/>
      <c r="AF19" s="25"/>
      <c r="AG19" s="25"/>
      <c r="AH19" s="25"/>
      <c r="AI19" s="25"/>
      <c r="AJ19" s="25"/>
      <c r="AK19" s="25"/>
      <c r="AL19" s="25"/>
      <c r="AM19" s="25"/>
      <c r="AN19" s="25"/>
      <c r="AO19" s="25"/>
      <c r="AP19" s="25"/>
      <c r="AQ19" s="25"/>
      <c r="AR19" s="25"/>
      <c r="AS19" s="26"/>
      <c r="AT19" s="51"/>
      <c r="AU19" s="51"/>
      <c r="AV19" s="51"/>
      <c r="AW19" s="51"/>
      <c r="AX19" s="51"/>
      <c r="AY19" s="51"/>
      <c r="AZ19" s="51"/>
      <c r="BA19" s="51"/>
      <c r="BB19" s="51"/>
      <c r="BC19" s="51"/>
      <c r="BD19" s="52"/>
    </row>
    <row r="20" spans="1:56" ht="15" customHeight="1">
      <c r="A20" s="37">
        <f>IF(B20="","",COUNTA($B$8:B20))</f>
        <v>13</v>
      </c>
      <c r="B20" s="17" t="s">
        <v>1306</v>
      </c>
      <c r="C20" s="34"/>
      <c r="D20" s="34"/>
      <c r="E20" s="34"/>
      <c r="F20" s="34"/>
      <c r="G20" s="34"/>
      <c r="H20" s="34"/>
      <c r="I20" s="19" t="s">
        <v>626</v>
      </c>
      <c r="J20" s="27"/>
      <c r="K20" s="27"/>
      <c r="L20" s="27"/>
      <c r="M20" s="27"/>
      <c r="N20" s="27"/>
      <c r="O20" s="27"/>
      <c r="P20" s="27"/>
      <c r="Q20" s="27"/>
      <c r="R20" s="17" t="s">
        <v>1634</v>
      </c>
      <c r="S20" s="34"/>
      <c r="T20" s="34"/>
      <c r="U20" s="34"/>
      <c r="V20" s="34"/>
      <c r="W20" s="34"/>
      <c r="X20" s="34"/>
      <c r="Y20" s="589" t="s">
        <v>1504</v>
      </c>
      <c r="Z20" s="590"/>
      <c r="AA20" s="591" t="s">
        <v>1505</v>
      </c>
      <c r="AB20" s="592"/>
      <c r="AC20" s="593"/>
      <c r="AD20" s="23">
        <v>10</v>
      </c>
      <c r="AE20" s="25"/>
      <c r="AF20" s="25"/>
      <c r="AG20" s="25"/>
      <c r="AH20" s="25"/>
      <c r="AI20" s="25"/>
      <c r="AJ20" s="25"/>
      <c r="AK20" s="25"/>
      <c r="AL20" s="25"/>
      <c r="AM20" s="25"/>
      <c r="AN20" s="25"/>
      <c r="AO20" s="25"/>
      <c r="AP20" s="25"/>
      <c r="AQ20" s="25"/>
      <c r="AR20" s="25"/>
      <c r="AS20" s="26"/>
      <c r="AT20" s="51"/>
      <c r="AU20" s="51"/>
      <c r="AV20" s="51"/>
      <c r="AW20" s="51"/>
      <c r="AX20" s="51"/>
      <c r="AY20" s="51"/>
      <c r="AZ20" s="51"/>
      <c r="BA20" s="51"/>
      <c r="BB20" s="51"/>
      <c r="BC20" s="51"/>
      <c r="BD20" s="52"/>
    </row>
    <row r="21" spans="1:56" ht="15" customHeight="1">
      <c r="A21" s="37">
        <f>IF(B21="","",COUNTA($B$8:B21))</f>
        <v>14</v>
      </c>
      <c r="B21" s="17" t="s">
        <v>1512</v>
      </c>
      <c r="C21" s="18"/>
      <c r="D21" s="18"/>
      <c r="E21" s="18"/>
      <c r="F21" s="18"/>
      <c r="G21" s="18"/>
      <c r="H21" s="18"/>
      <c r="I21" s="19" t="s">
        <v>390</v>
      </c>
      <c r="J21" s="20"/>
      <c r="K21" s="20"/>
      <c r="L21" s="20"/>
      <c r="M21" s="20"/>
      <c r="N21" s="20"/>
      <c r="O21" s="20"/>
      <c r="P21" s="20"/>
      <c r="Q21" s="20"/>
      <c r="R21" s="17" t="s">
        <v>1512</v>
      </c>
      <c r="S21" s="18"/>
      <c r="T21" s="18"/>
      <c r="U21" s="18"/>
      <c r="V21" s="18"/>
      <c r="W21" s="18"/>
      <c r="X21" s="18"/>
      <c r="Y21" s="589" t="s">
        <v>1504</v>
      </c>
      <c r="Z21" s="590"/>
      <c r="AA21" s="591" t="s">
        <v>1505</v>
      </c>
      <c r="AB21" s="592"/>
      <c r="AC21" s="593"/>
      <c r="AD21" s="38">
        <v>10</v>
      </c>
      <c r="AE21" s="30" t="s">
        <v>1585</v>
      </c>
      <c r="AF21" s="30"/>
      <c r="AG21" s="30"/>
      <c r="AH21" s="30"/>
      <c r="AI21" s="30"/>
      <c r="AJ21" s="30"/>
      <c r="AK21" s="30"/>
      <c r="AL21" s="30"/>
      <c r="AM21" s="30"/>
      <c r="AN21" s="30"/>
      <c r="AO21" s="31"/>
      <c r="AP21" s="31"/>
      <c r="AQ21" s="31"/>
      <c r="AR21" s="31"/>
      <c r="AS21" s="32"/>
      <c r="AT21" s="33"/>
      <c r="AU21" s="51"/>
      <c r="AV21" s="51"/>
      <c r="AW21" s="51"/>
      <c r="AX21" s="51"/>
      <c r="AY21" s="51"/>
      <c r="AZ21" s="51"/>
      <c r="BA21" s="51"/>
      <c r="BB21" s="51"/>
      <c r="BC21" s="51"/>
      <c r="BD21" s="52"/>
    </row>
    <row r="22" spans="1:56" ht="15" customHeight="1">
      <c r="A22" s="37">
        <f>IF(B22="","",COUNTA($B$8:B22))</f>
        <v>15</v>
      </c>
      <c r="B22" s="17" t="s">
        <v>1513</v>
      </c>
      <c r="C22" s="18"/>
      <c r="D22" s="18"/>
      <c r="E22" s="18"/>
      <c r="F22" s="18"/>
      <c r="G22" s="18"/>
      <c r="H22" s="18"/>
      <c r="I22" s="19" t="s">
        <v>394</v>
      </c>
      <c r="J22" s="20"/>
      <c r="K22" s="20"/>
      <c r="L22" s="20"/>
      <c r="M22" s="20"/>
      <c r="N22" s="20"/>
      <c r="O22" s="20"/>
      <c r="P22" s="20"/>
      <c r="Q22" s="20"/>
      <c r="R22" s="17" t="s">
        <v>1513</v>
      </c>
      <c r="S22" s="18"/>
      <c r="T22" s="18"/>
      <c r="U22" s="18"/>
      <c r="V22" s="18"/>
      <c r="W22" s="18"/>
      <c r="X22" s="18"/>
      <c r="Y22" s="589" t="s">
        <v>1510</v>
      </c>
      <c r="Z22" s="590"/>
      <c r="AA22" s="591" t="s">
        <v>1511</v>
      </c>
      <c r="AB22" s="592"/>
      <c r="AC22" s="593"/>
      <c r="AD22" s="38"/>
      <c r="AE22" s="30" t="s">
        <v>1585</v>
      </c>
      <c r="AF22" s="30"/>
      <c r="AG22" s="30"/>
      <c r="AH22" s="30"/>
      <c r="AI22" s="30"/>
      <c r="AJ22" s="30"/>
      <c r="AK22" s="30"/>
      <c r="AL22" s="30"/>
      <c r="AM22" s="30"/>
      <c r="AN22" s="30"/>
      <c r="AO22" s="31"/>
      <c r="AP22" s="31"/>
      <c r="AQ22" s="31"/>
      <c r="AR22" s="31"/>
      <c r="AS22" s="32"/>
      <c r="AT22" s="33"/>
      <c r="AU22" s="51"/>
      <c r="AV22" s="51"/>
      <c r="AW22" s="51"/>
      <c r="AX22" s="51"/>
      <c r="AY22" s="51"/>
      <c r="AZ22" s="51"/>
      <c r="BA22" s="51"/>
      <c r="BB22" s="51"/>
      <c r="BC22" s="51"/>
      <c r="BD22" s="52"/>
    </row>
    <row r="23" spans="1:56" ht="15" customHeight="1">
      <c r="A23" s="37" t="str">
        <f>IF(B23="","",COUNTA($B$8:B23))</f>
        <v/>
      </c>
      <c r="B23" s="17"/>
      <c r="C23" s="18"/>
      <c r="D23" s="18"/>
      <c r="E23" s="18"/>
      <c r="F23" s="18"/>
      <c r="G23" s="18"/>
      <c r="H23" s="18"/>
      <c r="I23" s="19"/>
      <c r="J23" s="20"/>
      <c r="K23" s="20"/>
      <c r="L23" s="20"/>
      <c r="M23" s="20"/>
      <c r="N23" s="20"/>
      <c r="O23" s="20"/>
      <c r="P23" s="20"/>
      <c r="Q23" s="20"/>
      <c r="R23" s="17"/>
      <c r="S23" s="18"/>
      <c r="T23" s="18"/>
      <c r="U23" s="18"/>
      <c r="V23" s="18"/>
      <c r="W23" s="18"/>
      <c r="X23" s="18"/>
      <c r="Y23" s="17"/>
      <c r="Z23" s="28"/>
      <c r="AA23" s="21"/>
      <c r="AB23" s="22"/>
      <c r="AC23" s="29"/>
      <c r="AD23" s="38"/>
      <c r="AE23" s="30"/>
      <c r="AF23" s="30"/>
      <c r="AG23" s="30"/>
      <c r="AH23" s="30"/>
      <c r="AI23" s="30"/>
      <c r="AJ23" s="30"/>
      <c r="AK23" s="30"/>
      <c r="AL23" s="30"/>
      <c r="AM23" s="30"/>
      <c r="AN23" s="30"/>
      <c r="AO23" s="31"/>
      <c r="AP23" s="31"/>
      <c r="AQ23" s="31"/>
      <c r="AR23" s="31"/>
      <c r="AS23" s="32"/>
      <c r="AT23" s="33"/>
      <c r="AU23" s="51"/>
      <c r="AV23" s="51"/>
      <c r="AW23" s="51"/>
      <c r="AX23" s="51"/>
      <c r="AY23" s="51"/>
      <c r="AZ23" s="51"/>
      <c r="BA23" s="51"/>
      <c r="BB23" s="51"/>
      <c r="BC23" s="51"/>
      <c r="BD23" s="52"/>
    </row>
    <row r="24" spans="1:56" ht="15" customHeight="1">
      <c r="A24" s="37" t="str">
        <f>IF(B24="","",COUNTA($B$8:B24))</f>
        <v/>
      </c>
      <c r="B24" s="17"/>
      <c r="C24" s="18"/>
      <c r="D24" s="18"/>
      <c r="E24" s="18"/>
      <c r="F24" s="18"/>
      <c r="G24" s="18"/>
      <c r="H24" s="18"/>
      <c r="I24" s="19"/>
      <c r="J24" s="20"/>
      <c r="K24" s="20"/>
      <c r="L24" s="20"/>
      <c r="M24" s="20"/>
      <c r="N24" s="20"/>
      <c r="O24" s="20"/>
      <c r="P24" s="20"/>
      <c r="Q24" s="20"/>
      <c r="R24" s="17"/>
      <c r="S24" s="18"/>
      <c r="T24" s="18"/>
      <c r="U24" s="18"/>
      <c r="V24" s="18"/>
      <c r="W24" s="18"/>
      <c r="X24" s="18"/>
      <c r="Y24" s="17"/>
      <c r="Z24" s="28"/>
      <c r="AA24" s="21"/>
      <c r="AB24" s="22"/>
      <c r="AC24" s="29"/>
      <c r="AD24" s="38"/>
      <c r="AE24" s="30"/>
      <c r="AF24" s="30"/>
      <c r="AG24" s="30"/>
      <c r="AH24" s="30"/>
      <c r="AI24" s="30"/>
      <c r="AJ24" s="30"/>
      <c r="AK24" s="30"/>
      <c r="AL24" s="30"/>
      <c r="AM24" s="30"/>
      <c r="AN24" s="30"/>
      <c r="AO24" s="31"/>
      <c r="AP24" s="31"/>
      <c r="AQ24" s="31"/>
      <c r="AR24" s="31"/>
      <c r="AS24" s="32"/>
      <c r="AT24" s="33"/>
      <c r="AU24" s="51"/>
      <c r="AV24" s="51"/>
      <c r="AW24" s="51"/>
      <c r="AX24" s="51"/>
      <c r="AY24" s="51"/>
      <c r="AZ24" s="51"/>
      <c r="BA24" s="51"/>
      <c r="BB24" s="51"/>
      <c r="BC24" s="51"/>
      <c r="BD24" s="52"/>
    </row>
    <row r="25" spans="1:56" ht="15" customHeight="1">
      <c r="A25" s="37" t="str">
        <f>IF(B25="","",COUNTA($B$8:B25))</f>
        <v/>
      </c>
      <c r="B25" s="17"/>
      <c r="C25" s="18"/>
      <c r="D25" s="18"/>
      <c r="E25" s="18"/>
      <c r="F25" s="18"/>
      <c r="G25" s="18"/>
      <c r="H25" s="18"/>
      <c r="I25" s="19"/>
      <c r="J25" s="20"/>
      <c r="K25" s="20"/>
      <c r="L25" s="20"/>
      <c r="M25" s="20"/>
      <c r="N25" s="20"/>
      <c r="O25" s="20"/>
      <c r="P25" s="20"/>
      <c r="Q25" s="20"/>
      <c r="R25" s="17"/>
      <c r="S25" s="18"/>
      <c r="T25" s="18"/>
      <c r="U25" s="18"/>
      <c r="V25" s="18"/>
      <c r="W25" s="18"/>
      <c r="X25" s="18"/>
      <c r="Y25" s="17"/>
      <c r="Z25" s="28"/>
      <c r="AA25" s="21"/>
      <c r="AB25" s="22"/>
      <c r="AC25" s="29"/>
      <c r="AD25" s="38"/>
      <c r="AE25" s="30"/>
      <c r="AF25" s="30"/>
      <c r="AG25" s="30"/>
      <c r="AH25" s="30"/>
      <c r="AI25" s="30"/>
      <c r="AJ25" s="30"/>
      <c r="AK25" s="30"/>
      <c r="AL25" s="30"/>
      <c r="AM25" s="30"/>
      <c r="AN25" s="30"/>
      <c r="AO25" s="31"/>
      <c r="AP25" s="31"/>
      <c r="AQ25" s="31"/>
      <c r="AR25" s="31"/>
      <c r="AS25" s="32"/>
      <c r="AT25" s="33"/>
      <c r="AU25" s="51"/>
      <c r="AV25" s="51"/>
      <c r="AW25" s="51"/>
      <c r="AX25" s="51"/>
      <c r="AY25" s="51"/>
      <c r="AZ25" s="51"/>
      <c r="BA25" s="51"/>
      <c r="BB25" s="51"/>
      <c r="BC25" s="51"/>
      <c r="BD25" s="52"/>
    </row>
    <row r="26" spans="1:56" ht="15" customHeight="1">
      <c r="A26" s="37" t="str">
        <f>IF(B26="","",COUNTA($B$8:B26))</f>
        <v/>
      </c>
      <c r="B26" s="17"/>
      <c r="C26" s="18"/>
      <c r="D26" s="18"/>
      <c r="E26" s="18"/>
      <c r="F26" s="18"/>
      <c r="G26" s="18"/>
      <c r="H26" s="18"/>
      <c r="I26" s="19"/>
      <c r="J26" s="20"/>
      <c r="K26" s="20"/>
      <c r="L26" s="20"/>
      <c r="M26" s="20"/>
      <c r="N26" s="20"/>
      <c r="O26" s="20"/>
      <c r="P26" s="20"/>
      <c r="Q26" s="20"/>
      <c r="R26" s="17"/>
      <c r="S26" s="18"/>
      <c r="T26" s="18"/>
      <c r="U26" s="18"/>
      <c r="V26" s="18"/>
      <c r="W26" s="18"/>
      <c r="X26" s="18"/>
      <c r="Y26" s="17"/>
      <c r="Z26" s="28"/>
      <c r="AA26" s="21"/>
      <c r="AB26" s="22"/>
      <c r="AC26" s="29"/>
      <c r="AD26" s="38"/>
      <c r="AE26" s="30"/>
      <c r="AF26" s="30"/>
      <c r="AG26" s="30"/>
      <c r="AH26" s="30"/>
      <c r="AI26" s="30"/>
      <c r="AJ26" s="30"/>
      <c r="AK26" s="30"/>
      <c r="AL26" s="30"/>
      <c r="AM26" s="30"/>
      <c r="AN26" s="30"/>
      <c r="AO26" s="31"/>
      <c r="AP26" s="31"/>
      <c r="AQ26" s="31"/>
      <c r="AR26" s="31"/>
      <c r="AS26" s="32"/>
      <c r="AT26" s="33"/>
      <c r="AU26" s="51"/>
      <c r="AV26" s="51"/>
      <c r="AW26" s="51"/>
      <c r="AX26" s="51"/>
      <c r="AY26" s="51"/>
      <c r="AZ26" s="51"/>
      <c r="BA26" s="51"/>
      <c r="BB26" s="51"/>
      <c r="BC26" s="51"/>
      <c r="BD26" s="52"/>
    </row>
    <row r="27" spans="1:56" ht="15" customHeight="1">
      <c r="A27" s="37" t="str">
        <f>IF(B27="","",COUNTA($B$8:B27))</f>
        <v/>
      </c>
      <c r="B27" s="17"/>
      <c r="C27" s="18"/>
      <c r="D27" s="18"/>
      <c r="E27" s="18"/>
      <c r="F27" s="18"/>
      <c r="G27" s="18"/>
      <c r="H27" s="18"/>
      <c r="I27" s="19"/>
      <c r="J27" s="20"/>
      <c r="K27" s="20"/>
      <c r="L27" s="20"/>
      <c r="M27" s="20"/>
      <c r="N27" s="20"/>
      <c r="O27" s="20"/>
      <c r="P27" s="20"/>
      <c r="Q27" s="20"/>
      <c r="R27" s="17"/>
      <c r="S27" s="18"/>
      <c r="T27" s="18"/>
      <c r="U27" s="18"/>
      <c r="V27" s="18"/>
      <c r="W27" s="18"/>
      <c r="X27" s="18"/>
      <c r="Y27" s="17"/>
      <c r="Z27" s="28"/>
      <c r="AA27" s="21"/>
      <c r="AB27" s="22"/>
      <c r="AC27" s="29"/>
      <c r="AD27" s="38"/>
      <c r="AE27" s="30"/>
      <c r="AF27" s="30"/>
      <c r="AG27" s="30"/>
      <c r="AH27" s="30"/>
      <c r="AI27" s="30"/>
      <c r="AJ27" s="30"/>
      <c r="AK27" s="30"/>
      <c r="AL27" s="30"/>
      <c r="AM27" s="30"/>
      <c r="AN27" s="30"/>
      <c r="AO27" s="31"/>
      <c r="AP27" s="31"/>
      <c r="AQ27" s="31"/>
      <c r="AR27" s="31"/>
      <c r="AS27" s="32"/>
      <c r="AT27" s="33"/>
      <c r="AU27" s="51"/>
      <c r="AV27" s="51"/>
      <c r="AW27" s="51"/>
      <c r="AX27" s="51"/>
      <c r="AY27" s="51"/>
      <c r="AZ27" s="51"/>
      <c r="BA27" s="51"/>
      <c r="BB27" s="51"/>
      <c r="BC27" s="51"/>
      <c r="BD27" s="52"/>
    </row>
    <row r="28" spans="1:56" ht="15" customHeight="1">
      <c r="A28" s="37" t="str">
        <f>IF(B28="","",COUNTA($B$8:B28))</f>
        <v/>
      </c>
      <c r="B28" s="17"/>
      <c r="C28" s="18"/>
      <c r="D28" s="18"/>
      <c r="E28" s="18"/>
      <c r="F28" s="18"/>
      <c r="G28" s="18"/>
      <c r="H28" s="18"/>
      <c r="I28" s="19"/>
      <c r="J28" s="20"/>
      <c r="K28" s="20"/>
      <c r="L28" s="20"/>
      <c r="M28" s="20"/>
      <c r="N28" s="20"/>
      <c r="O28" s="20"/>
      <c r="P28" s="20"/>
      <c r="Q28" s="20"/>
      <c r="R28" s="17"/>
      <c r="S28" s="18"/>
      <c r="T28" s="18"/>
      <c r="U28" s="18"/>
      <c r="V28" s="18"/>
      <c r="W28" s="18"/>
      <c r="X28" s="18"/>
      <c r="Y28" s="17"/>
      <c r="Z28" s="28"/>
      <c r="AA28" s="21"/>
      <c r="AB28" s="22"/>
      <c r="AC28" s="29"/>
      <c r="AD28" s="38"/>
      <c r="AE28" s="30"/>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6" ht="15" customHeight="1">
      <c r="A29" s="37" t="str">
        <f>IF(B29="","",COUNTA($B$8:B29))</f>
        <v/>
      </c>
      <c r="B29" s="17"/>
      <c r="C29" s="18"/>
      <c r="D29" s="18"/>
      <c r="E29" s="18"/>
      <c r="F29" s="18"/>
      <c r="G29" s="18"/>
      <c r="H29" s="18"/>
      <c r="I29" s="19"/>
      <c r="J29" s="20"/>
      <c r="K29" s="20"/>
      <c r="L29" s="20"/>
      <c r="M29" s="20"/>
      <c r="N29" s="20"/>
      <c r="O29" s="20"/>
      <c r="P29" s="20"/>
      <c r="Q29" s="20"/>
      <c r="R29" s="17"/>
      <c r="S29" s="18"/>
      <c r="T29" s="18"/>
      <c r="U29" s="18"/>
      <c r="V29" s="18"/>
      <c r="W29" s="18"/>
      <c r="X29" s="18"/>
      <c r="Y29" s="17"/>
      <c r="Z29" s="28"/>
      <c r="AA29" s="21"/>
      <c r="AB29" s="22"/>
      <c r="AC29" s="29"/>
      <c r="AD29" s="38"/>
      <c r="AE29" s="30"/>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6" ht="15" customHeight="1">
      <c r="A30" s="37" t="str">
        <f>IF(B30="","",COUNTA($B$8:B30))</f>
        <v/>
      </c>
      <c r="B30" s="17"/>
      <c r="C30" s="18"/>
      <c r="D30" s="18"/>
      <c r="E30" s="18"/>
      <c r="F30" s="18"/>
      <c r="G30" s="18"/>
      <c r="H30" s="18"/>
      <c r="I30" s="19"/>
      <c r="J30" s="20"/>
      <c r="K30" s="20"/>
      <c r="L30" s="20"/>
      <c r="M30" s="20"/>
      <c r="N30" s="20"/>
      <c r="O30" s="20"/>
      <c r="P30" s="20"/>
      <c r="Q30" s="20"/>
      <c r="R30" s="17"/>
      <c r="S30" s="18"/>
      <c r="T30" s="18"/>
      <c r="U30" s="18"/>
      <c r="V30" s="18"/>
      <c r="W30" s="18"/>
      <c r="X30" s="18"/>
      <c r="Y30" s="17"/>
      <c r="Z30" s="28"/>
      <c r="AA30" s="21"/>
      <c r="AB30" s="22"/>
      <c r="AC30" s="29"/>
      <c r="AD30" s="38"/>
      <c r="AE30" s="30"/>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6" ht="15" customHeight="1">
      <c r="A31" s="37" t="str">
        <f>IF(B31="","",COUNTA($B$8:B31))</f>
        <v/>
      </c>
      <c r="B31" s="17"/>
      <c r="C31" s="18"/>
      <c r="D31" s="18"/>
      <c r="E31" s="18"/>
      <c r="F31" s="18"/>
      <c r="G31" s="18"/>
      <c r="H31" s="18"/>
      <c r="I31" s="19"/>
      <c r="J31" s="20"/>
      <c r="K31" s="20"/>
      <c r="L31" s="20"/>
      <c r="M31" s="20"/>
      <c r="N31" s="20"/>
      <c r="O31" s="20"/>
      <c r="P31" s="20"/>
      <c r="Q31" s="20"/>
      <c r="R31" s="17"/>
      <c r="S31" s="18"/>
      <c r="T31" s="18"/>
      <c r="U31" s="18"/>
      <c r="V31" s="18"/>
      <c r="W31" s="18"/>
      <c r="X31" s="18"/>
      <c r="Y31" s="17"/>
      <c r="Z31" s="28"/>
      <c r="AA31" s="21"/>
      <c r="AB31" s="22"/>
      <c r="AC31" s="29"/>
      <c r="AD31" s="38"/>
      <c r="AE31" s="30"/>
      <c r="AF31" s="30"/>
      <c r="AG31" s="30"/>
      <c r="AH31" s="30"/>
      <c r="AI31" s="30"/>
      <c r="AJ31" s="30"/>
      <c r="AK31" s="30"/>
      <c r="AL31" s="30"/>
      <c r="AM31" s="30"/>
      <c r="AN31" s="30"/>
      <c r="AO31" s="31"/>
      <c r="AP31" s="31"/>
      <c r="AQ31" s="31"/>
      <c r="AR31" s="31"/>
      <c r="AS31" s="32"/>
      <c r="AT31" s="33"/>
      <c r="AU31" s="51"/>
      <c r="AV31" s="51"/>
      <c r="AW31" s="51"/>
      <c r="AX31" s="51"/>
      <c r="AY31" s="51"/>
      <c r="AZ31" s="51"/>
      <c r="BA31" s="51"/>
      <c r="BB31" s="51"/>
      <c r="BC31" s="51"/>
      <c r="BD31" s="52"/>
    </row>
    <row r="32" spans="1:56" ht="15" customHeight="1">
      <c r="A32" s="37" t="str">
        <f>IF(B32="","",COUNTA($B$8:B32))</f>
        <v/>
      </c>
      <c r="B32" s="17"/>
      <c r="C32" s="18"/>
      <c r="D32" s="18"/>
      <c r="E32" s="18"/>
      <c r="F32" s="18"/>
      <c r="G32" s="18"/>
      <c r="H32" s="18"/>
      <c r="I32" s="19"/>
      <c r="J32" s="20"/>
      <c r="K32" s="20"/>
      <c r="L32" s="20"/>
      <c r="M32" s="20"/>
      <c r="N32" s="20"/>
      <c r="O32" s="20"/>
      <c r="P32" s="20"/>
      <c r="Q32" s="20"/>
      <c r="R32" s="17"/>
      <c r="S32" s="18"/>
      <c r="T32" s="18"/>
      <c r="U32" s="18"/>
      <c r="V32" s="18"/>
      <c r="W32" s="18"/>
      <c r="X32" s="18"/>
      <c r="Y32" s="17"/>
      <c r="Z32" s="28"/>
      <c r="AA32" s="21"/>
      <c r="AB32" s="22"/>
      <c r="AC32" s="29"/>
      <c r="AD32" s="38"/>
      <c r="AE32" s="30"/>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5" customHeight="1">
      <c r="A33" s="37" t="str">
        <f>IF(B33="","",COUNTA($B$8:B33))</f>
        <v/>
      </c>
      <c r="B33" s="17"/>
      <c r="C33" s="18"/>
      <c r="D33" s="18"/>
      <c r="E33" s="18"/>
      <c r="F33" s="18"/>
      <c r="G33" s="18"/>
      <c r="H33" s="18"/>
      <c r="I33" s="19"/>
      <c r="J33" s="20"/>
      <c r="K33" s="20"/>
      <c r="L33" s="20"/>
      <c r="M33" s="20"/>
      <c r="N33" s="20"/>
      <c r="O33" s="20"/>
      <c r="P33" s="20"/>
      <c r="Q33" s="20"/>
      <c r="R33" s="17"/>
      <c r="S33" s="18"/>
      <c r="T33" s="18"/>
      <c r="U33" s="18"/>
      <c r="V33" s="18"/>
      <c r="W33" s="18"/>
      <c r="X33" s="18"/>
      <c r="Y33" s="17"/>
      <c r="Z33" s="28"/>
      <c r="AA33" s="21"/>
      <c r="AB33" s="22"/>
      <c r="AC33" s="29"/>
      <c r="AD33" s="38"/>
      <c r="AE33" s="30"/>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5" customHeight="1">
      <c r="A34" s="37" t="str">
        <f>IF(B34="","",COUNTA($B$8:B34))</f>
        <v/>
      </c>
      <c r="B34" s="17"/>
      <c r="C34" s="18"/>
      <c r="D34" s="18"/>
      <c r="E34" s="18"/>
      <c r="F34" s="18"/>
      <c r="G34" s="18"/>
      <c r="H34" s="18"/>
      <c r="I34" s="19"/>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5" customHeight="1">
      <c r="A35" s="37" t="str">
        <f>IF(B35="","",COUNTA($B$8:B35))</f>
        <v/>
      </c>
      <c r="B35" s="17"/>
      <c r="C35" s="18"/>
      <c r="D35" s="18"/>
      <c r="E35" s="18"/>
      <c r="F35" s="18"/>
      <c r="G35" s="18"/>
      <c r="H35" s="18"/>
      <c r="I35" s="19"/>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5" customHeight="1">
      <c r="A36" s="37" t="str">
        <f>IF(B36="","",COUNTA($B$8:B36))</f>
        <v/>
      </c>
      <c r="B36" s="17"/>
      <c r="C36" s="18"/>
      <c r="D36" s="18"/>
      <c r="E36" s="18"/>
      <c r="F36" s="18"/>
      <c r="G36" s="18"/>
      <c r="H36" s="18"/>
      <c r="I36" s="19"/>
      <c r="J36" s="20"/>
      <c r="K36" s="20"/>
      <c r="L36" s="20"/>
      <c r="M36" s="20"/>
      <c r="N36" s="20"/>
      <c r="O36" s="20"/>
      <c r="P36" s="20"/>
      <c r="Q36" s="20"/>
      <c r="R36" s="17"/>
      <c r="S36" s="18"/>
      <c r="T36" s="18"/>
      <c r="U36" s="18"/>
      <c r="V36" s="18"/>
      <c r="W36" s="18"/>
      <c r="X36" s="18"/>
      <c r="Y36" s="17"/>
      <c r="Z36" s="28"/>
      <c r="AA36" s="21"/>
      <c r="AB36" s="22"/>
      <c r="AC36" s="29"/>
      <c r="AD36" s="38"/>
      <c r="AE36" s="30"/>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5" customHeight="1">
      <c r="A37" s="37" t="str">
        <f>IF(B37="","",COUNTA($B$8:B37))</f>
        <v/>
      </c>
      <c r="B37" s="17"/>
      <c r="C37" s="18"/>
      <c r="D37" s="18"/>
      <c r="E37" s="18"/>
      <c r="F37" s="18"/>
      <c r="G37" s="18"/>
      <c r="H37" s="18"/>
      <c r="I37" s="19"/>
      <c r="J37" s="20"/>
      <c r="K37" s="20"/>
      <c r="L37" s="20"/>
      <c r="M37" s="20"/>
      <c r="N37" s="20"/>
      <c r="O37" s="20"/>
      <c r="P37" s="20"/>
      <c r="Q37" s="20"/>
      <c r="R37" s="17"/>
      <c r="S37" s="18"/>
      <c r="T37" s="18"/>
      <c r="U37" s="18"/>
      <c r="V37" s="18"/>
      <c r="W37" s="18"/>
      <c r="X37" s="18"/>
      <c r="Y37" s="17"/>
      <c r="Z37" s="28"/>
      <c r="AA37" s="21"/>
      <c r="AB37" s="22"/>
      <c r="AC37" s="29"/>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5" customHeight="1">
      <c r="A38" s="37" t="str">
        <f>IF(B38="","",COUNTA($B$8:B38))</f>
        <v/>
      </c>
      <c r="B38" s="17"/>
      <c r="C38" s="18"/>
      <c r="D38" s="18"/>
      <c r="E38" s="18"/>
      <c r="F38" s="18"/>
      <c r="G38" s="18"/>
      <c r="H38" s="18"/>
      <c r="I38" s="19"/>
      <c r="J38" s="20"/>
      <c r="K38" s="20"/>
      <c r="L38" s="20"/>
      <c r="M38" s="20"/>
      <c r="N38" s="20"/>
      <c r="O38" s="20"/>
      <c r="P38" s="20"/>
      <c r="Q38" s="20"/>
      <c r="R38" s="17"/>
      <c r="S38" s="18"/>
      <c r="T38" s="18"/>
      <c r="U38" s="18"/>
      <c r="V38" s="18"/>
      <c r="W38" s="18"/>
      <c r="X38" s="18"/>
      <c r="Y38" s="17"/>
      <c r="Z38" s="28"/>
      <c r="AA38" s="21"/>
      <c r="AB38" s="22"/>
      <c r="AC38" s="29"/>
      <c r="AD38" s="38"/>
      <c r="AE38" s="30"/>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5" customHeight="1">
      <c r="A39" s="37" t="str">
        <f>IF(B39="","",COUNTA($B$8:B39))</f>
        <v/>
      </c>
      <c r="B39" s="17"/>
      <c r="C39" s="18"/>
      <c r="D39" s="18"/>
      <c r="E39" s="18"/>
      <c r="F39" s="18"/>
      <c r="G39" s="18"/>
      <c r="H39" s="18"/>
      <c r="I39" s="19"/>
      <c r="J39" s="20"/>
      <c r="K39" s="20"/>
      <c r="L39" s="20"/>
      <c r="M39" s="20"/>
      <c r="N39" s="20"/>
      <c r="O39" s="20"/>
      <c r="P39" s="20"/>
      <c r="Q39" s="20"/>
      <c r="R39" s="17"/>
      <c r="S39" s="18"/>
      <c r="T39" s="18"/>
      <c r="U39" s="18"/>
      <c r="V39" s="18"/>
      <c r="W39" s="18"/>
      <c r="X39" s="18"/>
      <c r="Y39" s="17"/>
      <c r="Z39" s="28"/>
      <c r="AA39" s="21"/>
      <c r="AB39" s="22"/>
      <c r="AC39" s="29"/>
      <c r="AD39" s="38"/>
      <c r="AE39" s="30"/>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5" customHeight="1">
      <c r="A40" s="37" t="str">
        <f>IF(B40="","",COUNTA($B$8:B40))</f>
        <v/>
      </c>
      <c r="B40" s="17"/>
      <c r="C40" s="18"/>
      <c r="D40" s="18"/>
      <c r="E40" s="18"/>
      <c r="F40" s="18"/>
      <c r="G40" s="18"/>
      <c r="H40" s="18"/>
      <c r="I40" s="19"/>
      <c r="J40" s="20"/>
      <c r="K40" s="20"/>
      <c r="L40" s="20"/>
      <c r="M40" s="20"/>
      <c r="N40" s="20"/>
      <c r="O40" s="20"/>
      <c r="P40" s="20"/>
      <c r="Q40" s="20"/>
      <c r="R40" s="17"/>
      <c r="S40" s="18"/>
      <c r="T40" s="18"/>
      <c r="U40" s="18"/>
      <c r="V40" s="18"/>
      <c r="W40" s="18"/>
      <c r="X40" s="18"/>
      <c r="Y40" s="17"/>
      <c r="Z40" s="28"/>
      <c r="AA40" s="21"/>
      <c r="AB40" s="22"/>
      <c r="AC40" s="29"/>
      <c r="AD40" s="38"/>
      <c r="AE40" s="30"/>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5" customHeight="1">
      <c r="A41" s="37" t="str">
        <f>IF(B41="","",COUNTA($B$8:B41))</f>
        <v/>
      </c>
      <c r="B41" s="17"/>
      <c r="C41" s="18"/>
      <c r="D41" s="18"/>
      <c r="E41" s="18"/>
      <c r="F41" s="18"/>
      <c r="G41" s="18"/>
      <c r="H41" s="18"/>
      <c r="I41" s="19"/>
      <c r="J41" s="20"/>
      <c r="K41" s="20"/>
      <c r="L41" s="20"/>
      <c r="M41" s="20"/>
      <c r="N41" s="20"/>
      <c r="O41" s="20"/>
      <c r="P41" s="20"/>
      <c r="Q41" s="20"/>
      <c r="R41" s="17"/>
      <c r="S41" s="18"/>
      <c r="T41" s="18"/>
      <c r="U41" s="18"/>
      <c r="V41" s="18"/>
      <c r="W41" s="18"/>
      <c r="X41" s="18"/>
      <c r="Y41" s="17"/>
      <c r="Z41" s="28"/>
      <c r="AA41" s="21"/>
      <c r="AB41" s="22"/>
      <c r="AC41" s="29"/>
      <c r="AD41" s="38"/>
      <c r="AE41" s="30"/>
      <c r="AF41" s="30"/>
      <c r="AG41" s="30"/>
      <c r="AH41" s="30"/>
      <c r="AI41" s="30"/>
      <c r="AJ41" s="30"/>
      <c r="AK41" s="30"/>
      <c r="AL41" s="30"/>
      <c r="AM41" s="30"/>
      <c r="AN41" s="30"/>
      <c r="AO41" s="31"/>
      <c r="AP41" s="31"/>
      <c r="AQ41" s="31"/>
      <c r="AR41" s="31"/>
      <c r="AS41" s="32"/>
      <c r="AT41" s="33"/>
      <c r="AU41" s="51"/>
      <c r="AV41" s="51"/>
      <c r="AW41" s="51"/>
      <c r="AX41" s="51"/>
      <c r="AY41" s="51"/>
      <c r="AZ41" s="51"/>
      <c r="BA41" s="51"/>
      <c r="BB41" s="51"/>
      <c r="BC41" s="51"/>
      <c r="BD41" s="52"/>
    </row>
    <row r="42" spans="1:56" ht="15" customHeight="1">
      <c r="A42" s="37" t="str">
        <f>IF(B42="","",COUNTA($B$8:B42))</f>
        <v/>
      </c>
      <c r="B42" s="17"/>
      <c r="C42" s="18"/>
      <c r="D42" s="18"/>
      <c r="E42" s="18"/>
      <c r="F42" s="18"/>
      <c r="G42" s="18"/>
      <c r="H42" s="18"/>
      <c r="I42" s="19"/>
      <c r="J42" s="20"/>
      <c r="K42" s="20"/>
      <c r="L42" s="20"/>
      <c r="M42" s="20"/>
      <c r="N42" s="20"/>
      <c r="O42" s="20"/>
      <c r="P42" s="20"/>
      <c r="Q42" s="20"/>
      <c r="R42" s="17"/>
      <c r="S42" s="18"/>
      <c r="T42" s="18"/>
      <c r="U42" s="18"/>
      <c r="V42" s="18"/>
      <c r="W42" s="18"/>
      <c r="X42" s="18"/>
      <c r="Y42" s="17"/>
      <c r="Z42" s="28"/>
      <c r="AA42" s="21"/>
      <c r="AB42" s="22"/>
      <c r="AC42" s="29"/>
      <c r="AD42" s="38"/>
      <c r="AE42" s="30"/>
      <c r="AF42" s="30"/>
      <c r="AG42" s="30"/>
      <c r="AH42" s="30"/>
      <c r="AI42" s="30"/>
      <c r="AJ42" s="30"/>
      <c r="AK42" s="30"/>
      <c r="AL42" s="30"/>
      <c r="AM42" s="30"/>
      <c r="AN42" s="30"/>
      <c r="AO42" s="31"/>
      <c r="AP42" s="31"/>
      <c r="AQ42" s="31"/>
      <c r="AR42" s="31"/>
      <c r="AS42" s="32"/>
      <c r="AT42" s="33"/>
      <c r="AU42" s="51"/>
      <c r="AV42" s="51"/>
      <c r="AW42" s="51"/>
      <c r="AX42" s="51"/>
      <c r="AY42" s="51"/>
      <c r="AZ42" s="51"/>
      <c r="BA42" s="51"/>
      <c r="BB42" s="51"/>
      <c r="BC42" s="51"/>
      <c r="BD42" s="52"/>
    </row>
    <row r="43" spans="1:56" ht="15" customHeight="1">
      <c r="A43" s="37" t="str">
        <f>IF(B43="","",COUNTA($B$8:B43))</f>
        <v/>
      </c>
      <c r="B43" s="17"/>
      <c r="C43" s="18"/>
      <c r="D43" s="18"/>
      <c r="E43" s="18"/>
      <c r="F43" s="18"/>
      <c r="G43" s="18"/>
      <c r="H43" s="18"/>
      <c r="I43" s="19"/>
      <c r="J43" s="20"/>
      <c r="K43" s="20"/>
      <c r="L43" s="20"/>
      <c r="M43" s="20"/>
      <c r="N43" s="20"/>
      <c r="O43" s="20"/>
      <c r="P43" s="20"/>
      <c r="Q43" s="20"/>
      <c r="R43" s="17"/>
      <c r="S43" s="18"/>
      <c r="T43" s="18"/>
      <c r="U43" s="18"/>
      <c r="V43" s="18"/>
      <c r="W43" s="18"/>
      <c r="X43" s="18"/>
      <c r="Y43" s="17"/>
      <c r="Z43" s="28"/>
      <c r="AA43" s="21"/>
      <c r="AB43" s="22"/>
      <c r="AC43" s="29"/>
      <c r="AD43" s="38"/>
      <c r="AE43" s="30"/>
      <c r="AF43" s="30"/>
      <c r="AG43" s="30"/>
      <c r="AH43" s="30"/>
      <c r="AI43" s="30"/>
      <c r="AJ43" s="30"/>
      <c r="AK43" s="30"/>
      <c r="AL43" s="30"/>
      <c r="AM43" s="30"/>
      <c r="AN43" s="30"/>
      <c r="AO43" s="31"/>
      <c r="AP43" s="31"/>
      <c r="AQ43" s="31"/>
      <c r="AR43" s="31"/>
      <c r="AS43" s="32"/>
      <c r="AT43" s="33"/>
      <c r="AU43" s="51"/>
      <c r="AV43" s="51"/>
      <c r="AW43" s="51"/>
      <c r="AX43" s="51"/>
      <c r="AY43" s="51"/>
      <c r="AZ43" s="51"/>
      <c r="BA43" s="51"/>
      <c r="BB43" s="51"/>
      <c r="BC43" s="51"/>
      <c r="BD43" s="52"/>
    </row>
    <row r="44" spans="1:56" ht="15" customHeight="1">
      <c r="A44" s="37" t="str">
        <f>IF(B44="","",COUNTA($B$8:B44))</f>
        <v/>
      </c>
      <c r="B44" s="17"/>
      <c r="C44" s="18"/>
      <c r="D44" s="18"/>
      <c r="E44" s="18"/>
      <c r="F44" s="18"/>
      <c r="G44" s="18"/>
      <c r="H44" s="18"/>
      <c r="I44" s="19"/>
      <c r="J44" s="20"/>
      <c r="K44" s="20"/>
      <c r="L44" s="20"/>
      <c r="M44" s="20"/>
      <c r="N44" s="20"/>
      <c r="O44" s="20"/>
      <c r="P44" s="20"/>
      <c r="Q44" s="20"/>
      <c r="R44" s="17"/>
      <c r="S44" s="18"/>
      <c r="T44" s="18"/>
      <c r="U44" s="18"/>
      <c r="V44" s="18"/>
      <c r="W44" s="18"/>
      <c r="X44" s="18"/>
      <c r="Y44" s="17"/>
      <c r="Z44" s="28"/>
      <c r="AA44" s="21"/>
      <c r="AB44" s="22"/>
      <c r="AC44" s="29"/>
      <c r="AD44" s="38"/>
      <c r="AE44" s="30"/>
      <c r="AF44" s="30"/>
      <c r="AG44" s="30"/>
      <c r="AH44" s="30"/>
      <c r="AI44" s="30"/>
      <c r="AJ44" s="30"/>
      <c r="AK44" s="30"/>
      <c r="AL44" s="30"/>
      <c r="AM44" s="30"/>
      <c r="AN44" s="30"/>
      <c r="AO44" s="31"/>
      <c r="AP44" s="31"/>
      <c r="AQ44" s="31"/>
      <c r="AR44" s="31"/>
      <c r="AS44" s="32"/>
      <c r="AT44" s="33"/>
      <c r="AU44" s="51"/>
      <c r="AV44" s="51"/>
      <c r="AW44" s="51"/>
      <c r="AX44" s="51"/>
      <c r="AY44" s="51"/>
      <c r="AZ44" s="51"/>
      <c r="BA44" s="51"/>
      <c r="BB44" s="51"/>
      <c r="BC44" s="51"/>
      <c r="BD44" s="52"/>
    </row>
    <row r="45" spans="1:56" ht="15" customHeight="1">
      <c r="A45" s="37" t="str">
        <f>IF(B45="","",COUNTA($B$8:B45))</f>
        <v/>
      </c>
      <c r="B45" s="17"/>
      <c r="C45" s="18"/>
      <c r="D45" s="18"/>
      <c r="E45" s="18"/>
      <c r="F45" s="18"/>
      <c r="G45" s="18"/>
      <c r="H45" s="18"/>
      <c r="I45" s="19"/>
      <c r="J45" s="20"/>
      <c r="K45" s="20"/>
      <c r="L45" s="20"/>
      <c r="M45" s="20"/>
      <c r="N45" s="20"/>
      <c r="O45" s="20"/>
      <c r="P45" s="20"/>
      <c r="Q45" s="20"/>
      <c r="R45" s="17"/>
      <c r="S45" s="18"/>
      <c r="T45" s="18"/>
      <c r="U45" s="18"/>
      <c r="V45" s="18"/>
      <c r="W45" s="18"/>
      <c r="X45" s="18"/>
      <c r="Y45" s="17"/>
      <c r="Z45" s="28"/>
      <c r="AA45" s="21"/>
      <c r="AB45" s="22"/>
      <c r="AC45" s="29"/>
      <c r="AD45" s="38"/>
      <c r="AE45" s="30"/>
      <c r="AF45" s="30"/>
      <c r="AG45" s="30"/>
      <c r="AH45" s="30"/>
      <c r="AI45" s="30"/>
      <c r="AJ45" s="30"/>
      <c r="AK45" s="30"/>
      <c r="AL45" s="30"/>
      <c r="AM45" s="30"/>
      <c r="AN45" s="30"/>
      <c r="AO45" s="31"/>
      <c r="AP45" s="31"/>
      <c r="AQ45" s="31"/>
      <c r="AR45" s="31"/>
      <c r="AS45" s="32"/>
      <c r="AT45" s="33"/>
      <c r="AU45" s="51"/>
      <c r="AV45" s="51"/>
      <c r="AW45" s="51"/>
      <c r="AX45" s="51"/>
      <c r="AY45" s="51"/>
      <c r="AZ45" s="51"/>
      <c r="BA45" s="51"/>
      <c r="BB45" s="51"/>
      <c r="BC45" s="51"/>
      <c r="BD45" s="52"/>
    </row>
    <row r="46" spans="1:56" ht="15" customHeight="1">
      <c r="A46" s="37" t="str">
        <f>IF(B46="","",COUNTA($B$8:B46))</f>
        <v/>
      </c>
      <c r="B46" s="17"/>
      <c r="C46" s="18"/>
      <c r="D46" s="18"/>
      <c r="E46" s="18"/>
      <c r="F46" s="18"/>
      <c r="G46" s="18"/>
      <c r="H46" s="18"/>
      <c r="I46" s="19"/>
      <c r="J46" s="20"/>
      <c r="K46" s="20"/>
      <c r="L46" s="20"/>
      <c r="M46" s="20"/>
      <c r="N46" s="20"/>
      <c r="O46" s="20"/>
      <c r="P46" s="20"/>
      <c r="Q46" s="20"/>
      <c r="R46" s="17"/>
      <c r="S46" s="18"/>
      <c r="T46" s="18"/>
      <c r="U46" s="18"/>
      <c r="V46" s="18"/>
      <c r="W46" s="18"/>
      <c r="X46" s="18"/>
      <c r="Y46" s="17"/>
      <c r="Z46" s="28"/>
      <c r="AA46" s="21"/>
      <c r="AB46" s="22"/>
      <c r="AC46" s="29"/>
      <c r="AD46" s="38"/>
      <c r="AE46" s="30"/>
      <c r="AF46" s="30"/>
      <c r="AG46" s="30"/>
      <c r="AH46" s="30"/>
      <c r="AI46" s="30"/>
      <c r="AJ46" s="30"/>
      <c r="AK46" s="30"/>
      <c r="AL46" s="30"/>
      <c r="AM46" s="30"/>
      <c r="AN46" s="30"/>
      <c r="AO46" s="31"/>
      <c r="AP46" s="31"/>
      <c r="AQ46" s="31"/>
      <c r="AR46" s="31"/>
      <c r="AS46" s="32"/>
      <c r="AT46" s="33"/>
      <c r="AU46" s="51"/>
      <c r="AV46" s="51"/>
      <c r="AW46" s="51"/>
      <c r="AX46" s="51"/>
      <c r="AY46" s="51"/>
      <c r="AZ46" s="51"/>
      <c r="BA46" s="51"/>
      <c r="BB46" s="51"/>
      <c r="BC46" s="51"/>
      <c r="BD46" s="52"/>
    </row>
    <row r="47" spans="1:56" ht="15" customHeight="1">
      <c r="A47" s="37" t="str">
        <f>IF(B47="","",COUNTA($B$8:B47))</f>
        <v/>
      </c>
      <c r="B47" s="17"/>
      <c r="C47" s="18"/>
      <c r="D47" s="18"/>
      <c r="E47" s="18"/>
      <c r="F47" s="18"/>
      <c r="G47" s="18"/>
      <c r="H47" s="18"/>
      <c r="I47" s="19"/>
      <c r="J47" s="20"/>
      <c r="K47" s="20"/>
      <c r="L47" s="20"/>
      <c r="M47" s="20"/>
      <c r="N47" s="20"/>
      <c r="O47" s="20"/>
      <c r="P47" s="20"/>
      <c r="Q47" s="20"/>
      <c r="R47" s="17"/>
      <c r="S47" s="18"/>
      <c r="T47" s="18"/>
      <c r="U47" s="18"/>
      <c r="V47" s="18"/>
      <c r="W47" s="18"/>
      <c r="X47" s="18"/>
      <c r="Y47" s="17"/>
      <c r="Z47" s="28"/>
      <c r="AA47" s="21"/>
      <c r="AB47" s="22"/>
      <c r="AC47" s="29"/>
      <c r="AD47" s="38"/>
      <c r="AE47" s="30"/>
      <c r="AF47" s="30"/>
      <c r="AG47" s="30"/>
      <c r="AH47" s="30"/>
      <c r="AI47" s="30"/>
      <c r="AJ47" s="30"/>
      <c r="AK47" s="30"/>
      <c r="AL47" s="30"/>
      <c r="AM47" s="30"/>
      <c r="AN47" s="30"/>
      <c r="AO47" s="31"/>
      <c r="AP47" s="31"/>
      <c r="AQ47" s="31"/>
      <c r="AR47" s="31"/>
      <c r="AS47" s="32"/>
      <c r="AT47" s="33"/>
      <c r="AU47" s="51"/>
      <c r="AV47" s="51"/>
      <c r="AW47" s="51"/>
      <c r="AX47" s="51"/>
      <c r="AY47" s="51"/>
      <c r="AZ47" s="51"/>
      <c r="BA47" s="51"/>
      <c r="BB47" s="51"/>
      <c r="BC47" s="51"/>
      <c r="BD47" s="52"/>
    </row>
    <row r="48" spans="1:56" ht="15" customHeight="1">
      <c r="A48" s="37" t="str">
        <f>IF(B48="","",COUNTA($B$8:B48))</f>
        <v/>
      </c>
      <c r="B48" s="17"/>
      <c r="C48" s="18"/>
      <c r="D48" s="18"/>
      <c r="E48" s="18"/>
      <c r="F48" s="18"/>
      <c r="G48" s="18"/>
      <c r="H48" s="18"/>
      <c r="I48" s="19"/>
      <c r="J48" s="20"/>
      <c r="K48" s="20"/>
      <c r="L48" s="20"/>
      <c r="M48" s="20"/>
      <c r="N48" s="20"/>
      <c r="O48" s="20"/>
      <c r="P48" s="20"/>
      <c r="Q48" s="20"/>
      <c r="R48" s="17"/>
      <c r="S48" s="18"/>
      <c r="T48" s="18"/>
      <c r="U48" s="18"/>
      <c r="V48" s="18"/>
      <c r="W48" s="18"/>
      <c r="X48" s="18"/>
      <c r="Y48" s="17"/>
      <c r="Z48" s="28"/>
      <c r="AA48" s="21"/>
      <c r="AB48" s="22"/>
      <c r="AC48" s="29"/>
      <c r="AD48" s="38"/>
      <c r="AE48" s="30"/>
      <c r="AF48" s="30"/>
      <c r="AG48" s="30"/>
      <c r="AH48" s="30"/>
      <c r="AI48" s="30"/>
      <c r="AJ48" s="30"/>
      <c r="AK48" s="30"/>
      <c r="AL48" s="30"/>
      <c r="AM48" s="30"/>
      <c r="AN48" s="30"/>
      <c r="AO48" s="31"/>
      <c r="AP48" s="31"/>
      <c r="AQ48" s="31"/>
      <c r="AR48" s="31"/>
      <c r="AS48" s="32"/>
      <c r="AT48" s="33"/>
      <c r="AU48" s="51"/>
      <c r="AV48" s="51"/>
      <c r="AW48" s="51"/>
      <c r="AX48" s="51"/>
      <c r="AY48" s="51"/>
      <c r="AZ48" s="51"/>
      <c r="BA48" s="51"/>
      <c r="BB48" s="51"/>
      <c r="BC48" s="51"/>
      <c r="BD48" s="52"/>
    </row>
    <row r="49" spans="1:56" ht="15" customHeight="1">
      <c r="A49" s="37" t="str">
        <f>IF(B49="","",COUNTA($B$8:B49))</f>
        <v/>
      </c>
      <c r="B49" s="17"/>
      <c r="C49" s="18"/>
      <c r="D49" s="18"/>
      <c r="E49" s="18"/>
      <c r="F49" s="18"/>
      <c r="G49" s="18"/>
      <c r="H49" s="18"/>
      <c r="I49" s="19"/>
      <c r="J49" s="20"/>
      <c r="K49" s="20"/>
      <c r="L49" s="20"/>
      <c r="M49" s="20"/>
      <c r="N49" s="20"/>
      <c r="O49" s="20"/>
      <c r="P49" s="20"/>
      <c r="Q49" s="20"/>
      <c r="R49" s="17"/>
      <c r="S49" s="18"/>
      <c r="T49" s="18"/>
      <c r="U49" s="18"/>
      <c r="V49" s="18"/>
      <c r="W49" s="18"/>
      <c r="X49" s="18"/>
      <c r="Y49" s="17"/>
      <c r="Z49" s="28"/>
      <c r="AA49" s="21"/>
      <c r="AB49" s="22"/>
      <c r="AC49" s="29"/>
      <c r="AD49" s="38"/>
      <c r="AE49" s="30"/>
      <c r="AF49" s="30"/>
      <c r="AG49" s="30"/>
      <c r="AH49" s="30"/>
      <c r="AI49" s="30"/>
      <c r="AJ49" s="30"/>
      <c r="AK49" s="30"/>
      <c r="AL49" s="30"/>
      <c r="AM49" s="30"/>
      <c r="AN49" s="30"/>
      <c r="AO49" s="31"/>
      <c r="AP49" s="31"/>
      <c r="AQ49" s="31"/>
      <c r="AR49" s="31"/>
      <c r="AS49" s="32"/>
      <c r="AT49" s="33"/>
      <c r="AU49" s="51"/>
      <c r="AV49" s="51"/>
      <c r="AW49" s="51"/>
      <c r="AX49" s="51"/>
      <c r="AY49" s="51"/>
      <c r="AZ49" s="51"/>
      <c r="BA49" s="51"/>
      <c r="BB49" s="51"/>
      <c r="BC49" s="51"/>
      <c r="BD49" s="52"/>
    </row>
    <row r="50" spans="1:56" ht="15" customHeight="1">
      <c r="A50" s="37" t="str">
        <f>IF(B50="","",COUNTA($B$8:B50))</f>
        <v/>
      </c>
      <c r="B50" s="17"/>
      <c r="C50" s="18"/>
      <c r="D50" s="18"/>
      <c r="E50" s="18"/>
      <c r="F50" s="18"/>
      <c r="G50" s="18"/>
      <c r="H50" s="18"/>
      <c r="I50" s="19"/>
      <c r="J50" s="20"/>
      <c r="K50" s="20"/>
      <c r="L50" s="20"/>
      <c r="M50" s="20"/>
      <c r="N50" s="20"/>
      <c r="O50" s="20"/>
      <c r="P50" s="20"/>
      <c r="Q50" s="20"/>
      <c r="R50" s="17"/>
      <c r="S50" s="18"/>
      <c r="T50" s="18"/>
      <c r="U50" s="18"/>
      <c r="V50" s="18"/>
      <c r="W50" s="18"/>
      <c r="X50" s="18"/>
      <c r="Y50" s="17"/>
      <c r="Z50" s="28"/>
      <c r="AA50" s="21"/>
      <c r="AB50" s="22"/>
      <c r="AC50" s="29"/>
      <c r="AD50" s="38"/>
      <c r="AE50" s="30"/>
      <c r="AF50" s="30"/>
      <c r="AG50" s="30"/>
      <c r="AH50" s="30"/>
      <c r="AI50" s="30"/>
      <c r="AJ50" s="30"/>
      <c r="AK50" s="30"/>
      <c r="AL50" s="30"/>
      <c r="AM50" s="30"/>
      <c r="AN50" s="30"/>
      <c r="AO50" s="31"/>
      <c r="AP50" s="31"/>
      <c r="AQ50" s="31"/>
      <c r="AR50" s="31"/>
      <c r="AS50" s="32"/>
      <c r="AT50" s="33"/>
      <c r="AU50" s="51"/>
      <c r="AV50" s="51"/>
      <c r="AW50" s="51"/>
      <c r="AX50" s="51"/>
      <c r="AY50" s="51"/>
      <c r="AZ50" s="51"/>
      <c r="BA50" s="51"/>
      <c r="BB50" s="51"/>
      <c r="BC50" s="51"/>
      <c r="BD50" s="52"/>
    </row>
    <row r="51" spans="1:56" ht="15" customHeight="1">
      <c r="A51" s="37" t="str">
        <f>IF(B51="","",COUNTA($B$8:B51))</f>
        <v/>
      </c>
      <c r="B51" s="17"/>
      <c r="C51" s="18"/>
      <c r="D51" s="18"/>
      <c r="E51" s="18"/>
      <c r="F51" s="18"/>
      <c r="G51" s="18"/>
      <c r="H51" s="18"/>
      <c r="I51" s="19"/>
      <c r="J51" s="20"/>
      <c r="K51" s="20"/>
      <c r="L51" s="20"/>
      <c r="M51" s="20"/>
      <c r="N51" s="20"/>
      <c r="O51" s="20"/>
      <c r="P51" s="20"/>
      <c r="Q51" s="20"/>
      <c r="R51" s="17"/>
      <c r="S51" s="18"/>
      <c r="T51" s="18"/>
      <c r="U51" s="18"/>
      <c r="V51" s="18"/>
      <c r="W51" s="18"/>
      <c r="X51" s="18"/>
      <c r="Y51" s="17"/>
      <c r="Z51" s="28"/>
      <c r="AA51" s="21"/>
      <c r="AB51" s="22"/>
      <c r="AC51" s="29"/>
      <c r="AD51" s="38"/>
      <c r="AE51" s="30"/>
      <c r="AF51" s="30"/>
      <c r="AG51" s="30"/>
      <c r="AH51" s="30"/>
      <c r="AI51" s="30"/>
      <c r="AJ51" s="30"/>
      <c r="AK51" s="30"/>
      <c r="AL51" s="30"/>
      <c r="AM51" s="30"/>
      <c r="AN51" s="30"/>
      <c r="AO51" s="31"/>
      <c r="AP51" s="31"/>
      <c r="AQ51" s="31"/>
      <c r="AR51" s="31"/>
      <c r="AS51" s="32"/>
      <c r="AT51" s="33"/>
      <c r="AU51" s="51"/>
      <c r="AV51" s="51"/>
      <c r="AW51" s="51"/>
      <c r="AX51" s="51"/>
      <c r="AY51" s="51"/>
      <c r="AZ51" s="51"/>
      <c r="BA51" s="51"/>
      <c r="BB51" s="51"/>
      <c r="BC51" s="51"/>
      <c r="BD51" s="52"/>
    </row>
    <row r="52" spans="1:56" ht="15" customHeight="1">
      <c r="A52" s="37" t="str">
        <f>IF(B52="","",COUNTA($B$8:B52))</f>
        <v/>
      </c>
      <c r="B52" s="17"/>
      <c r="C52" s="18"/>
      <c r="D52" s="18"/>
      <c r="E52" s="18"/>
      <c r="F52" s="18"/>
      <c r="G52" s="18"/>
      <c r="H52" s="18"/>
      <c r="I52" s="19"/>
      <c r="J52" s="20"/>
      <c r="K52" s="20"/>
      <c r="L52" s="20"/>
      <c r="M52" s="20"/>
      <c r="N52" s="20"/>
      <c r="O52" s="20"/>
      <c r="P52" s="20"/>
      <c r="Q52" s="20"/>
      <c r="R52" s="17"/>
      <c r="S52" s="18"/>
      <c r="T52" s="18"/>
      <c r="U52" s="18"/>
      <c r="V52" s="18"/>
      <c r="W52" s="18"/>
      <c r="X52" s="18"/>
      <c r="Y52" s="17"/>
      <c r="Z52" s="28"/>
      <c r="AA52" s="21"/>
      <c r="AB52" s="22"/>
      <c r="AC52" s="29"/>
      <c r="AD52" s="38"/>
      <c r="AE52" s="30"/>
      <c r="AF52" s="30"/>
      <c r="AG52" s="30"/>
      <c r="AH52" s="30"/>
      <c r="AI52" s="30"/>
      <c r="AJ52" s="30"/>
      <c r="AK52" s="30"/>
      <c r="AL52" s="30"/>
      <c r="AM52" s="30"/>
      <c r="AN52" s="30"/>
      <c r="AO52" s="31"/>
      <c r="AP52" s="31"/>
      <c r="AQ52" s="31"/>
      <c r="AR52" s="31"/>
      <c r="AS52" s="32"/>
      <c r="AT52" s="33"/>
      <c r="AU52" s="51"/>
      <c r="AV52" s="51"/>
      <c r="AW52" s="51"/>
      <c r="AX52" s="51"/>
      <c r="AY52" s="51"/>
      <c r="AZ52" s="51"/>
      <c r="BA52" s="51"/>
      <c r="BB52" s="51"/>
      <c r="BC52" s="51"/>
      <c r="BD52" s="52"/>
    </row>
    <row r="53" spans="1:56" ht="15" customHeight="1">
      <c r="A53" s="37" t="str">
        <f>IF(B53="","",COUNTA($B$8:B53))</f>
        <v/>
      </c>
      <c r="B53" s="17"/>
      <c r="C53" s="18"/>
      <c r="D53" s="18"/>
      <c r="E53" s="18"/>
      <c r="F53" s="18"/>
      <c r="G53" s="18"/>
      <c r="H53" s="18"/>
      <c r="I53" s="19"/>
      <c r="J53" s="20"/>
      <c r="K53" s="20"/>
      <c r="L53" s="20"/>
      <c r="M53" s="20"/>
      <c r="N53" s="20"/>
      <c r="O53" s="20"/>
      <c r="P53" s="20"/>
      <c r="Q53" s="20"/>
      <c r="R53" s="17"/>
      <c r="S53" s="18"/>
      <c r="T53" s="18"/>
      <c r="U53" s="18"/>
      <c r="V53" s="18"/>
      <c r="W53" s="18"/>
      <c r="X53" s="18"/>
      <c r="Y53" s="17"/>
      <c r="Z53" s="28"/>
      <c r="AA53" s="21"/>
      <c r="AB53" s="22"/>
      <c r="AC53" s="29"/>
      <c r="AD53" s="38"/>
      <c r="AE53" s="30"/>
      <c r="AF53" s="30"/>
      <c r="AG53" s="30"/>
      <c r="AH53" s="30"/>
      <c r="AI53" s="30"/>
      <c r="AJ53" s="30"/>
      <c r="AK53" s="30"/>
      <c r="AL53" s="30"/>
      <c r="AM53" s="30"/>
      <c r="AN53" s="30"/>
      <c r="AO53" s="31"/>
      <c r="AP53" s="31"/>
      <c r="AQ53" s="31"/>
      <c r="AR53" s="31"/>
      <c r="AS53" s="32"/>
      <c r="AT53" s="33"/>
      <c r="AU53" s="51"/>
      <c r="AV53" s="51"/>
      <c r="AW53" s="51"/>
      <c r="AX53" s="51"/>
      <c r="AY53" s="51"/>
      <c r="AZ53" s="51"/>
      <c r="BA53" s="51"/>
      <c r="BB53" s="51"/>
      <c r="BC53" s="51"/>
      <c r="BD53" s="52"/>
    </row>
    <row r="54" spans="1:56" ht="15" customHeight="1">
      <c r="A54" s="37" t="str">
        <f>IF(B54="","",COUNTA($B$8:B54))</f>
        <v/>
      </c>
      <c r="B54" s="17"/>
      <c r="C54" s="18"/>
      <c r="D54" s="18"/>
      <c r="E54" s="18"/>
      <c r="F54" s="18"/>
      <c r="G54" s="18"/>
      <c r="H54" s="18"/>
      <c r="I54" s="19"/>
      <c r="J54" s="20"/>
      <c r="K54" s="20"/>
      <c r="L54" s="20"/>
      <c r="M54" s="20"/>
      <c r="N54" s="20"/>
      <c r="O54" s="20"/>
      <c r="P54" s="20"/>
      <c r="Q54" s="20"/>
      <c r="R54" s="17"/>
      <c r="S54" s="18"/>
      <c r="T54" s="18"/>
      <c r="U54" s="18"/>
      <c r="V54" s="18"/>
      <c r="W54" s="18"/>
      <c r="X54" s="18"/>
      <c r="Y54" s="17"/>
      <c r="Z54" s="28"/>
      <c r="AA54" s="21"/>
      <c r="AB54" s="22"/>
      <c r="AC54" s="29"/>
      <c r="AD54" s="38"/>
      <c r="AE54" s="30"/>
      <c r="AF54" s="30"/>
      <c r="AG54" s="30"/>
      <c r="AH54" s="30"/>
      <c r="AI54" s="30"/>
      <c r="AJ54" s="30"/>
      <c r="AK54" s="30"/>
      <c r="AL54" s="30"/>
      <c r="AM54" s="30"/>
      <c r="AN54" s="30"/>
      <c r="AO54" s="31"/>
      <c r="AP54" s="31"/>
      <c r="AQ54" s="31"/>
      <c r="AR54" s="31"/>
      <c r="AS54" s="32"/>
      <c r="AT54" s="33"/>
      <c r="AU54" s="51"/>
      <c r="AV54" s="51"/>
      <c r="AW54" s="51"/>
      <c r="AX54" s="51"/>
      <c r="AY54" s="51"/>
      <c r="AZ54" s="51"/>
      <c r="BA54" s="51"/>
      <c r="BB54" s="51"/>
      <c r="BC54" s="51"/>
      <c r="BD54" s="52"/>
    </row>
    <row r="55" spans="1:56" ht="15" customHeight="1">
      <c r="A55" s="37" t="str">
        <f>IF(B55="","",COUNTA($B$8:B55))</f>
        <v/>
      </c>
      <c r="B55" s="17"/>
      <c r="C55" s="18"/>
      <c r="D55" s="18"/>
      <c r="E55" s="18"/>
      <c r="F55" s="18"/>
      <c r="G55" s="18"/>
      <c r="H55" s="18"/>
      <c r="I55" s="19"/>
      <c r="J55" s="20"/>
      <c r="K55" s="20"/>
      <c r="L55" s="20"/>
      <c r="M55" s="20"/>
      <c r="N55" s="20"/>
      <c r="O55" s="20"/>
      <c r="P55" s="20"/>
      <c r="Q55" s="20"/>
      <c r="R55" s="17"/>
      <c r="S55" s="18"/>
      <c r="T55" s="18"/>
      <c r="U55" s="18"/>
      <c r="V55" s="18"/>
      <c r="W55" s="18"/>
      <c r="X55" s="18"/>
      <c r="Y55" s="17"/>
      <c r="Z55" s="28"/>
      <c r="AA55" s="21"/>
      <c r="AB55" s="22"/>
      <c r="AC55" s="29"/>
      <c r="AD55" s="38"/>
      <c r="AE55" s="30"/>
      <c r="AF55" s="30"/>
      <c r="AG55" s="30"/>
      <c r="AH55" s="30"/>
      <c r="AI55" s="30"/>
      <c r="AJ55" s="30"/>
      <c r="AK55" s="30"/>
      <c r="AL55" s="30"/>
      <c r="AM55" s="30"/>
      <c r="AN55" s="30"/>
      <c r="AO55" s="31"/>
      <c r="AP55" s="31"/>
      <c r="AQ55" s="31"/>
      <c r="AR55" s="31"/>
      <c r="AS55" s="32"/>
      <c r="AT55" s="33"/>
      <c r="AU55" s="51"/>
      <c r="AV55" s="51"/>
      <c r="AW55" s="51"/>
      <c r="AX55" s="51"/>
      <c r="AY55" s="51"/>
      <c r="AZ55" s="51"/>
      <c r="BA55" s="51"/>
      <c r="BB55" s="51"/>
      <c r="BC55" s="51"/>
      <c r="BD55" s="52"/>
    </row>
    <row r="56" spans="1:56" ht="15" customHeight="1">
      <c r="A56" s="37" t="str">
        <f>IF(B56="","",COUNTA($B$8:B56))</f>
        <v/>
      </c>
      <c r="B56" s="17"/>
      <c r="C56" s="18"/>
      <c r="D56" s="18"/>
      <c r="E56" s="18"/>
      <c r="F56" s="18"/>
      <c r="G56" s="18"/>
      <c r="H56" s="18"/>
      <c r="I56" s="19"/>
      <c r="J56" s="20"/>
      <c r="K56" s="20"/>
      <c r="L56" s="20"/>
      <c r="M56" s="20"/>
      <c r="N56" s="20"/>
      <c r="O56" s="20"/>
      <c r="P56" s="20"/>
      <c r="Q56" s="20"/>
      <c r="R56" s="17"/>
      <c r="S56" s="18"/>
      <c r="T56" s="18"/>
      <c r="U56" s="18"/>
      <c r="V56" s="18"/>
      <c r="W56" s="18"/>
      <c r="X56" s="18"/>
      <c r="Y56" s="17"/>
      <c r="Z56" s="28"/>
      <c r="AA56" s="21"/>
      <c r="AB56" s="22"/>
      <c r="AC56" s="29"/>
      <c r="AD56" s="38"/>
      <c r="AE56" s="30"/>
      <c r="AF56" s="30"/>
      <c r="AG56" s="30"/>
      <c r="AH56" s="30"/>
      <c r="AI56" s="30"/>
      <c r="AJ56" s="30"/>
      <c r="AK56" s="30"/>
      <c r="AL56" s="30"/>
      <c r="AM56" s="30"/>
      <c r="AN56" s="30"/>
      <c r="AO56" s="31"/>
      <c r="AP56" s="31"/>
      <c r="AQ56" s="31"/>
      <c r="AR56" s="31"/>
      <c r="AS56" s="32"/>
      <c r="AT56" s="33"/>
      <c r="AU56" s="51"/>
      <c r="AV56" s="51"/>
      <c r="AW56" s="51"/>
      <c r="AX56" s="51"/>
      <c r="AY56" s="51"/>
      <c r="AZ56" s="51"/>
      <c r="BA56" s="51"/>
      <c r="BB56" s="51"/>
      <c r="BC56" s="51"/>
      <c r="BD56" s="52"/>
    </row>
    <row r="57" spans="1:56" ht="15" customHeight="1">
      <c r="A57" s="37" t="str">
        <f>IF(B57="","",COUNTA($B$8:B57))</f>
        <v/>
      </c>
      <c r="B57" s="17"/>
      <c r="C57" s="18"/>
      <c r="D57" s="18"/>
      <c r="E57" s="18"/>
      <c r="F57" s="18"/>
      <c r="G57" s="18"/>
      <c r="H57" s="18"/>
      <c r="I57" s="19"/>
      <c r="J57" s="20"/>
      <c r="K57" s="20"/>
      <c r="L57" s="20"/>
      <c r="M57" s="20"/>
      <c r="N57" s="20"/>
      <c r="O57" s="20"/>
      <c r="P57" s="20"/>
      <c r="Q57" s="20"/>
      <c r="R57" s="17"/>
      <c r="S57" s="18"/>
      <c r="T57" s="18"/>
      <c r="U57" s="18"/>
      <c r="V57" s="18"/>
      <c r="W57" s="18"/>
      <c r="X57" s="18"/>
      <c r="Y57" s="17"/>
      <c r="Z57" s="28"/>
      <c r="AA57" s="21"/>
      <c r="AB57" s="22"/>
      <c r="AC57" s="29"/>
      <c r="AD57" s="38"/>
      <c r="AE57" s="30"/>
      <c r="AF57" s="30"/>
      <c r="AG57" s="30"/>
      <c r="AH57" s="30"/>
      <c r="AI57" s="30"/>
      <c r="AJ57" s="30"/>
      <c r="AK57" s="30"/>
      <c r="AL57" s="30"/>
      <c r="AM57" s="30"/>
      <c r="AN57" s="30"/>
      <c r="AO57" s="31"/>
      <c r="AP57" s="31"/>
      <c r="AQ57" s="31"/>
      <c r="AR57" s="31"/>
      <c r="AS57" s="32"/>
      <c r="AT57" s="33"/>
      <c r="AU57" s="51"/>
      <c r="AV57" s="51"/>
      <c r="AW57" s="51"/>
      <c r="AX57" s="51"/>
      <c r="AY57" s="51"/>
      <c r="AZ57" s="51"/>
      <c r="BA57" s="51"/>
      <c r="BB57" s="51"/>
      <c r="BC57" s="51"/>
      <c r="BD57" s="52"/>
    </row>
    <row r="58" spans="1:56" ht="15" customHeight="1">
      <c r="A58" s="37" t="str">
        <f>IF(B58="","",COUNTA($B$8:B58))</f>
        <v/>
      </c>
      <c r="B58" s="26"/>
      <c r="C58" s="34"/>
      <c r="D58" s="34"/>
      <c r="E58" s="34"/>
      <c r="F58" s="34"/>
      <c r="G58" s="34"/>
      <c r="H58" s="34"/>
      <c r="I58" s="19"/>
      <c r="J58" s="27"/>
      <c r="K58" s="27"/>
      <c r="L58" s="27"/>
      <c r="M58" s="27"/>
      <c r="N58" s="27"/>
      <c r="O58" s="27"/>
      <c r="P58" s="27"/>
      <c r="Q58" s="27"/>
      <c r="R58" s="26"/>
      <c r="S58" s="34"/>
      <c r="T58" s="34"/>
      <c r="U58" s="34"/>
      <c r="V58" s="34"/>
      <c r="W58" s="34"/>
      <c r="X58" s="34"/>
      <c r="Y58" s="589"/>
      <c r="Z58" s="590"/>
      <c r="AA58" s="591"/>
      <c r="AB58" s="592"/>
      <c r="AC58" s="593"/>
      <c r="AD58" s="38"/>
      <c r="AE58" s="25"/>
      <c r="AF58" s="25"/>
      <c r="AG58" s="25"/>
      <c r="AH58" s="25"/>
      <c r="AI58" s="25"/>
      <c r="AJ58" s="25"/>
      <c r="AK58" s="25"/>
      <c r="AL58" s="25"/>
      <c r="AM58" s="25"/>
      <c r="AN58" s="25"/>
      <c r="AO58" s="25"/>
      <c r="AP58" s="25"/>
      <c r="AQ58" s="25"/>
      <c r="AR58" s="25"/>
      <c r="AS58" s="26"/>
      <c r="AT58" s="51"/>
      <c r="AU58" s="51"/>
      <c r="AV58" s="51"/>
      <c r="AW58" s="51"/>
      <c r="AX58" s="51"/>
      <c r="AY58" s="51"/>
      <c r="AZ58" s="51"/>
      <c r="BA58" s="51"/>
      <c r="BB58" s="51"/>
      <c r="BC58" s="51"/>
      <c r="BD58" s="52"/>
    </row>
  </sheetData>
  <mergeCells count="64">
    <mergeCell ref="A1:H4"/>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6:A7"/>
    <mergeCell ref="B6:H7"/>
    <mergeCell ref="I6:Q7"/>
    <mergeCell ref="R6:X7"/>
    <mergeCell ref="Y6:Z7"/>
    <mergeCell ref="AZ4:BD4"/>
    <mergeCell ref="AG6:AG7"/>
    <mergeCell ref="AH6:AH7"/>
    <mergeCell ref="AI6:AR6"/>
    <mergeCell ref="Y9:Z9"/>
    <mergeCell ref="AA9:AC9"/>
    <mergeCell ref="AA6:AC7"/>
    <mergeCell ref="AD6:AD7"/>
    <mergeCell ref="AE6:AE7"/>
    <mergeCell ref="AF6:AF7"/>
    <mergeCell ref="AP4:AT4"/>
    <mergeCell ref="AU4:AY4"/>
    <mergeCell ref="Y10:Z10"/>
    <mergeCell ref="AA10:AC10"/>
    <mergeCell ref="Y8:Z8"/>
    <mergeCell ref="AA8:AC8"/>
    <mergeCell ref="AS6:BD7"/>
    <mergeCell ref="Y13:Z13"/>
    <mergeCell ref="AA13:AC13"/>
    <mergeCell ref="Y12:Z12"/>
    <mergeCell ref="AA12:AC12"/>
    <mergeCell ref="Y11:Z11"/>
    <mergeCell ref="AA11:AC11"/>
    <mergeCell ref="Y58:Z58"/>
    <mergeCell ref="AA58:AC58"/>
    <mergeCell ref="Y19:Z19"/>
    <mergeCell ref="AA19:AC19"/>
    <mergeCell ref="Y20:Z20"/>
    <mergeCell ref="AA20:AC20"/>
    <mergeCell ref="Y21:Z21"/>
    <mergeCell ref="AA21:AC21"/>
    <mergeCell ref="Y14:Z14"/>
    <mergeCell ref="AA14:AC14"/>
    <mergeCell ref="Y15:Z15"/>
    <mergeCell ref="AA15:AC15"/>
    <mergeCell ref="Y22:Z22"/>
    <mergeCell ref="AA22:AC22"/>
    <mergeCell ref="Y17:Z17"/>
    <mergeCell ref="AA17:AC17"/>
    <mergeCell ref="Y18:Z18"/>
    <mergeCell ref="AA18:AC18"/>
    <mergeCell ref="Y16:Z16"/>
    <mergeCell ref="AA16:AC16"/>
  </mergeCells>
  <phoneticPr fontId="12"/>
  <dataValidations count="3">
    <dataValidation imeMode="hiragana" allowBlank="1" showInputMessage="1" showErrorMessage="1" sqref="JG65533:JR65535 TC65533:TN65535 ACY65533:ADJ65535 AMU65533:ANF65535 AWQ65533:AXB65535 BGM65533:BGX65535 BQI65533:BQT65535 CAE65533:CAP65535 CKA65533:CKL65535 CTW65533:CUH65535 DDS65533:DED65535 DNO65533:DNZ65535 DXK65533:DXV65535 EHG65533:EHR65535 ERC65533:ERN65535 FAY65533:FBJ65535 FKU65533:FLF65535 FUQ65533:FVB65535 GEM65533:GEX65535 GOI65533:GOT65535 GYE65533:GYP65535 HIA65533:HIL65535 HRW65533:HSH65535 IBS65533:ICD65535 ILO65533:ILZ65535 IVK65533:IVV65535 JFG65533:JFR65535 JPC65533:JPN65535 JYY65533:JZJ65535 KIU65533:KJF65535 KSQ65533:KTB65535 LCM65533:LCX65535 LMI65533:LMT65535 LWE65533:LWP65535 MGA65533:MGL65535 MPW65533:MQH65535 MZS65533:NAD65535 NJO65533:NJZ65535 NTK65533:NTV65535 ODG65533:ODR65535 ONC65533:ONN65535 OWY65533:OXJ65535 PGU65533:PHF65535 PQQ65533:PRB65535 QAM65533:QAX65535 QKI65533:QKT65535 QUE65533:QUP65535 REA65533:REL65535 RNW65533:ROH65535 RXS65533:RYD65535 SHO65533:SHZ65535 SRK65533:SRV65535 TBG65533:TBR65535 TLC65533:TLN65535 TUY65533:TVJ65535 UEU65533:UFF65535 UOQ65533:UPB65535 UYM65533:UYX65535 VII65533:VIT65535 VSE65533:VSP65535 WCA65533:WCL65535 WLW65533:WMH65535 WVS65533:WWD65535 JG131069:JR131071 TC131069:TN131071 ACY131069:ADJ131071 AMU131069:ANF131071 AWQ131069:AXB131071 BGM131069:BGX131071 BQI131069:BQT131071 CAE131069:CAP131071 CKA131069:CKL131071 CTW131069:CUH131071 DDS131069:DED131071 DNO131069:DNZ131071 DXK131069:DXV131071 EHG131069:EHR131071 ERC131069:ERN131071 FAY131069:FBJ131071 FKU131069:FLF131071 FUQ131069:FVB131071 GEM131069:GEX131071 GOI131069:GOT131071 GYE131069:GYP131071 HIA131069:HIL131071 HRW131069:HSH131071 IBS131069:ICD131071 ILO131069:ILZ131071 IVK131069:IVV131071 JFG131069:JFR131071 JPC131069:JPN131071 JYY131069:JZJ131071 KIU131069:KJF131071 KSQ131069:KTB131071 LCM131069:LCX131071 LMI131069:LMT131071 LWE131069:LWP131071 MGA131069:MGL131071 MPW131069:MQH131071 MZS131069:NAD131071 NJO131069:NJZ131071 NTK131069:NTV131071 ODG131069:ODR131071 ONC131069:ONN131071 OWY131069:OXJ131071 PGU131069:PHF131071 PQQ131069:PRB131071 QAM131069:QAX131071 QKI131069:QKT131071 QUE131069:QUP131071 REA131069:REL131071 RNW131069:ROH131071 RXS131069:RYD131071 SHO131069:SHZ131071 SRK131069:SRV131071 TBG131069:TBR131071 TLC131069:TLN131071 TUY131069:TVJ131071 UEU131069:UFF131071 UOQ131069:UPB131071 UYM131069:UYX131071 VII131069:VIT131071 VSE131069:VSP131071 WCA131069:WCL131071 WLW131069:WMH131071 WVS131069:WWD131071 JG196605:JR196607 TC196605:TN196607 ACY196605:ADJ196607 AMU196605:ANF196607 AWQ196605:AXB196607 BGM196605:BGX196607 BQI196605:BQT196607 CAE196605:CAP196607 CKA196605:CKL196607 CTW196605:CUH196607 DDS196605:DED196607 DNO196605:DNZ196607 DXK196605:DXV196607 EHG196605:EHR196607 ERC196605:ERN196607 FAY196605:FBJ196607 FKU196605:FLF196607 FUQ196605:FVB196607 GEM196605:GEX196607 GOI196605:GOT196607 GYE196605:GYP196607 HIA196605:HIL196607 HRW196605:HSH196607 IBS196605:ICD196607 ILO196605:ILZ196607 IVK196605:IVV196607 JFG196605:JFR196607 JPC196605:JPN196607 JYY196605:JZJ196607 KIU196605:KJF196607 KSQ196605:KTB196607 LCM196605:LCX196607 LMI196605:LMT196607 LWE196605:LWP196607 MGA196605:MGL196607 MPW196605:MQH196607 MZS196605:NAD196607 NJO196605:NJZ196607 NTK196605:NTV196607 ODG196605:ODR196607 ONC196605:ONN196607 OWY196605:OXJ196607 PGU196605:PHF196607 PQQ196605:PRB196607 QAM196605:QAX196607 QKI196605:QKT196607 QUE196605:QUP196607 REA196605:REL196607 RNW196605:ROH196607 RXS196605:RYD196607 SHO196605:SHZ196607 SRK196605:SRV196607 TBG196605:TBR196607 TLC196605:TLN196607 TUY196605:TVJ196607 UEU196605:UFF196607 UOQ196605:UPB196607 UYM196605:UYX196607 VII196605:VIT196607 VSE196605:VSP196607 WCA196605:WCL196607 WLW196605:WMH196607 WVS196605:WWD196607 JG262141:JR262143 TC262141:TN262143 ACY262141:ADJ262143 AMU262141:ANF262143 AWQ262141:AXB262143 BGM262141:BGX262143 BQI262141:BQT262143 CAE262141:CAP262143 CKA262141:CKL262143 CTW262141:CUH262143 DDS262141:DED262143 DNO262141:DNZ262143 DXK262141:DXV262143 EHG262141:EHR262143 ERC262141:ERN262143 FAY262141:FBJ262143 FKU262141:FLF262143 FUQ262141:FVB262143 GEM262141:GEX262143 GOI262141:GOT262143 GYE262141:GYP262143 HIA262141:HIL262143 HRW262141:HSH262143 IBS262141:ICD262143 ILO262141:ILZ262143 IVK262141:IVV262143 JFG262141:JFR262143 JPC262141:JPN262143 JYY262141:JZJ262143 KIU262141:KJF262143 KSQ262141:KTB262143 LCM262141:LCX262143 LMI262141:LMT262143 LWE262141:LWP262143 MGA262141:MGL262143 MPW262141:MQH262143 MZS262141:NAD262143 NJO262141:NJZ262143 NTK262141:NTV262143 ODG262141:ODR262143 ONC262141:ONN262143 OWY262141:OXJ262143 PGU262141:PHF262143 PQQ262141:PRB262143 QAM262141:QAX262143 QKI262141:QKT262143 QUE262141:QUP262143 REA262141:REL262143 RNW262141:ROH262143 RXS262141:RYD262143 SHO262141:SHZ262143 SRK262141:SRV262143 TBG262141:TBR262143 TLC262141:TLN262143 TUY262141:TVJ262143 UEU262141:UFF262143 UOQ262141:UPB262143 UYM262141:UYX262143 VII262141:VIT262143 VSE262141:VSP262143 WCA262141:WCL262143 WLW262141:WMH262143 WVS262141:WWD262143 JG327677:JR327679 TC327677:TN327679 ACY327677:ADJ327679 AMU327677:ANF327679 AWQ327677:AXB327679 BGM327677:BGX327679 BQI327677:BQT327679 CAE327677:CAP327679 CKA327677:CKL327679 CTW327677:CUH327679 DDS327677:DED327679 DNO327677:DNZ327679 DXK327677:DXV327679 EHG327677:EHR327679 ERC327677:ERN327679 FAY327677:FBJ327679 FKU327677:FLF327679 FUQ327677:FVB327679 GEM327677:GEX327679 GOI327677:GOT327679 GYE327677:GYP327679 HIA327677:HIL327679 HRW327677:HSH327679 IBS327677:ICD327679 ILO327677:ILZ327679 IVK327677:IVV327679 JFG327677:JFR327679 JPC327677:JPN327679 JYY327677:JZJ327679 KIU327677:KJF327679 KSQ327677:KTB327679 LCM327677:LCX327679 LMI327677:LMT327679 LWE327677:LWP327679 MGA327677:MGL327679 MPW327677:MQH327679 MZS327677:NAD327679 NJO327677:NJZ327679 NTK327677:NTV327679 ODG327677:ODR327679 ONC327677:ONN327679 OWY327677:OXJ327679 PGU327677:PHF327679 PQQ327677:PRB327679 QAM327677:QAX327679 QKI327677:QKT327679 QUE327677:QUP327679 REA327677:REL327679 RNW327677:ROH327679 RXS327677:RYD327679 SHO327677:SHZ327679 SRK327677:SRV327679 TBG327677:TBR327679 TLC327677:TLN327679 TUY327677:TVJ327679 UEU327677:UFF327679 UOQ327677:UPB327679 UYM327677:UYX327679 VII327677:VIT327679 VSE327677:VSP327679 WCA327677:WCL327679 WLW327677:WMH327679 WVS327677:WWD327679 JG393213:JR393215 TC393213:TN393215 ACY393213:ADJ393215 AMU393213:ANF393215 AWQ393213:AXB393215 BGM393213:BGX393215 BQI393213:BQT393215 CAE393213:CAP393215 CKA393213:CKL393215 CTW393213:CUH393215 DDS393213:DED393215 DNO393213:DNZ393215 DXK393213:DXV393215 EHG393213:EHR393215 ERC393213:ERN393215 FAY393213:FBJ393215 FKU393213:FLF393215 FUQ393213:FVB393215 GEM393213:GEX393215 GOI393213:GOT393215 GYE393213:GYP393215 HIA393213:HIL393215 HRW393213:HSH393215 IBS393213:ICD393215 ILO393213:ILZ393215 IVK393213:IVV393215 JFG393213:JFR393215 JPC393213:JPN393215 JYY393213:JZJ393215 KIU393213:KJF393215 KSQ393213:KTB393215 LCM393213:LCX393215 LMI393213:LMT393215 LWE393213:LWP393215 MGA393213:MGL393215 MPW393213:MQH393215 MZS393213:NAD393215 NJO393213:NJZ393215 NTK393213:NTV393215 ODG393213:ODR393215 ONC393213:ONN393215 OWY393213:OXJ393215 PGU393213:PHF393215 PQQ393213:PRB393215 QAM393213:QAX393215 QKI393213:QKT393215 QUE393213:QUP393215 REA393213:REL393215 RNW393213:ROH393215 RXS393213:RYD393215 SHO393213:SHZ393215 SRK393213:SRV393215 TBG393213:TBR393215 TLC393213:TLN393215 TUY393213:TVJ393215 UEU393213:UFF393215 UOQ393213:UPB393215 UYM393213:UYX393215 VII393213:VIT393215 VSE393213:VSP393215 WCA393213:WCL393215 WLW393213:WMH393215 WVS393213:WWD393215 JG458749:JR458751 TC458749:TN458751 ACY458749:ADJ458751 AMU458749:ANF458751 AWQ458749:AXB458751 BGM458749:BGX458751 BQI458749:BQT458751 CAE458749:CAP458751 CKA458749:CKL458751 CTW458749:CUH458751 DDS458749:DED458751 DNO458749:DNZ458751 DXK458749:DXV458751 EHG458749:EHR458751 ERC458749:ERN458751 FAY458749:FBJ458751 FKU458749:FLF458751 FUQ458749:FVB458751 GEM458749:GEX458751 GOI458749:GOT458751 GYE458749:GYP458751 HIA458749:HIL458751 HRW458749:HSH458751 IBS458749:ICD458751 ILO458749:ILZ458751 IVK458749:IVV458751 JFG458749:JFR458751 JPC458749:JPN458751 JYY458749:JZJ458751 KIU458749:KJF458751 KSQ458749:KTB458751 LCM458749:LCX458751 LMI458749:LMT458751 LWE458749:LWP458751 MGA458749:MGL458751 MPW458749:MQH458751 MZS458749:NAD458751 NJO458749:NJZ458751 NTK458749:NTV458751 ODG458749:ODR458751 ONC458749:ONN458751 OWY458749:OXJ458751 PGU458749:PHF458751 PQQ458749:PRB458751 QAM458749:QAX458751 QKI458749:QKT458751 QUE458749:QUP458751 REA458749:REL458751 RNW458749:ROH458751 RXS458749:RYD458751 SHO458749:SHZ458751 SRK458749:SRV458751 TBG458749:TBR458751 TLC458749:TLN458751 TUY458749:TVJ458751 UEU458749:UFF458751 UOQ458749:UPB458751 UYM458749:UYX458751 VII458749:VIT458751 VSE458749:VSP458751 WCA458749:WCL458751 WLW458749:WMH458751 WVS458749:WWD458751 JG524285:JR524287 TC524285:TN524287 ACY524285:ADJ524287 AMU524285:ANF524287 AWQ524285:AXB524287 BGM524285:BGX524287 BQI524285:BQT524287 CAE524285:CAP524287 CKA524285:CKL524287 CTW524285:CUH524287 DDS524285:DED524287 DNO524285:DNZ524287 DXK524285:DXV524287 EHG524285:EHR524287 ERC524285:ERN524287 FAY524285:FBJ524287 FKU524285:FLF524287 FUQ524285:FVB524287 GEM524285:GEX524287 GOI524285:GOT524287 GYE524285:GYP524287 HIA524285:HIL524287 HRW524285:HSH524287 IBS524285:ICD524287 ILO524285:ILZ524287 IVK524285:IVV524287 JFG524285:JFR524287 JPC524285:JPN524287 JYY524285:JZJ524287 KIU524285:KJF524287 KSQ524285:KTB524287 LCM524285:LCX524287 LMI524285:LMT524287 LWE524285:LWP524287 MGA524285:MGL524287 MPW524285:MQH524287 MZS524285:NAD524287 NJO524285:NJZ524287 NTK524285:NTV524287 ODG524285:ODR524287 ONC524285:ONN524287 OWY524285:OXJ524287 PGU524285:PHF524287 PQQ524285:PRB524287 QAM524285:QAX524287 QKI524285:QKT524287 QUE524285:QUP524287 REA524285:REL524287 RNW524285:ROH524287 RXS524285:RYD524287 SHO524285:SHZ524287 SRK524285:SRV524287 TBG524285:TBR524287 TLC524285:TLN524287 TUY524285:TVJ524287 UEU524285:UFF524287 UOQ524285:UPB524287 UYM524285:UYX524287 VII524285:VIT524287 VSE524285:VSP524287 WCA524285:WCL524287 WLW524285:WMH524287 WVS524285:WWD524287 JG589821:JR589823 TC589821:TN589823 ACY589821:ADJ589823 AMU589821:ANF589823 AWQ589821:AXB589823 BGM589821:BGX589823 BQI589821:BQT589823 CAE589821:CAP589823 CKA589821:CKL589823 CTW589821:CUH589823 DDS589821:DED589823 DNO589821:DNZ589823 DXK589821:DXV589823 EHG589821:EHR589823 ERC589821:ERN589823 FAY589821:FBJ589823 FKU589821:FLF589823 FUQ589821:FVB589823 GEM589821:GEX589823 GOI589821:GOT589823 GYE589821:GYP589823 HIA589821:HIL589823 HRW589821:HSH589823 IBS589821:ICD589823 ILO589821:ILZ589823 IVK589821:IVV589823 JFG589821:JFR589823 JPC589821:JPN589823 JYY589821:JZJ589823 KIU589821:KJF589823 KSQ589821:KTB589823 LCM589821:LCX589823 LMI589821:LMT589823 LWE589821:LWP589823 MGA589821:MGL589823 MPW589821:MQH589823 MZS589821:NAD589823 NJO589821:NJZ589823 NTK589821:NTV589823 ODG589821:ODR589823 ONC589821:ONN589823 OWY589821:OXJ589823 PGU589821:PHF589823 PQQ589821:PRB589823 QAM589821:QAX589823 QKI589821:QKT589823 QUE589821:QUP589823 REA589821:REL589823 RNW589821:ROH589823 RXS589821:RYD589823 SHO589821:SHZ589823 SRK589821:SRV589823 TBG589821:TBR589823 TLC589821:TLN589823 TUY589821:TVJ589823 UEU589821:UFF589823 UOQ589821:UPB589823 UYM589821:UYX589823 VII589821:VIT589823 VSE589821:VSP589823 WCA589821:WCL589823 WLW589821:WMH589823 WVS589821:WWD589823 JG655357:JR655359 TC655357:TN655359 ACY655357:ADJ655359 AMU655357:ANF655359 AWQ655357:AXB655359 BGM655357:BGX655359 BQI655357:BQT655359 CAE655357:CAP655359 CKA655357:CKL655359 CTW655357:CUH655359 DDS655357:DED655359 DNO655357:DNZ655359 DXK655357:DXV655359 EHG655357:EHR655359 ERC655357:ERN655359 FAY655357:FBJ655359 FKU655357:FLF655359 FUQ655357:FVB655359 GEM655357:GEX655359 GOI655357:GOT655359 GYE655357:GYP655359 HIA655357:HIL655359 HRW655357:HSH655359 IBS655357:ICD655359 ILO655357:ILZ655359 IVK655357:IVV655359 JFG655357:JFR655359 JPC655357:JPN655359 JYY655357:JZJ655359 KIU655357:KJF655359 KSQ655357:KTB655359 LCM655357:LCX655359 LMI655357:LMT655359 LWE655357:LWP655359 MGA655357:MGL655359 MPW655357:MQH655359 MZS655357:NAD655359 NJO655357:NJZ655359 NTK655357:NTV655359 ODG655357:ODR655359 ONC655357:ONN655359 OWY655357:OXJ655359 PGU655357:PHF655359 PQQ655357:PRB655359 QAM655357:QAX655359 QKI655357:QKT655359 QUE655357:QUP655359 REA655357:REL655359 RNW655357:ROH655359 RXS655357:RYD655359 SHO655357:SHZ655359 SRK655357:SRV655359 TBG655357:TBR655359 TLC655357:TLN655359 TUY655357:TVJ655359 UEU655357:UFF655359 UOQ655357:UPB655359 UYM655357:UYX655359 VII655357:VIT655359 VSE655357:VSP655359 WCA655357:WCL655359 WLW655357:WMH655359 WVS655357:WWD655359 JG720893:JR720895 TC720893:TN720895 ACY720893:ADJ720895 AMU720893:ANF720895 AWQ720893:AXB720895 BGM720893:BGX720895 BQI720893:BQT720895 CAE720893:CAP720895 CKA720893:CKL720895 CTW720893:CUH720895 DDS720893:DED720895 DNO720893:DNZ720895 DXK720893:DXV720895 EHG720893:EHR720895 ERC720893:ERN720895 FAY720893:FBJ720895 FKU720893:FLF720895 FUQ720893:FVB720895 GEM720893:GEX720895 GOI720893:GOT720895 GYE720893:GYP720895 HIA720893:HIL720895 HRW720893:HSH720895 IBS720893:ICD720895 ILO720893:ILZ720895 IVK720893:IVV720895 JFG720893:JFR720895 JPC720893:JPN720895 JYY720893:JZJ720895 KIU720893:KJF720895 KSQ720893:KTB720895 LCM720893:LCX720895 LMI720893:LMT720895 LWE720893:LWP720895 MGA720893:MGL720895 MPW720893:MQH720895 MZS720893:NAD720895 NJO720893:NJZ720895 NTK720893:NTV720895 ODG720893:ODR720895 ONC720893:ONN720895 OWY720893:OXJ720895 PGU720893:PHF720895 PQQ720893:PRB720895 QAM720893:QAX720895 QKI720893:QKT720895 QUE720893:QUP720895 REA720893:REL720895 RNW720893:ROH720895 RXS720893:RYD720895 SHO720893:SHZ720895 SRK720893:SRV720895 TBG720893:TBR720895 TLC720893:TLN720895 TUY720893:TVJ720895 UEU720893:UFF720895 UOQ720893:UPB720895 UYM720893:UYX720895 VII720893:VIT720895 VSE720893:VSP720895 WCA720893:WCL720895 WLW720893:WMH720895 WVS720893:WWD720895 JG786429:JR786431 TC786429:TN786431 ACY786429:ADJ786431 AMU786429:ANF786431 AWQ786429:AXB786431 BGM786429:BGX786431 BQI786429:BQT786431 CAE786429:CAP786431 CKA786429:CKL786431 CTW786429:CUH786431 DDS786429:DED786431 DNO786429:DNZ786431 DXK786429:DXV786431 EHG786429:EHR786431 ERC786429:ERN786431 FAY786429:FBJ786431 FKU786429:FLF786431 FUQ786429:FVB786431 GEM786429:GEX786431 GOI786429:GOT786431 GYE786429:GYP786431 HIA786429:HIL786431 HRW786429:HSH786431 IBS786429:ICD786431 ILO786429:ILZ786431 IVK786429:IVV786431 JFG786429:JFR786431 JPC786429:JPN786431 JYY786429:JZJ786431 KIU786429:KJF786431 KSQ786429:KTB786431 LCM786429:LCX786431 LMI786429:LMT786431 LWE786429:LWP786431 MGA786429:MGL786431 MPW786429:MQH786431 MZS786429:NAD786431 NJO786429:NJZ786431 NTK786429:NTV786431 ODG786429:ODR786431 ONC786429:ONN786431 OWY786429:OXJ786431 PGU786429:PHF786431 PQQ786429:PRB786431 QAM786429:QAX786431 QKI786429:QKT786431 QUE786429:QUP786431 REA786429:REL786431 RNW786429:ROH786431 RXS786429:RYD786431 SHO786429:SHZ786431 SRK786429:SRV786431 TBG786429:TBR786431 TLC786429:TLN786431 TUY786429:TVJ786431 UEU786429:UFF786431 UOQ786429:UPB786431 UYM786429:UYX786431 VII786429:VIT786431 VSE786429:VSP786431 WCA786429:WCL786431 WLW786429:WMH786431 WVS786429:WWD786431 JG851965:JR851967 TC851965:TN851967 ACY851965:ADJ851967 AMU851965:ANF851967 AWQ851965:AXB851967 BGM851965:BGX851967 BQI851965:BQT851967 CAE851965:CAP851967 CKA851965:CKL851967 CTW851965:CUH851967 DDS851965:DED851967 DNO851965:DNZ851967 DXK851965:DXV851967 EHG851965:EHR851967 ERC851965:ERN851967 FAY851965:FBJ851967 FKU851965:FLF851967 FUQ851965:FVB851967 GEM851965:GEX851967 GOI851965:GOT851967 GYE851965:GYP851967 HIA851965:HIL851967 HRW851965:HSH851967 IBS851965:ICD851967 ILO851965:ILZ851967 IVK851965:IVV851967 JFG851965:JFR851967 JPC851965:JPN851967 JYY851965:JZJ851967 KIU851965:KJF851967 KSQ851965:KTB851967 LCM851965:LCX851967 LMI851965:LMT851967 LWE851965:LWP851967 MGA851965:MGL851967 MPW851965:MQH851967 MZS851965:NAD851967 NJO851965:NJZ851967 NTK851965:NTV851967 ODG851965:ODR851967 ONC851965:ONN851967 OWY851965:OXJ851967 PGU851965:PHF851967 PQQ851965:PRB851967 QAM851965:QAX851967 QKI851965:QKT851967 QUE851965:QUP851967 REA851965:REL851967 RNW851965:ROH851967 RXS851965:RYD851967 SHO851965:SHZ851967 SRK851965:SRV851967 TBG851965:TBR851967 TLC851965:TLN851967 TUY851965:TVJ851967 UEU851965:UFF851967 UOQ851965:UPB851967 UYM851965:UYX851967 VII851965:VIT851967 VSE851965:VSP851967 WCA851965:WCL851967 WLW851965:WMH851967 WVS851965:WWD851967 JG917501:JR917503 TC917501:TN917503 ACY917501:ADJ917503 AMU917501:ANF917503 AWQ917501:AXB917503 BGM917501:BGX917503 BQI917501:BQT917503 CAE917501:CAP917503 CKA917501:CKL917503 CTW917501:CUH917503 DDS917501:DED917503 DNO917501:DNZ917503 DXK917501:DXV917503 EHG917501:EHR917503 ERC917501:ERN917503 FAY917501:FBJ917503 FKU917501:FLF917503 FUQ917501:FVB917503 GEM917501:GEX917503 GOI917501:GOT917503 GYE917501:GYP917503 HIA917501:HIL917503 HRW917501:HSH917503 IBS917501:ICD917503 ILO917501:ILZ917503 IVK917501:IVV917503 JFG917501:JFR917503 JPC917501:JPN917503 JYY917501:JZJ917503 KIU917501:KJF917503 KSQ917501:KTB917503 LCM917501:LCX917503 LMI917501:LMT917503 LWE917501:LWP917503 MGA917501:MGL917503 MPW917501:MQH917503 MZS917501:NAD917503 NJO917501:NJZ917503 NTK917501:NTV917503 ODG917501:ODR917503 ONC917501:ONN917503 OWY917501:OXJ917503 PGU917501:PHF917503 PQQ917501:PRB917503 QAM917501:QAX917503 QKI917501:QKT917503 QUE917501:QUP917503 REA917501:REL917503 RNW917501:ROH917503 RXS917501:RYD917503 SHO917501:SHZ917503 SRK917501:SRV917503 TBG917501:TBR917503 TLC917501:TLN917503 TUY917501:TVJ917503 UEU917501:UFF917503 UOQ917501:UPB917503 UYM917501:UYX917503 VII917501:VIT917503 VSE917501:VSP917503 WCA917501:WCL917503 WLW917501:WMH917503 WVS917501:WWD917503 JG983037:JR983039 TC983037:TN983039 ACY983037:ADJ983039 AMU983037:ANF983039 AWQ983037:AXB983039 BGM983037:BGX983039 BQI983037:BQT983039 CAE983037:CAP983039 CKA983037:CKL983039 CTW983037:CUH983039 DDS983037:DED983039 DNO983037:DNZ983039 DXK983037:DXV983039 EHG983037:EHR983039 ERC983037:ERN983039 FAY983037:FBJ983039 FKU983037:FLF983039 FUQ983037:FVB983039 GEM983037:GEX983039 GOI983037:GOT983039 GYE983037:GYP983039 HIA983037:HIL983039 HRW983037:HSH983039 IBS983037:ICD983039 ILO983037:ILZ983039 IVK983037:IVV983039 JFG983037:JFR983039 JPC983037:JPN983039 JYY983037:JZJ983039 KIU983037:KJF983039 KSQ983037:KTB983039 LCM983037:LCX983039 LMI983037:LMT983039 LWE983037:LWP983039 MGA983037:MGL983039 MPW983037:MQH983039 MZS983037:NAD983039 NJO983037:NJZ983039 NTK983037:NTV983039 ODG983037:ODR983039 ONC983037:ONN983039 OWY983037:OXJ983039 PGU983037:PHF983039 PQQ983037:PRB983039 QAM983037:QAX983039 QKI983037:QKT983039 QUE983037:QUP983039 REA983037:REL983039 RNW983037:ROH983039 RXS983037:RYD983039 SHO983037:SHZ983039 SRK983037:SRV983039 TBG983037:TBR983039 TLC983037:TLN983039 TUY983037:TVJ983039 UEU983037:UFF983039 UOQ983037:UPB983039 UYM983037:UYX983039 VII983037:VIT983039 VSE983037:VSP983039 WCA983037:WCL983039 WLW983037:WMH983039 WVS983037:WWD983039 WVS983042:WWD983044 JG65538:JR65540 TC65538:TN65540 ACY65538:ADJ65540 AMU65538:ANF65540 AWQ65538:AXB65540 BGM65538:BGX65540 BQI65538:BQT65540 CAE65538:CAP65540 CKA65538:CKL65540 CTW65538:CUH65540 DDS65538:DED65540 DNO65538:DNZ65540 DXK65538:DXV65540 EHG65538:EHR65540 ERC65538:ERN65540 FAY65538:FBJ65540 FKU65538:FLF65540 FUQ65538:FVB65540 GEM65538:GEX65540 GOI65538:GOT65540 GYE65538:GYP65540 HIA65538:HIL65540 HRW65538:HSH65540 IBS65538:ICD65540 ILO65538:ILZ65540 IVK65538:IVV65540 JFG65538:JFR65540 JPC65538:JPN65540 JYY65538:JZJ65540 KIU65538:KJF65540 KSQ65538:KTB65540 LCM65538:LCX65540 LMI65538:LMT65540 LWE65538:LWP65540 MGA65538:MGL65540 MPW65538:MQH65540 MZS65538:NAD65540 NJO65538:NJZ65540 NTK65538:NTV65540 ODG65538:ODR65540 ONC65538:ONN65540 OWY65538:OXJ65540 PGU65538:PHF65540 PQQ65538:PRB65540 QAM65538:QAX65540 QKI65538:QKT65540 QUE65538:QUP65540 REA65538:REL65540 RNW65538:ROH65540 RXS65538:RYD65540 SHO65538:SHZ65540 SRK65538:SRV65540 TBG65538:TBR65540 TLC65538:TLN65540 TUY65538:TVJ65540 UEU65538:UFF65540 UOQ65538:UPB65540 UYM65538:UYX65540 VII65538:VIT65540 VSE65538:VSP65540 WCA65538:WCL65540 WLW65538:WMH65540 WVS65538:WWD65540 JG131074:JR131076 TC131074:TN131076 ACY131074:ADJ131076 AMU131074:ANF131076 AWQ131074:AXB131076 BGM131074:BGX131076 BQI131074:BQT131076 CAE131074:CAP131076 CKA131074:CKL131076 CTW131074:CUH131076 DDS131074:DED131076 DNO131074:DNZ131076 DXK131074:DXV131076 EHG131074:EHR131076 ERC131074:ERN131076 FAY131074:FBJ131076 FKU131074:FLF131076 FUQ131074:FVB131076 GEM131074:GEX131076 GOI131074:GOT131076 GYE131074:GYP131076 HIA131074:HIL131076 HRW131074:HSH131076 IBS131074:ICD131076 ILO131074:ILZ131076 IVK131074:IVV131076 JFG131074:JFR131076 JPC131074:JPN131076 JYY131074:JZJ131076 KIU131074:KJF131076 KSQ131074:KTB131076 LCM131074:LCX131076 LMI131074:LMT131076 LWE131074:LWP131076 MGA131074:MGL131076 MPW131074:MQH131076 MZS131074:NAD131076 NJO131074:NJZ131076 NTK131074:NTV131076 ODG131074:ODR131076 ONC131074:ONN131076 OWY131074:OXJ131076 PGU131074:PHF131076 PQQ131074:PRB131076 QAM131074:QAX131076 QKI131074:QKT131076 QUE131074:QUP131076 REA131074:REL131076 RNW131074:ROH131076 RXS131074:RYD131076 SHO131074:SHZ131076 SRK131074:SRV131076 TBG131074:TBR131076 TLC131074:TLN131076 TUY131074:TVJ131076 UEU131074:UFF131076 UOQ131074:UPB131076 UYM131074:UYX131076 VII131074:VIT131076 VSE131074:VSP131076 WCA131074:WCL131076 WLW131074:WMH131076 WVS131074:WWD131076 JG196610:JR196612 TC196610:TN196612 ACY196610:ADJ196612 AMU196610:ANF196612 AWQ196610:AXB196612 BGM196610:BGX196612 BQI196610:BQT196612 CAE196610:CAP196612 CKA196610:CKL196612 CTW196610:CUH196612 DDS196610:DED196612 DNO196610:DNZ196612 DXK196610:DXV196612 EHG196610:EHR196612 ERC196610:ERN196612 FAY196610:FBJ196612 FKU196610:FLF196612 FUQ196610:FVB196612 GEM196610:GEX196612 GOI196610:GOT196612 GYE196610:GYP196612 HIA196610:HIL196612 HRW196610:HSH196612 IBS196610:ICD196612 ILO196610:ILZ196612 IVK196610:IVV196612 JFG196610:JFR196612 JPC196610:JPN196612 JYY196610:JZJ196612 KIU196610:KJF196612 KSQ196610:KTB196612 LCM196610:LCX196612 LMI196610:LMT196612 LWE196610:LWP196612 MGA196610:MGL196612 MPW196610:MQH196612 MZS196610:NAD196612 NJO196610:NJZ196612 NTK196610:NTV196612 ODG196610:ODR196612 ONC196610:ONN196612 OWY196610:OXJ196612 PGU196610:PHF196612 PQQ196610:PRB196612 QAM196610:QAX196612 QKI196610:QKT196612 QUE196610:QUP196612 REA196610:REL196612 RNW196610:ROH196612 RXS196610:RYD196612 SHO196610:SHZ196612 SRK196610:SRV196612 TBG196610:TBR196612 TLC196610:TLN196612 TUY196610:TVJ196612 UEU196610:UFF196612 UOQ196610:UPB196612 UYM196610:UYX196612 VII196610:VIT196612 VSE196610:VSP196612 WCA196610:WCL196612 WLW196610:WMH196612 WVS196610:WWD196612 JG262146:JR262148 TC262146:TN262148 ACY262146:ADJ262148 AMU262146:ANF262148 AWQ262146:AXB262148 BGM262146:BGX262148 BQI262146:BQT262148 CAE262146:CAP262148 CKA262146:CKL262148 CTW262146:CUH262148 DDS262146:DED262148 DNO262146:DNZ262148 DXK262146:DXV262148 EHG262146:EHR262148 ERC262146:ERN262148 FAY262146:FBJ262148 FKU262146:FLF262148 FUQ262146:FVB262148 GEM262146:GEX262148 GOI262146:GOT262148 GYE262146:GYP262148 HIA262146:HIL262148 HRW262146:HSH262148 IBS262146:ICD262148 ILO262146:ILZ262148 IVK262146:IVV262148 JFG262146:JFR262148 JPC262146:JPN262148 JYY262146:JZJ262148 KIU262146:KJF262148 KSQ262146:KTB262148 LCM262146:LCX262148 LMI262146:LMT262148 LWE262146:LWP262148 MGA262146:MGL262148 MPW262146:MQH262148 MZS262146:NAD262148 NJO262146:NJZ262148 NTK262146:NTV262148 ODG262146:ODR262148 ONC262146:ONN262148 OWY262146:OXJ262148 PGU262146:PHF262148 PQQ262146:PRB262148 QAM262146:QAX262148 QKI262146:QKT262148 QUE262146:QUP262148 REA262146:REL262148 RNW262146:ROH262148 RXS262146:RYD262148 SHO262146:SHZ262148 SRK262146:SRV262148 TBG262146:TBR262148 TLC262146:TLN262148 TUY262146:TVJ262148 UEU262146:UFF262148 UOQ262146:UPB262148 UYM262146:UYX262148 VII262146:VIT262148 VSE262146:VSP262148 WCA262146:WCL262148 WLW262146:WMH262148 WVS262146:WWD262148 JG327682:JR327684 TC327682:TN327684 ACY327682:ADJ327684 AMU327682:ANF327684 AWQ327682:AXB327684 BGM327682:BGX327684 BQI327682:BQT327684 CAE327682:CAP327684 CKA327682:CKL327684 CTW327682:CUH327684 DDS327682:DED327684 DNO327682:DNZ327684 DXK327682:DXV327684 EHG327682:EHR327684 ERC327682:ERN327684 FAY327682:FBJ327684 FKU327682:FLF327684 FUQ327682:FVB327684 GEM327682:GEX327684 GOI327682:GOT327684 GYE327682:GYP327684 HIA327682:HIL327684 HRW327682:HSH327684 IBS327682:ICD327684 ILO327682:ILZ327684 IVK327682:IVV327684 JFG327682:JFR327684 JPC327682:JPN327684 JYY327682:JZJ327684 KIU327682:KJF327684 KSQ327682:KTB327684 LCM327682:LCX327684 LMI327682:LMT327684 LWE327682:LWP327684 MGA327682:MGL327684 MPW327682:MQH327684 MZS327682:NAD327684 NJO327682:NJZ327684 NTK327682:NTV327684 ODG327682:ODR327684 ONC327682:ONN327684 OWY327682:OXJ327684 PGU327682:PHF327684 PQQ327682:PRB327684 QAM327682:QAX327684 QKI327682:QKT327684 QUE327682:QUP327684 REA327682:REL327684 RNW327682:ROH327684 RXS327682:RYD327684 SHO327682:SHZ327684 SRK327682:SRV327684 TBG327682:TBR327684 TLC327682:TLN327684 TUY327682:TVJ327684 UEU327682:UFF327684 UOQ327682:UPB327684 UYM327682:UYX327684 VII327682:VIT327684 VSE327682:VSP327684 WCA327682:WCL327684 WLW327682:WMH327684 WVS327682:WWD327684 JG393218:JR393220 TC393218:TN393220 ACY393218:ADJ393220 AMU393218:ANF393220 AWQ393218:AXB393220 BGM393218:BGX393220 BQI393218:BQT393220 CAE393218:CAP393220 CKA393218:CKL393220 CTW393218:CUH393220 DDS393218:DED393220 DNO393218:DNZ393220 DXK393218:DXV393220 EHG393218:EHR393220 ERC393218:ERN393220 FAY393218:FBJ393220 FKU393218:FLF393220 FUQ393218:FVB393220 GEM393218:GEX393220 GOI393218:GOT393220 GYE393218:GYP393220 HIA393218:HIL393220 HRW393218:HSH393220 IBS393218:ICD393220 ILO393218:ILZ393220 IVK393218:IVV393220 JFG393218:JFR393220 JPC393218:JPN393220 JYY393218:JZJ393220 KIU393218:KJF393220 KSQ393218:KTB393220 LCM393218:LCX393220 LMI393218:LMT393220 LWE393218:LWP393220 MGA393218:MGL393220 MPW393218:MQH393220 MZS393218:NAD393220 NJO393218:NJZ393220 NTK393218:NTV393220 ODG393218:ODR393220 ONC393218:ONN393220 OWY393218:OXJ393220 PGU393218:PHF393220 PQQ393218:PRB393220 QAM393218:QAX393220 QKI393218:QKT393220 QUE393218:QUP393220 REA393218:REL393220 RNW393218:ROH393220 RXS393218:RYD393220 SHO393218:SHZ393220 SRK393218:SRV393220 TBG393218:TBR393220 TLC393218:TLN393220 TUY393218:TVJ393220 UEU393218:UFF393220 UOQ393218:UPB393220 UYM393218:UYX393220 VII393218:VIT393220 VSE393218:VSP393220 WCA393218:WCL393220 WLW393218:WMH393220 WVS393218:WWD393220 JG458754:JR458756 TC458754:TN458756 ACY458754:ADJ458756 AMU458754:ANF458756 AWQ458754:AXB458756 BGM458754:BGX458756 BQI458754:BQT458756 CAE458754:CAP458756 CKA458754:CKL458756 CTW458754:CUH458756 DDS458754:DED458756 DNO458754:DNZ458756 DXK458754:DXV458756 EHG458754:EHR458756 ERC458754:ERN458756 FAY458754:FBJ458756 FKU458754:FLF458756 FUQ458754:FVB458756 GEM458754:GEX458756 GOI458754:GOT458756 GYE458754:GYP458756 HIA458754:HIL458756 HRW458754:HSH458756 IBS458754:ICD458756 ILO458754:ILZ458756 IVK458754:IVV458756 JFG458754:JFR458756 JPC458754:JPN458756 JYY458754:JZJ458756 KIU458754:KJF458756 KSQ458754:KTB458756 LCM458754:LCX458756 LMI458754:LMT458756 LWE458754:LWP458756 MGA458754:MGL458756 MPW458754:MQH458756 MZS458754:NAD458756 NJO458754:NJZ458756 NTK458754:NTV458756 ODG458754:ODR458756 ONC458754:ONN458756 OWY458754:OXJ458756 PGU458754:PHF458756 PQQ458754:PRB458756 QAM458754:QAX458756 QKI458754:QKT458756 QUE458754:QUP458756 REA458754:REL458756 RNW458754:ROH458756 RXS458754:RYD458756 SHO458754:SHZ458756 SRK458754:SRV458756 TBG458754:TBR458756 TLC458754:TLN458756 TUY458754:TVJ458756 UEU458754:UFF458756 UOQ458754:UPB458756 UYM458754:UYX458756 VII458754:VIT458756 VSE458754:VSP458756 WCA458754:WCL458756 WLW458754:WMH458756 WVS458754:WWD458756 JG524290:JR524292 TC524290:TN524292 ACY524290:ADJ524292 AMU524290:ANF524292 AWQ524290:AXB524292 BGM524290:BGX524292 BQI524290:BQT524292 CAE524290:CAP524292 CKA524290:CKL524292 CTW524290:CUH524292 DDS524290:DED524292 DNO524290:DNZ524292 DXK524290:DXV524292 EHG524290:EHR524292 ERC524290:ERN524292 FAY524290:FBJ524292 FKU524290:FLF524292 FUQ524290:FVB524292 GEM524290:GEX524292 GOI524290:GOT524292 GYE524290:GYP524292 HIA524290:HIL524292 HRW524290:HSH524292 IBS524290:ICD524292 ILO524290:ILZ524292 IVK524290:IVV524292 JFG524290:JFR524292 JPC524290:JPN524292 JYY524290:JZJ524292 KIU524290:KJF524292 KSQ524290:KTB524292 LCM524290:LCX524292 LMI524290:LMT524292 LWE524290:LWP524292 MGA524290:MGL524292 MPW524290:MQH524292 MZS524290:NAD524292 NJO524290:NJZ524292 NTK524290:NTV524292 ODG524290:ODR524292 ONC524290:ONN524292 OWY524290:OXJ524292 PGU524290:PHF524292 PQQ524290:PRB524292 QAM524290:QAX524292 QKI524290:QKT524292 QUE524290:QUP524292 REA524290:REL524292 RNW524290:ROH524292 RXS524290:RYD524292 SHO524290:SHZ524292 SRK524290:SRV524292 TBG524290:TBR524292 TLC524290:TLN524292 TUY524290:TVJ524292 UEU524290:UFF524292 UOQ524290:UPB524292 UYM524290:UYX524292 VII524290:VIT524292 VSE524290:VSP524292 WCA524290:WCL524292 WLW524290:WMH524292 WVS524290:WWD524292 JG589826:JR589828 TC589826:TN589828 ACY589826:ADJ589828 AMU589826:ANF589828 AWQ589826:AXB589828 BGM589826:BGX589828 BQI589826:BQT589828 CAE589826:CAP589828 CKA589826:CKL589828 CTW589826:CUH589828 DDS589826:DED589828 DNO589826:DNZ589828 DXK589826:DXV589828 EHG589826:EHR589828 ERC589826:ERN589828 FAY589826:FBJ589828 FKU589826:FLF589828 FUQ589826:FVB589828 GEM589826:GEX589828 GOI589826:GOT589828 GYE589826:GYP589828 HIA589826:HIL589828 HRW589826:HSH589828 IBS589826:ICD589828 ILO589826:ILZ589828 IVK589826:IVV589828 JFG589826:JFR589828 JPC589826:JPN589828 JYY589826:JZJ589828 KIU589826:KJF589828 KSQ589826:KTB589828 LCM589826:LCX589828 LMI589826:LMT589828 LWE589826:LWP589828 MGA589826:MGL589828 MPW589826:MQH589828 MZS589826:NAD589828 NJO589826:NJZ589828 NTK589826:NTV589828 ODG589826:ODR589828 ONC589826:ONN589828 OWY589826:OXJ589828 PGU589826:PHF589828 PQQ589826:PRB589828 QAM589826:QAX589828 QKI589826:QKT589828 QUE589826:QUP589828 REA589826:REL589828 RNW589826:ROH589828 RXS589826:RYD589828 SHO589826:SHZ589828 SRK589826:SRV589828 TBG589826:TBR589828 TLC589826:TLN589828 TUY589826:TVJ589828 UEU589826:UFF589828 UOQ589826:UPB589828 UYM589826:UYX589828 VII589826:VIT589828 VSE589826:VSP589828 WCA589826:WCL589828 WLW589826:WMH589828 WVS589826:WWD589828 JG655362:JR655364 TC655362:TN655364 ACY655362:ADJ655364 AMU655362:ANF655364 AWQ655362:AXB655364 BGM655362:BGX655364 BQI655362:BQT655364 CAE655362:CAP655364 CKA655362:CKL655364 CTW655362:CUH655364 DDS655362:DED655364 DNO655362:DNZ655364 DXK655362:DXV655364 EHG655362:EHR655364 ERC655362:ERN655364 FAY655362:FBJ655364 FKU655362:FLF655364 FUQ655362:FVB655364 GEM655362:GEX655364 GOI655362:GOT655364 GYE655362:GYP655364 HIA655362:HIL655364 HRW655362:HSH655364 IBS655362:ICD655364 ILO655362:ILZ655364 IVK655362:IVV655364 JFG655362:JFR655364 JPC655362:JPN655364 JYY655362:JZJ655364 KIU655362:KJF655364 KSQ655362:KTB655364 LCM655362:LCX655364 LMI655362:LMT655364 LWE655362:LWP655364 MGA655362:MGL655364 MPW655362:MQH655364 MZS655362:NAD655364 NJO655362:NJZ655364 NTK655362:NTV655364 ODG655362:ODR655364 ONC655362:ONN655364 OWY655362:OXJ655364 PGU655362:PHF655364 PQQ655362:PRB655364 QAM655362:QAX655364 QKI655362:QKT655364 QUE655362:QUP655364 REA655362:REL655364 RNW655362:ROH655364 RXS655362:RYD655364 SHO655362:SHZ655364 SRK655362:SRV655364 TBG655362:TBR655364 TLC655362:TLN655364 TUY655362:TVJ655364 UEU655362:UFF655364 UOQ655362:UPB655364 UYM655362:UYX655364 VII655362:VIT655364 VSE655362:VSP655364 WCA655362:WCL655364 WLW655362:WMH655364 WVS655362:WWD655364 JG720898:JR720900 TC720898:TN720900 ACY720898:ADJ720900 AMU720898:ANF720900 AWQ720898:AXB720900 BGM720898:BGX720900 BQI720898:BQT720900 CAE720898:CAP720900 CKA720898:CKL720900 CTW720898:CUH720900 DDS720898:DED720900 DNO720898:DNZ720900 DXK720898:DXV720900 EHG720898:EHR720900 ERC720898:ERN720900 FAY720898:FBJ720900 FKU720898:FLF720900 FUQ720898:FVB720900 GEM720898:GEX720900 GOI720898:GOT720900 GYE720898:GYP720900 HIA720898:HIL720900 HRW720898:HSH720900 IBS720898:ICD720900 ILO720898:ILZ720900 IVK720898:IVV720900 JFG720898:JFR720900 JPC720898:JPN720900 JYY720898:JZJ720900 KIU720898:KJF720900 KSQ720898:KTB720900 LCM720898:LCX720900 LMI720898:LMT720900 LWE720898:LWP720900 MGA720898:MGL720900 MPW720898:MQH720900 MZS720898:NAD720900 NJO720898:NJZ720900 NTK720898:NTV720900 ODG720898:ODR720900 ONC720898:ONN720900 OWY720898:OXJ720900 PGU720898:PHF720900 PQQ720898:PRB720900 QAM720898:QAX720900 QKI720898:QKT720900 QUE720898:QUP720900 REA720898:REL720900 RNW720898:ROH720900 RXS720898:RYD720900 SHO720898:SHZ720900 SRK720898:SRV720900 TBG720898:TBR720900 TLC720898:TLN720900 TUY720898:TVJ720900 UEU720898:UFF720900 UOQ720898:UPB720900 UYM720898:UYX720900 VII720898:VIT720900 VSE720898:VSP720900 WCA720898:WCL720900 WLW720898:WMH720900 WVS720898:WWD720900 JG786434:JR786436 TC786434:TN786436 ACY786434:ADJ786436 AMU786434:ANF786436 AWQ786434:AXB786436 BGM786434:BGX786436 BQI786434:BQT786436 CAE786434:CAP786436 CKA786434:CKL786436 CTW786434:CUH786436 DDS786434:DED786436 DNO786434:DNZ786436 DXK786434:DXV786436 EHG786434:EHR786436 ERC786434:ERN786436 FAY786434:FBJ786436 FKU786434:FLF786436 FUQ786434:FVB786436 GEM786434:GEX786436 GOI786434:GOT786436 GYE786434:GYP786436 HIA786434:HIL786436 HRW786434:HSH786436 IBS786434:ICD786436 ILO786434:ILZ786436 IVK786434:IVV786436 JFG786434:JFR786436 JPC786434:JPN786436 JYY786434:JZJ786436 KIU786434:KJF786436 KSQ786434:KTB786436 LCM786434:LCX786436 LMI786434:LMT786436 LWE786434:LWP786436 MGA786434:MGL786436 MPW786434:MQH786436 MZS786434:NAD786436 NJO786434:NJZ786436 NTK786434:NTV786436 ODG786434:ODR786436 ONC786434:ONN786436 OWY786434:OXJ786436 PGU786434:PHF786436 PQQ786434:PRB786436 QAM786434:QAX786436 QKI786434:QKT786436 QUE786434:QUP786436 REA786434:REL786436 RNW786434:ROH786436 RXS786434:RYD786436 SHO786434:SHZ786436 SRK786434:SRV786436 TBG786434:TBR786436 TLC786434:TLN786436 TUY786434:TVJ786436 UEU786434:UFF786436 UOQ786434:UPB786436 UYM786434:UYX786436 VII786434:VIT786436 VSE786434:VSP786436 WCA786434:WCL786436 WLW786434:WMH786436 WVS786434:WWD786436 JG851970:JR851972 TC851970:TN851972 ACY851970:ADJ851972 AMU851970:ANF851972 AWQ851970:AXB851972 BGM851970:BGX851972 BQI851970:BQT851972 CAE851970:CAP851972 CKA851970:CKL851972 CTW851970:CUH851972 DDS851970:DED851972 DNO851970:DNZ851972 DXK851970:DXV851972 EHG851970:EHR851972 ERC851970:ERN851972 FAY851970:FBJ851972 FKU851970:FLF851972 FUQ851970:FVB851972 GEM851970:GEX851972 GOI851970:GOT851972 GYE851970:GYP851972 HIA851970:HIL851972 HRW851970:HSH851972 IBS851970:ICD851972 ILO851970:ILZ851972 IVK851970:IVV851972 JFG851970:JFR851972 JPC851970:JPN851972 JYY851970:JZJ851972 KIU851970:KJF851972 KSQ851970:KTB851972 LCM851970:LCX851972 LMI851970:LMT851972 LWE851970:LWP851972 MGA851970:MGL851972 MPW851970:MQH851972 MZS851970:NAD851972 NJO851970:NJZ851972 NTK851970:NTV851972 ODG851970:ODR851972 ONC851970:ONN851972 OWY851970:OXJ851972 PGU851970:PHF851972 PQQ851970:PRB851972 QAM851970:QAX851972 QKI851970:QKT851972 QUE851970:QUP851972 REA851970:REL851972 RNW851970:ROH851972 RXS851970:RYD851972 SHO851970:SHZ851972 SRK851970:SRV851972 TBG851970:TBR851972 TLC851970:TLN851972 TUY851970:TVJ851972 UEU851970:UFF851972 UOQ851970:UPB851972 UYM851970:UYX851972 VII851970:VIT851972 VSE851970:VSP851972 WCA851970:WCL851972 WLW851970:WMH851972 WVS851970:WWD851972 JG917506:JR917508 TC917506:TN917508 ACY917506:ADJ917508 AMU917506:ANF917508 AWQ917506:AXB917508 BGM917506:BGX917508 BQI917506:BQT917508 CAE917506:CAP917508 CKA917506:CKL917508 CTW917506:CUH917508 DDS917506:DED917508 DNO917506:DNZ917508 DXK917506:DXV917508 EHG917506:EHR917508 ERC917506:ERN917508 FAY917506:FBJ917508 FKU917506:FLF917508 FUQ917506:FVB917508 GEM917506:GEX917508 GOI917506:GOT917508 GYE917506:GYP917508 HIA917506:HIL917508 HRW917506:HSH917508 IBS917506:ICD917508 ILO917506:ILZ917508 IVK917506:IVV917508 JFG917506:JFR917508 JPC917506:JPN917508 JYY917506:JZJ917508 KIU917506:KJF917508 KSQ917506:KTB917508 LCM917506:LCX917508 LMI917506:LMT917508 LWE917506:LWP917508 MGA917506:MGL917508 MPW917506:MQH917508 MZS917506:NAD917508 NJO917506:NJZ917508 NTK917506:NTV917508 ODG917506:ODR917508 ONC917506:ONN917508 OWY917506:OXJ917508 PGU917506:PHF917508 PQQ917506:PRB917508 QAM917506:QAX917508 QKI917506:QKT917508 QUE917506:QUP917508 REA917506:REL917508 RNW917506:ROH917508 RXS917506:RYD917508 SHO917506:SHZ917508 SRK917506:SRV917508 TBG917506:TBR917508 TLC917506:TLN917508 TUY917506:TVJ917508 UEU917506:UFF917508 UOQ917506:UPB917508 UYM917506:UYX917508 VII917506:VIT917508 VSE917506:VSP917508 WCA917506:WCL917508 WLW917506:WMH917508 WVS917506:WWD917508 JG983042:JR983044 TC983042:TN983044 ACY983042:ADJ983044 AMU983042:ANF983044 AWQ983042:AXB983044 BGM983042:BGX983044 BQI983042:BQT983044 CAE983042:CAP983044 CKA983042:CKL983044 CTW983042:CUH983044 DDS983042:DED983044 DNO983042:DNZ983044 DXK983042:DXV983044 EHG983042:EHR983044 ERC983042:ERN983044 FAY983042:FBJ983044 FKU983042:FLF983044 FUQ983042:FVB983044 GEM983042:GEX983044 GOI983042:GOT983044 GYE983042:GYP983044 HIA983042:HIL983044 HRW983042:HSH983044 IBS983042:ICD983044 ILO983042:ILZ983044 IVK983042:IVV983044 JFG983042:JFR983044 JPC983042:JPN983044 JYY983042:JZJ983044 KIU983042:KJF983044 KSQ983042:KTB983044 LCM983042:LCX983044 LMI983042:LMT983044 LWE983042:LWP983044 MGA983042:MGL983044 MPW983042:MQH983044 MZS983042:NAD983044 NJO983042:NJZ983044 NTK983042:NTV983044 ODG983042:ODR983044 ONC983042:ONN983044 OWY983042:OXJ983044 PGU983042:PHF983044 PQQ983042:PRB983044 QAM983042:QAX983044 QKI983042:QKT983044 QUE983042:QUP983044 REA983042:REL983044 RNW983042:ROH983044 RXS983042:RYD983044 SHO983042:SHZ983044 SRK983042:SRV983044 TBG983042:TBR983044 TLC983042:TLN983044 TUY983042:TVJ983044 UEU983042:UFF983044 UOQ983042:UPB983044 UYM983042:UYX983044 VII983042:VIT983044 VSE983042:VSP983044 WCA983042:WCL983044 WLW983042:WMH983044 Z262141:AJ262143 Z196605:AJ196607 Z131069:AJ131071 Z65533:AJ65535 Z983042:AJ983044 Z917506:AJ917508 Z851970:AJ851972 Z786434:AJ786436 Z720898:AJ720900 Z655362:AJ655364 Z589826:AJ589828 Z524290:AJ524292 Z458754:AJ458756 Z393218:AJ393220 Z327682:AJ327684 Z262146:AJ262148 Z196610:AJ196612 Z131074:AJ131076 Z65538:AJ65540 Z983037:AJ983039 Z917501:AJ917503 Z851965:AJ851967 Z786429:AJ786431 Z720893:AJ720895 Z655357:AJ655359 Z589821:AJ589823 Z524285:AJ524287 Z458749:AJ458751 Z393213:AJ393215 Z327677:AJ327679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AA8:AA58">
      <formula1>"datetime,int,numeric,varchar,nvarchar"</formula1>
    </dataValidation>
    <dataValidation type="list" allowBlank="1" showInputMessage="1" showErrorMessage="1" sqref="Y8:Z58">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tabColor theme="0" tint="-0.34998626667073579"/>
    <pageSetUpPr autoPageBreaks="0"/>
  </sheetPr>
  <dimension ref="A1:BD85"/>
  <sheetViews>
    <sheetView showGridLines="0" topLeftCell="A11" zoomScaleNormal="100" zoomScaleSheetLayoutView="100" workbookViewId="0">
      <selection sqref="A1:H4"/>
    </sheetView>
  </sheetViews>
  <sheetFormatPr defaultColWidth="2.36328125" defaultRowHeight="15" customHeight="1"/>
  <cols>
    <col min="1" max="1" width="4.36328125" style="16" customWidth="1"/>
    <col min="2" max="26" width="2.36328125" style="16"/>
    <col min="27" max="27" width="2.36328125" style="16" customWidth="1"/>
    <col min="28" max="29" width="2.36328125" style="16"/>
    <col min="30" max="30" width="4.36328125" style="16" customWidth="1"/>
    <col min="31" max="31" width="2.36328125" style="16" customWidth="1"/>
    <col min="32" max="33" width="2.36328125" style="16"/>
    <col min="34" max="34" width="6.36328125" style="16" customWidth="1"/>
    <col min="35" max="16384" width="2.36328125" style="16"/>
  </cols>
  <sheetData>
    <row r="1" spans="1:56" s="15" customFormat="1" ht="15" customHeight="1">
      <c r="A1" s="606" t="s">
        <v>99</v>
      </c>
      <c r="B1" s="607"/>
      <c r="C1" s="607"/>
      <c r="D1" s="607"/>
      <c r="E1" s="607"/>
      <c r="F1" s="607"/>
      <c r="G1" s="607"/>
      <c r="H1" s="608"/>
      <c r="I1" s="434" t="s">
        <v>97</v>
      </c>
      <c r="J1" s="435"/>
      <c r="K1" s="435"/>
      <c r="L1" s="435"/>
      <c r="M1" s="435"/>
      <c r="N1" s="435"/>
      <c r="O1" s="435"/>
      <c r="P1" s="435"/>
      <c r="Q1" s="436"/>
      <c r="R1" s="434" t="s">
        <v>98</v>
      </c>
      <c r="S1" s="435"/>
      <c r="T1" s="435"/>
      <c r="U1" s="435"/>
      <c r="V1" s="435"/>
      <c r="W1" s="435"/>
      <c r="X1" s="436"/>
      <c r="Y1" s="434" t="s">
        <v>0</v>
      </c>
      <c r="Z1" s="435"/>
      <c r="AA1" s="435"/>
      <c r="AB1" s="435"/>
      <c r="AC1" s="435"/>
      <c r="AD1" s="435"/>
      <c r="AE1" s="435"/>
      <c r="AF1" s="435"/>
      <c r="AG1" s="435"/>
      <c r="AH1" s="435"/>
      <c r="AI1" s="435"/>
      <c r="AJ1" s="435"/>
      <c r="AK1" s="435"/>
      <c r="AL1" s="435"/>
      <c r="AM1" s="435"/>
      <c r="AN1" s="435"/>
      <c r="AO1" s="436"/>
      <c r="AP1" s="594" t="s">
        <v>1</v>
      </c>
      <c r="AQ1" s="595"/>
      <c r="AR1" s="595"/>
      <c r="AS1" s="595"/>
      <c r="AT1" s="596"/>
      <c r="AU1" s="594" t="s">
        <v>2</v>
      </c>
      <c r="AV1" s="595"/>
      <c r="AW1" s="595"/>
      <c r="AX1" s="595"/>
      <c r="AY1" s="596"/>
      <c r="AZ1" s="594" t="s">
        <v>3</v>
      </c>
      <c r="BA1" s="595"/>
      <c r="BB1" s="595"/>
      <c r="BC1" s="595"/>
      <c r="BD1" s="596"/>
    </row>
    <row r="2" spans="1:56" s="15" customFormat="1" ht="15" customHeight="1">
      <c r="A2" s="609"/>
      <c r="B2" s="610"/>
      <c r="C2" s="610"/>
      <c r="D2" s="610"/>
      <c r="E2" s="610"/>
      <c r="F2" s="610"/>
      <c r="G2" s="610"/>
      <c r="H2" s="611"/>
      <c r="I2" s="446" t="s">
        <v>96</v>
      </c>
      <c r="J2" s="447"/>
      <c r="K2" s="447"/>
      <c r="L2" s="447"/>
      <c r="M2" s="447"/>
      <c r="N2" s="447"/>
      <c r="O2" s="447"/>
      <c r="P2" s="447"/>
      <c r="Q2" s="448"/>
      <c r="R2" s="446" t="e">
        <f ca="1">VLOOKUP(RIGHT(CELL("filename",A2),LEN(CELL("filename",A2))-FIND("]",CELL("filename",A2))),#REF!,22,FALSE)</f>
        <v>#REF!</v>
      </c>
      <c r="S2" s="447"/>
      <c r="T2" s="447"/>
      <c r="U2" s="447"/>
      <c r="V2" s="447"/>
      <c r="W2" s="447"/>
      <c r="X2" s="448"/>
      <c r="Y2" s="446" t="e">
        <f ca="1">VLOOKUP(RIGHT(CELL("filename",A2),LEN(CELL("filename",A2))-FIND("]",CELL("filename",A2))),#REF!,1,FALSE)</f>
        <v>#REF!</v>
      </c>
      <c r="Z2" s="447"/>
      <c r="AA2" s="447"/>
      <c r="AB2" s="447"/>
      <c r="AC2" s="447"/>
      <c r="AD2" s="447"/>
      <c r="AE2" s="447"/>
      <c r="AF2" s="447"/>
      <c r="AG2" s="447"/>
      <c r="AH2" s="447"/>
      <c r="AI2" s="447"/>
      <c r="AJ2" s="447"/>
      <c r="AK2" s="447"/>
      <c r="AL2" s="447"/>
      <c r="AM2" s="447"/>
      <c r="AN2" s="447"/>
      <c r="AO2" s="448"/>
      <c r="AP2" s="425"/>
      <c r="AQ2" s="426"/>
      <c r="AR2" s="426"/>
      <c r="AS2" s="426"/>
      <c r="AT2" s="427"/>
      <c r="AU2" s="46" t="s">
        <v>128</v>
      </c>
      <c r="AV2" s="47"/>
      <c r="AW2" s="47"/>
      <c r="AX2" s="47"/>
      <c r="AY2" s="48"/>
      <c r="AZ2" s="597" t="s">
        <v>15</v>
      </c>
      <c r="BA2" s="598"/>
      <c r="BB2" s="598"/>
      <c r="BC2" s="598"/>
      <c r="BD2" s="599"/>
    </row>
    <row r="3" spans="1:56" s="15" customFormat="1" ht="15" customHeight="1">
      <c r="A3" s="609"/>
      <c r="B3" s="610"/>
      <c r="C3" s="610"/>
      <c r="D3" s="610"/>
      <c r="E3" s="610"/>
      <c r="F3" s="610"/>
      <c r="G3" s="610"/>
      <c r="H3" s="611"/>
      <c r="I3" s="449"/>
      <c r="J3" s="450"/>
      <c r="K3" s="450"/>
      <c r="L3" s="450"/>
      <c r="M3" s="450"/>
      <c r="N3" s="450"/>
      <c r="O3" s="450"/>
      <c r="P3" s="450"/>
      <c r="Q3" s="451"/>
      <c r="R3" s="449"/>
      <c r="S3" s="450"/>
      <c r="T3" s="450"/>
      <c r="U3" s="450"/>
      <c r="V3" s="450"/>
      <c r="W3" s="450"/>
      <c r="X3" s="451"/>
      <c r="Y3" s="452"/>
      <c r="Z3" s="453"/>
      <c r="AA3" s="453"/>
      <c r="AB3" s="453"/>
      <c r="AC3" s="453"/>
      <c r="AD3" s="453"/>
      <c r="AE3" s="453"/>
      <c r="AF3" s="453"/>
      <c r="AG3" s="453"/>
      <c r="AH3" s="453"/>
      <c r="AI3" s="453"/>
      <c r="AJ3" s="453"/>
      <c r="AK3" s="453"/>
      <c r="AL3" s="453"/>
      <c r="AM3" s="453"/>
      <c r="AN3" s="453"/>
      <c r="AO3" s="454"/>
      <c r="AP3" s="428"/>
      <c r="AQ3" s="429"/>
      <c r="AR3" s="429"/>
      <c r="AS3" s="429"/>
      <c r="AT3" s="430"/>
      <c r="AU3" s="603"/>
      <c r="AV3" s="604"/>
      <c r="AW3" s="604"/>
      <c r="AX3" s="604"/>
      <c r="AY3" s="605"/>
      <c r="AZ3" s="597"/>
      <c r="BA3" s="598"/>
      <c r="BB3" s="598"/>
      <c r="BC3" s="598"/>
      <c r="BD3" s="599"/>
    </row>
    <row r="4" spans="1:56" s="15" customFormat="1" ht="15" customHeight="1">
      <c r="A4" s="612"/>
      <c r="B4" s="613"/>
      <c r="C4" s="613"/>
      <c r="D4" s="613"/>
      <c r="E4" s="613"/>
      <c r="F4" s="613"/>
      <c r="G4" s="613"/>
      <c r="H4" s="614"/>
      <c r="I4" s="452"/>
      <c r="J4" s="453"/>
      <c r="K4" s="453"/>
      <c r="L4" s="453"/>
      <c r="M4" s="453"/>
      <c r="N4" s="453"/>
      <c r="O4" s="453"/>
      <c r="P4" s="453"/>
      <c r="Q4" s="454"/>
      <c r="R4" s="452"/>
      <c r="S4" s="453"/>
      <c r="T4" s="453"/>
      <c r="U4" s="453"/>
      <c r="V4" s="453"/>
      <c r="W4" s="453"/>
      <c r="X4" s="454"/>
      <c r="Y4" s="600" t="e">
        <f ca="1">IF(VLOOKUP(RIGHT(CELL("filename",A2),LEN(CELL("filename",A2))-FIND("]",CELL("filename",A2))),#REF!,11,FALSE)=0,"",VLOOKUP(RIGHT(CELL("filename",A2),LEN(CELL("filename",A2))-FIND("]",CELL("filename",A2))),#REF!,11,FALSE))</f>
        <v>#REF!</v>
      </c>
      <c r="Z4" s="601"/>
      <c r="AA4" s="601"/>
      <c r="AB4" s="601"/>
      <c r="AC4" s="601"/>
      <c r="AD4" s="601"/>
      <c r="AE4" s="601"/>
      <c r="AF4" s="601"/>
      <c r="AG4" s="601"/>
      <c r="AH4" s="601"/>
      <c r="AI4" s="601"/>
      <c r="AJ4" s="601"/>
      <c r="AK4" s="601"/>
      <c r="AL4" s="601"/>
      <c r="AM4" s="601"/>
      <c r="AN4" s="601"/>
      <c r="AO4" s="602"/>
      <c r="AP4" s="428"/>
      <c r="AQ4" s="429"/>
      <c r="AR4" s="429"/>
      <c r="AS4" s="429"/>
      <c r="AT4" s="430"/>
      <c r="AU4" s="603"/>
      <c r="AV4" s="604"/>
      <c r="AW4" s="604"/>
      <c r="AX4" s="604"/>
      <c r="AY4" s="605"/>
      <c r="AZ4" s="597"/>
      <c r="BA4" s="598"/>
      <c r="BB4" s="598"/>
      <c r="BC4" s="598"/>
      <c r="BD4" s="599"/>
    </row>
    <row r="6" spans="1:56" ht="15" customHeight="1">
      <c r="A6" s="615" t="s">
        <v>100</v>
      </c>
      <c r="B6" s="617" t="s">
        <v>4</v>
      </c>
      <c r="C6" s="618"/>
      <c r="D6" s="618"/>
      <c r="E6" s="618"/>
      <c r="F6" s="618"/>
      <c r="G6" s="618"/>
      <c r="H6" s="619"/>
      <c r="I6" s="617" t="s">
        <v>5</v>
      </c>
      <c r="J6" s="618"/>
      <c r="K6" s="618"/>
      <c r="L6" s="618"/>
      <c r="M6" s="618"/>
      <c r="N6" s="618"/>
      <c r="O6" s="618"/>
      <c r="P6" s="618"/>
      <c r="Q6" s="619"/>
      <c r="R6" s="617" t="s">
        <v>119</v>
      </c>
      <c r="S6" s="618"/>
      <c r="T6" s="618"/>
      <c r="U6" s="618"/>
      <c r="V6" s="618"/>
      <c r="W6" s="618"/>
      <c r="X6" s="619"/>
      <c r="Y6" s="617" t="s">
        <v>6</v>
      </c>
      <c r="Z6" s="619"/>
      <c r="AA6" s="617" t="s">
        <v>7</v>
      </c>
      <c r="AB6" s="618"/>
      <c r="AC6" s="619"/>
      <c r="AD6" s="623" t="s">
        <v>8</v>
      </c>
      <c r="AE6" s="634" t="s">
        <v>9</v>
      </c>
      <c r="AF6" s="623" t="s">
        <v>10</v>
      </c>
      <c r="AG6" s="623" t="s">
        <v>11</v>
      </c>
      <c r="AH6" s="623" t="s">
        <v>12</v>
      </c>
      <c r="AI6" s="625" t="s">
        <v>13</v>
      </c>
      <c r="AJ6" s="626"/>
      <c r="AK6" s="626"/>
      <c r="AL6" s="626"/>
      <c r="AM6" s="626"/>
      <c r="AN6" s="626"/>
      <c r="AO6" s="626"/>
      <c r="AP6" s="626"/>
      <c r="AQ6" s="626"/>
      <c r="AR6" s="627"/>
      <c r="AS6" s="628" t="s">
        <v>14</v>
      </c>
      <c r="AT6" s="629"/>
      <c r="AU6" s="629"/>
      <c r="AV6" s="629"/>
      <c r="AW6" s="629"/>
      <c r="AX6" s="629"/>
      <c r="AY6" s="629"/>
      <c r="AZ6" s="629"/>
      <c r="BA6" s="629"/>
      <c r="BB6" s="629"/>
      <c r="BC6" s="629"/>
      <c r="BD6" s="630"/>
    </row>
    <row r="7" spans="1:56" ht="15" customHeight="1">
      <c r="A7" s="616"/>
      <c r="B7" s="620"/>
      <c r="C7" s="621"/>
      <c r="D7" s="621"/>
      <c r="E7" s="621"/>
      <c r="F7" s="621"/>
      <c r="G7" s="621"/>
      <c r="H7" s="622"/>
      <c r="I7" s="620"/>
      <c r="J7" s="621"/>
      <c r="K7" s="621"/>
      <c r="L7" s="621"/>
      <c r="M7" s="621"/>
      <c r="N7" s="621"/>
      <c r="O7" s="621"/>
      <c r="P7" s="621"/>
      <c r="Q7" s="622"/>
      <c r="R7" s="620"/>
      <c r="S7" s="621"/>
      <c r="T7" s="621"/>
      <c r="U7" s="621"/>
      <c r="V7" s="621"/>
      <c r="W7" s="621"/>
      <c r="X7" s="622"/>
      <c r="Y7" s="620"/>
      <c r="Z7" s="622"/>
      <c r="AA7" s="620"/>
      <c r="AB7" s="621"/>
      <c r="AC7" s="622"/>
      <c r="AD7" s="624"/>
      <c r="AE7" s="635"/>
      <c r="AF7" s="624"/>
      <c r="AG7" s="624"/>
      <c r="AH7" s="624"/>
      <c r="AI7" s="39">
        <v>1</v>
      </c>
      <c r="AJ7" s="39">
        <v>2</v>
      </c>
      <c r="AK7" s="39">
        <v>3</v>
      </c>
      <c r="AL7" s="39">
        <v>4</v>
      </c>
      <c r="AM7" s="39">
        <v>5</v>
      </c>
      <c r="AN7" s="39">
        <v>6</v>
      </c>
      <c r="AO7" s="39">
        <v>7</v>
      </c>
      <c r="AP7" s="39">
        <v>8</v>
      </c>
      <c r="AQ7" s="39">
        <v>9</v>
      </c>
      <c r="AR7" s="39">
        <v>10</v>
      </c>
      <c r="AS7" s="631"/>
      <c r="AT7" s="632"/>
      <c r="AU7" s="632"/>
      <c r="AV7" s="632"/>
      <c r="AW7" s="632"/>
      <c r="AX7" s="632"/>
      <c r="AY7" s="632"/>
      <c r="AZ7" s="632"/>
      <c r="BA7" s="632"/>
      <c r="BB7" s="632"/>
      <c r="BC7" s="632"/>
      <c r="BD7" s="633"/>
    </row>
    <row r="8" spans="1:56" ht="15" customHeight="1">
      <c r="A8" s="37">
        <f>IF(B8="","",COUNTA($B$8:B8))</f>
        <v>1</v>
      </c>
      <c r="B8" s="17" t="s">
        <v>1571</v>
      </c>
      <c r="C8" s="18"/>
      <c r="D8" s="18"/>
      <c r="E8" s="18"/>
      <c r="F8" s="18"/>
      <c r="G8" s="18"/>
      <c r="H8" s="18"/>
      <c r="I8" s="19"/>
      <c r="J8" s="20"/>
      <c r="K8" s="20"/>
      <c r="L8" s="20"/>
      <c r="M8" s="20"/>
      <c r="N8" s="20"/>
      <c r="O8" s="20"/>
      <c r="P8" s="20"/>
      <c r="Q8" s="20"/>
      <c r="R8" s="17" t="s">
        <v>1571</v>
      </c>
      <c r="S8" s="18"/>
      <c r="T8" s="18"/>
      <c r="U8" s="18"/>
      <c r="V8" s="18"/>
      <c r="W8" s="18"/>
      <c r="X8" s="18"/>
      <c r="Y8" s="589" t="s">
        <v>1504</v>
      </c>
      <c r="Z8" s="590"/>
      <c r="AA8" s="591" t="s">
        <v>1505</v>
      </c>
      <c r="AB8" s="592"/>
      <c r="AC8" s="593"/>
      <c r="AD8" s="53">
        <v>11</v>
      </c>
      <c r="AE8" s="24" t="s">
        <v>1585</v>
      </c>
      <c r="AF8" s="24" t="s">
        <v>116</v>
      </c>
      <c r="AG8" s="24"/>
      <c r="AH8" s="24"/>
      <c r="AI8" s="24"/>
      <c r="AJ8" s="24"/>
      <c r="AK8" s="24"/>
      <c r="AL8" s="24"/>
      <c r="AM8" s="24"/>
      <c r="AN8" s="24"/>
      <c r="AO8" s="25"/>
      <c r="AP8" s="25"/>
      <c r="AQ8" s="25"/>
      <c r="AR8" s="25"/>
      <c r="AS8" s="35"/>
      <c r="AT8" s="36"/>
      <c r="AU8" s="36"/>
      <c r="AV8" s="36"/>
      <c r="AW8" s="36"/>
      <c r="AX8" s="36"/>
      <c r="AY8" s="36"/>
      <c r="AZ8" s="36"/>
      <c r="BA8" s="36"/>
      <c r="BB8" s="36"/>
      <c r="BC8" s="36"/>
      <c r="BD8" s="50"/>
    </row>
    <row r="9" spans="1:56" ht="15" customHeight="1">
      <c r="A9" s="37">
        <f>IF(B9="","",COUNTA($B$8:B9))</f>
        <v>2</v>
      </c>
      <c r="B9" s="35" t="s">
        <v>1572</v>
      </c>
      <c r="C9" s="34"/>
      <c r="D9" s="34"/>
      <c r="E9" s="34"/>
      <c r="F9" s="34"/>
      <c r="G9" s="34"/>
      <c r="H9" s="34"/>
      <c r="I9" s="35"/>
      <c r="J9" s="27"/>
      <c r="K9" s="27"/>
      <c r="L9" s="27"/>
      <c r="M9" s="27"/>
      <c r="N9" s="27"/>
      <c r="O9" s="27"/>
      <c r="P9" s="27"/>
      <c r="Q9" s="27"/>
      <c r="R9" s="35" t="s">
        <v>1572</v>
      </c>
      <c r="S9" s="34"/>
      <c r="T9" s="34"/>
      <c r="U9" s="34"/>
      <c r="V9" s="34"/>
      <c r="W9" s="34"/>
      <c r="X9" s="34"/>
      <c r="Y9" s="589" t="s">
        <v>1504</v>
      </c>
      <c r="Z9" s="590"/>
      <c r="AA9" s="591" t="s">
        <v>1511</v>
      </c>
      <c r="AB9" s="592"/>
      <c r="AC9" s="593"/>
      <c r="AD9" s="53">
        <v>7</v>
      </c>
      <c r="AE9" s="25"/>
      <c r="AF9" s="25"/>
      <c r="AG9" s="25"/>
      <c r="AH9" s="25"/>
      <c r="AI9" s="25"/>
      <c r="AJ9" s="25"/>
      <c r="AK9" s="25"/>
      <c r="AL9" s="25"/>
      <c r="AM9" s="25"/>
      <c r="AN9" s="25"/>
      <c r="AO9" s="25"/>
      <c r="AP9" s="25"/>
      <c r="AQ9" s="25"/>
      <c r="AR9" s="25"/>
      <c r="AS9" s="35"/>
      <c r="AT9" s="36"/>
      <c r="AU9" s="36"/>
      <c r="AV9" s="36"/>
      <c r="AW9" s="36"/>
      <c r="AX9" s="36"/>
      <c r="AY9" s="36"/>
      <c r="AZ9" s="36"/>
      <c r="BA9" s="36"/>
      <c r="BB9" s="36"/>
      <c r="BC9" s="36"/>
      <c r="BD9" s="50"/>
    </row>
    <row r="10" spans="1:56" ht="15" customHeight="1">
      <c r="A10" s="37">
        <f>IF(B10="","",COUNTA($B$8:B10))</f>
        <v>3</v>
      </c>
      <c r="B10" s="35" t="s">
        <v>266</v>
      </c>
      <c r="C10" s="34"/>
      <c r="D10" s="34"/>
      <c r="E10" s="34"/>
      <c r="F10" s="34"/>
      <c r="G10" s="34"/>
      <c r="H10" s="34"/>
      <c r="I10" s="35" t="s">
        <v>494</v>
      </c>
      <c r="J10" s="27"/>
      <c r="K10" s="27"/>
      <c r="L10" s="27"/>
      <c r="M10" s="27"/>
      <c r="N10" s="27"/>
      <c r="O10" s="27"/>
      <c r="P10" s="27"/>
      <c r="Q10" s="27"/>
      <c r="R10" s="35" t="s">
        <v>266</v>
      </c>
      <c r="S10" s="34"/>
      <c r="T10" s="34"/>
      <c r="U10" s="34"/>
      <c r="V10" s="34"/>
      <c r="W10" s="34"/>
      <c r="X10" s="34"/>
      <c r="Y10" s="589" t="s">
        <v>141</v>
      </c>
      <c r="Z10" s="636"/>
      <c r="AA10" s="591" t="s">
        <v>1505</v>
      </c>
      <c r="AB10" s="592"/>
      <c r="AC10" s="593"/>
      <c r="AD10" s="23">
        <v>4</v>
      </c>
      <c r="AE10" s="25"/>
      <c r="AF10" s="25"/>
      <c r="AG10" s="25"/>
      <c r="AH10" s="25"/>
      <c r="AI10" s="25"/>
      <c r="AJ10" s="25"/>
      <c r="AK10" s="25"/>
      <c r="AL10" s="25"/>
      <c r="AM10" s="25"/>
      <c r="AN10" s="25"/>
      <c r="AO10" s="25"/>
      <c r="AP10" s="25"/>
      <c r="AQ10" s="25"/>
      <c r="AR10" s="25"/>
      <c r="AS10" s="35"/>
      <c r="AT10" s="36"/>
      <c r="AU10" s="36"/>
      <c r="AV10" s="36"/>
      <c r="AW10" s="36"/>
      <c r="AX10" s="36"/>
      <c r="AY10" s="36"/>
      <c r="AZ10" s="36"/>
      <c r="BA10" s="36"/>
      <c r="BB10" s="36"/>
      <c r="BC10" s="36"/>
      <c r="BD10" s="50"/>
    </row>
    <row r="11" spans="1:56" ht="15" customHeight="1">
      <c r="A11" s="37">
        <f>IF(B11="","",COUNTA($B$8:B11))</f>
        <v>4</v>
      </c>
      <c r="B11" s="35" t="s">
        <v>1573</v>
      </c>
      <c r="C11" s="34"/>
      <c r="D11" s="34"/>
      <c r="E11" s="34"/>
      <c r="F11" s="34"/>
      <c r="G11" s="34"/>
      <c r="H11" s="34"/>
      <c r="I11" s="35"/>
      <c r="J11" s="27"/>
      <c r="K11" s="27"/>
      <c r="L11" s="27"/>
      <c r="M11" s="27"/>
      <c r="N11" s="27"/>
      <c r="O11" s="27"/>
      <c r="P11" s="27"/>
      <c r="Q11" s="27"/>
      <c r="R11" s="35" t="s">
        <v>1573</v>
      </c>
      <c r="S11" s="34"/>
      <c r="T11" s="34"/>
      <c r="U11" s="34"/>
      <c r="V11" s="34"/>
      <c r="W11" s="34"/>
      <c r="X11" s="34"/>
      <c r="Y11" s="589" t="s">
        <v>1504</v>
      </c>
      <c r="Z11" s="590"/>
      <c r="AA11" s="591" t="s">
        <v>1505</v>
      </c>
      <c r="AB11" s="592"/>
      <c r="AC11" s="593"/>
      <c r="AD11" s="53">
        <v>5</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6" ht="15" customHeight="1">
      <c r="A12" s="37">
        <f>IF(B12="","",COUNTA($B$8:B12))</f>
        <v>5</v>
      </c>
      <c r="B12" s="35" t="s">
        <v>1574</v>
      </c>
      <c r="C12" s="34"/>
      <c r="D12" s="34"/>
      <c r="E12" s="34"/>
      <c r="F12" s="34"/>
      <c r="G12" s="34"/>
      <c r="H12" s="34"/>
      <c r="I12" s="35"/>
      <c r="J12" s="27"/>
      <c r="K12" s="27"/>
      <c r="L12" s="27"/>
      <c r="M12" s="27"/>
      <c r="N12" s="27"/>
      <c r="O12" s="27"/>
      <c r="P12" s="27"/>
      <c r="Q12" s="27"/>
      <c r="R12" s="35" t="s">
        <v>1574</v>
      </c>
      <c r="S12" s="34"/>
      <c r="T12" s="34"/>
      <c r="U12" s="34"/>
      <c r="V12" s="34"/>
      <c r="W12" s="34"/>
      <c r="X12" s="34"/>
      <c r="Y12" s="589" t="s">
        <v>1504</v>
      </c>
      <c r="Z12" s="590"/>
      <c r="AA12" s="591" t="s">
        <v>1505</v>
      </c>
      <c r="AB12" s="592"/>
      <c r="AC12" s="593"/>
      <c r="AD12" s="53">
        <v>30</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6" ht="15" customHeight="1">
      <c r="A13" s="37">
        <f>IF(B13="","",COUNTA($B$8:B13))</f>
        <v>6</v>
      </c>
      <c r="B13" s="35" t="s">
        <v>1575</v>
      </c>
      <c r="C13" s="34"/>
      <c r="D13" s="34"/>
      <c r="E13" s="34"/>
      <c r="F13" s="34"/>
      <c r="G13" s="34"/>
      <c r="H13" s="34"/>
      <c r="I13" s="35"/>
      <c r="J13" s="27"/>
      <c r="K13" s="27"/>
      <c r="L13" s="27"/>
      <c r="M13" s="27"/>
      <c r="N13" s="27"/>
      <c r="O13" s="27"/>
      <c r="P13" s="27"/>
      <c r="Q13" s="27"/>
      <c r="R13" s="35" t="s">
        <v>1575</v>
      </c>
      <c r="S13" s="34"/>
      <c r="T13" s="34"/>
      <c r="U13" s="34"/>
      <c r="V13" s="34"/>
      <c r="W13" s="34"/>
      <c r="X13" s="34"/>
      <c r="Y13" s="589" t="s">
        <v>1504</v>
      </c>
      <c r="Z13" s="590"/>
      <c r="AA13" s="591" t="s">
        <v>1505</v>
      </c>
      <c r="AB13" s="592"/>
      <c r="AC13" s="593"/>
      <c r="AD13" s="53">
        <v>5</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6" ht="15" customHeight="1">
      <c r="A14" s="37">
        <f>IF(B14="","",COUNTA($B$8:B14))</f>
        <v>7</v>
      </c>
      <c r="B14" s="35" t="s">
        <v>1576</v>
      </c>
      <c r="C14" s="34"/>
      <c r="D14" s="34"/>
      <c r="E14" s="34"/>
      <c r="F14" s="34"/>
      <c r="G14" s="34"/>
      <c r="H14" s="34"/>
      <c r="I14" s="35"/>
      <c r="J14" s="27"/>
      <c r="K14" s="27"/>
      <c r="L14" s="27"/>
      <c r="M14" s="27"/>
      <c r="N14" s="27"/>
      <c r="O14" s="27"/>
      <c r="P14" s="27"/>
      <c r="Q14" s="27"/>
      <c r="R14" s="35" t="s">
        <v>1576</v>
      </c>
      <c r="S14" s="34"/>
      <c r="T14" s="34"/>
      <c r="U14" s="34"/>
      <c r="V14" s="34"/>
      <c r="W14" s="34"/>
      <c r="X14" s="34"/>
      <c r="Y14" s="589" t="s">
        <v>1504</v>
      </c>
      <c r="Z14" s="590"/>
      <c r="AA14" s="591" t="s">
        <v>1505</v>
      </c>
      <c r="AB14" s="592"/>
      <c r="AC14" s="593"/>
      <c r="AD14" s="53">
        <v>30</v>
      </c>
      <c r="AE14" s="25"/>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6" ht="15" customHeight="1">
      <c r="A15" s="37">
        <f>IF(B15="","",COUNTA($B$8:B15))</f>
        <v>8</v>
      </c>
      <c r="B15" s="35" t="s">
        <v>1529</v>
      </c>
      <c r="C15" s="34"/>
      <c r="D15" s="34"/>
      <c r="E15" s="34"/>
      <c r="F15" s="34"/>
      <c r="G15" s="34"/>
      <c r="H15" s="34"/>
      <c r="I15" s="35" t="s">
        <v>457</v>
      </c>
      <c r="J15" s="27"/>
      <c r="K15" s="27"/>
      <c r="L15" s="27"/>
      <c r="M15" s="27"/>
      <c r="N15" s="27"/>
      <c r="O15" s="27"/>
      <c r="P15" s="27"/>
      <c r="Q15" s="27"/>
      <c r="R15" s="35" t="s">
        <v>1529</v>
      </c>
      <c r="S15" s="34"/>
      <c r="T15" s="34"/>
      <c r="U15" s="34"/>
      <c r="V15" s="34"/>
      <c r="W15" s="34"/>
      <c r="X15" s="34"/>
      <c r="Y15" s="589" t="s">
        <v>1504</v>
      </c>
      <c r="Z15" s="590"/>
      <c r="AA15" s="591" t="s">
        <v>1505</v>
      </c>
      <c r="AB15" s="592"/>
      <c r="AC15" s="593"/>
      <c r="AD15" s="53">
        <v>5</v>
      </c>
      <c r="AE15" s="25"/>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6" ht="15" customHeight="1">
      <c r="A16" s="37">
        <f>IF(B16="","",COUNTA($B$8:B16))</f>
        <v>9</v>
      </c>
      <c r="B16" s="35" t="s">
        <v>1514</v>
      </c>
      <c r="C16" s="34"/>
      <c r="D16" s="34"/>
      <c r="E16" s="34"/>
      <c r="F16" s="34"/>
      <c r="G16" s="34"/>
      <c r="H16" s="34"/>
      <c r="I16" s="35" t="s">
        <v>568</v>
      </c>
      <c r="J16" s="27"/>
      <c r="K16" s="27"/>
      <c r="L16" s="27"/>
      <c r="M16" s="27"/>
      <c r="N16" s="27"/>
      <c r="O16" s="27"/>
      <c r="P16" s="27"/>
      <c r="Q16" s="27"/>
      <c r="R16" s="35" t="s">
        <v>1514</v>
      </c>
      <c r="S16" s="34"/>
      <c r="T16" s="34"/>
      <c r="U16" s="34"/>
      <c r="V16" s="34"/>
      <c r="W16" s="34"/>
      <c r="X16" s="34"/>
      <c r="Y16" s="589" t="s">
        <v>1504</v>
      </c>
      <c r="Z16" s="590"/>
      <c r="AA16" s="591" t="s">
        <v>1505</v>
      </c>
      <c r="AB16" s="592"/>
      <c r="AC16" s="593"/>
      <c r="AD16" s="53">
        <v>20</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6" ht="15" customHeight="1">
      <c r="A17" s="37">
        <f>IF(B17="","",COUNTA($B$8:B17))</f>
        <v>10</v>
      </c>
      <c r="B17" s="35" t="s">
        <v>140</v>
      </c>
      <c r="C17" s="34"/>
      <c r="D17" s="34"/>
      <c r="E17" s="34"/>
      <c r="F17" s="34"/>
      <c r="G17" s="34"/>
      <c r="H17" s="34"/>
      <c r="I17" s="35" t="s">
        <v>657</v>
      </c>
      <c r="J17" s="27"/>
      <c r="K17" s="27"/>
      <c r="L17" s="27"/>
      <c r="M17" s="27"/>
      <c r="N17" s="27"/>
      <c r="O17" s="27"/>
      <c r="P17" s="27"/>
      <c r="Q17" s="27"/>
      <c r="R17" s="35" t="s">
        <v>140</v>
      </c>
      <c r="S17" s="34"/>
      <c r="T17" s="34"/>
      <c r="U17" s="34"/>
      <c r="V17" s="34"/>
      <c r="W17" s="34"/>
      <c r="X17" s="34"/>
      <c r="Y17" s="589" t="s">
        <v>1504</v>
      </c>
      <c r="Z17" s="590"/>
      <c r="AA17" s="591" t="s">
        <v>1505</v>
      </c>
      <c r="AB17" s="592"/>
      <c r="AC17" s="593"/>
      <c r="AD17" s="53">
        <v>30</v>
      </c>
      <c r="AE17" s="25"/>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6" ht="15" customHeight="1">
      <c r="A18" s="37">
        <f>IF(B18="","",COUNTA($B$8:B18))</f>
        <v>11</v>
      </c>
      <c r="B18" s="35" t="s">
        <v>1716</v>
      </c>
      <c r="C18" s="34"/>
      <c r="D18" s="34"/>
      <c r="E18" s="34"/>
      <c r="F18" s="34"/>
      <c r="G18" s="34"/>
      <c r="H18" s="34"/>
      <c r="I18" s="35" t="s">
        <v>570</v>
      </c>
      <c r="J18" s="27"/>
      <c r="K18" s="27"/>
      <c r="L18" s="27"/>
      <c r="M18" s="27"/>
      <c r="N18" s="27"/>
      <c r="O18" s="27"/>
      <c r="P18" s="27"/>
      <c r="Q18" s="27"/>
      <c r="R18" s="35" t="s">
        <v>1716</v>
      </c>
      <c r="S18" s="34"/>
      <c r="T18" s="34"/>
      <c r="U18" s="34"/>
      <c r="V18" s="34"/>
      <c r="W18" s="34"/>
      <c r="X18" s="34"/>
      <c r="Y18" s="589" t="s">
        <v>1504</v>
      </c>
      <c r="Z18" s="590"/>
      <c r="AA18" s="591" t="s">
        <v>1505</v>
      </c>
      <c r="AB18" s="592"/>
      <c r="AC18" s="593"/>
      <c r="AD18" s="53">
        <v>2</v>
      </c>
      <c r="AE18" s="25"/>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6" ht="15" customHeight="1">
      <c r="A19" s="37">
        <f>IF(B19="","",COUNTA($B$8:B19))</f>
        <v>12</v>
      </c>
      <c r="B19" s="35" t="s">
        <v>1717</v>
      </c>
      <c r="C19" s="34"/>
      <c r="D19" s="34"/>
      <c r="E19" s="34"/>
      <c r="F19" s="34"/>
      <c r="G19" s="34"/>
      <c r="H19" s="34"/>
      <c r="I19" s="35"/>
      <c r="J19" s="27"/>
      <c r="K19" s="27"/>
      <c r="L19" s="27"/>
      <c r="M19" s="27"/>
      <c r="N19" s="27"/>
      <c r="O19" s="27"/>
      <c r="P19" s="27"/>
      <c r="Q19" s="27"/>
      <c r="R19" s="35" t="s">
        <v>1717</v>
      </c>
      <c r="S19" s="34"/>
      <c r="T19" s="34"/>
      <c r="U19" s="34"/>
      <c r="V19" s="34"/>
      <c r="W19" s="34"/>
      <c r="X19" s="34"/>
      <c r="Y19" s="589" t="s">
        <v>1504</v>
      </c>
      <c r="Z19" s="590"/>
      <c r="AA19" s="591" t="s">
        <v>1505</v>
      </c>
      <c r="AB19" s="592"/>
      <c r="AC19" s="593"/>
      <c r="AD19" s="53">
        <v>30</v>
      </c>
      <c r="AE19" s="25"/>
      <c r="AF19" s="25"/>
      <c r="AG19" s="25"/>
      <c r="AH19" s="25"/>
      <c r="AI19" s="25"/>
      <c r="AJ19" s="25"/>
      <c r="AK19" s="25"/>
      <c r="AL19" s="25"/>
      <c r="AM19" s="25"/>
      <c r="AN19" s="25"/>
      <c r="AO19" s="25"/>
      <c r="AP19" s="25"/>
      <c r="AQ19" s="25"/>
      <c r="AR19" s="25"/>
      <c r="AS19" s="35"/>
      <c r="AT19" s="36"/>
      <c r="AU19" s="36"/>
      <c r="AV19" s="36"/>
      <c r="AW19" s="36"/>
      <c r="AX19" s="36"/>
      <c r="AY19" s="36"/>
      <c r="AZ19" s="36"/>
      <c r="BA19" s="36"/>
      <c r="BB19" s="36"/>
      <c r="BC19" s="36"/>
      <c r="BD19" s="50"/>
    </row>
    <row r="20" spans="1:56" ht="15" customHeight="1">
      <c r="A20" s="37">
        <f>IF(B20="","",COUNTA($B$8:B20))</f>
        <v>13</v>
      </c>
      <c r="B20" s="35" t="s">
        <v>1718</v>
      </c>
      <c r="C20" s="34"/>
      <c r="D20" s="34"/>
      <c r="E20" s="34"/>
      <c r="F20" s="34"/>
      <c r="G20" s="34"/>
      <c r="H20" s="34"/>
      <c r="I20" s="35" t="s">
        <v>572</v>
      </c>
      <c r="J20" s="27"/>
      <c r="K20" s="27"/>
      <c r="L20" s="27"/>
      <c r="M20" s="27"/>
      <c r="N20" s="27"/>
      <c r="O20" s="27"/>
      <c r="P20" s="27"/>
      <c r="Q20" s="27"/>
      <c r="R20" s="35" t="s">
        <v>1718</v>
      </c>
      <c r="S20" s="34"/>
      <c r="T20" s="34"/>
      <c r="U20" s="34"/>
      <c r="V20" s="34"/>
      <c r="W20" s="34"/>
      <c r="X20" s="34"/>
      <c r="Y20" s="589" t="s">
        <v>1504</v>
      </c>
      <c r="Z20" s="590"/>
      <c r="AA20" s="591" t="s">
        <v>1505</v>
      </c>
      <c r="AB20" s="592"/>
      <c r="AC20" s="593"/>
      <c r="AD20" s="53">
        <v>2</v>
      </c>
      <c r="AE20" s="25"/>
      <c r="AF20" s="25"/>
      <c r="AG20" s="25"/>
      <c r="AH20" s="25"/>
      <c r="AI20" s="25"/>
      <c r="AJ20" s="25"/>
      <c r="AK20" s="25"/>
      <c r="AL20" s="25"/>
      <c r="AM20" s="25"/>
      <c r="AN20" s="25"/>
      <c r="AO20" s="25"/>
      <c r="AP20" s="25"/>
      <c r="AQ20" s="25"/>
      <c r="AR20" s="25"/>
      <c r="AS20" s="35"/>
      <c r="AT20" s="36"/>
      <c r="AU20" s="36"/>
      <c r="AV20" s="36"/>
      <c r="AW20" s="36"/>
      <c r="AX20" s="36"/>
      <c r="AY20" s="36"/>
      <c r="AZ20" s="36"/>
      <c r="BA20" s="36"/>
      <c r="BB20" s="36"/>
      <c r="BC20" s="36"/>
      <c r="BD20" s="50"/>
    </row>
    <row r="21" spans="1:56" ht="15" customHeight="1">
      <c r="A21" s="37">
        <f>IF(B21="","",COUNTA($B$8:B21))</f>
        <v>14</v>
      </c>
      <c r="B21" s="35" t="s">
        <v>1719</v>
      </c>
      <c r="C21" s="34"/>
      <c r="D21" s="34"/>
      <c r="E21" s="34"/>
      <c r="F21" s="34"/>
      <c r="G21" s="34"/>
      <c r="H21" s="34"/>
      <c r="I21" s="35"/>
      <c r="J21" s="27"/>
      <c r="K21" s="27"/>
      <c r="L21" s="27"/>
      <c r="M21" s="27"/>
      <c r="N21" s="27"/>
      <c r="O21" s="27"/>
      <c r="P21" s="27"/>
      <c r="Q21" s="27"/>
      <c r="R21" s="35" t="s">
        <v>1719</v>
      </c>
      <c r="S21" s="34"/>
      <c r="T21" s="34"/>
      <c r="U21" s="34"/>
      <c r="V21" s="34"/>
      <c r="W21" s="34"/>
      <c r="X21" s="34"/>
      <c r="Y21" s="589" t="s">
        <v>1504</v>
      </c>
      <c r="Z21" s="590"/>
      <c r="AA21" s="591" t="s">
        <v>1505</v>
      </c>
      <c r="AB21" s="592"/>
      <c r="AC21" s="593"/>
      <c r="AD21" s="53">
        <v>30</v>
      </c>
      <c r="AE21" s="25"/>
      <c r="AF21" s="25"/>
      <c r="AG21" s="25"/>
      <c r="AH21" s="25"/>
      <c r="AI21" s="25"/>
      <c r="AJ21" s="25"/>
      <c r="AK21" s="25"/>
      <c r="AL21" s="25"/>
      <c r="AM21" s="25"/>
      <c r="AN21" s="25"/>
      <c r="AO21" s="25"/>
      <c r="AP21" s="25"/>
      <c r="AQ21" s="25"/>
      <c r="AR21" s="25"/>
      <c r="AS21" s="35"/>
      <c r="AT21" s="36"/>
      <c r="AU21" s="36"/>
      <c r="AV21" s="36"/>
      <c r="AW21" s="36"/>
      <c r="AX21" s="36"/>
      <c r="AY21" s="36"/>
      <c r="AZ21" s="36"/>
      <c r="BA21" s="36"/>
      <c r="BB21" s="36"/>
      <c r="BC21" s="36"/>
      <c r="BD21" s="50"/>
    </row>
    <row r="22" spans="1:56" ht="15" customHeight="1">
      <c r="A22" s="37">
        <f>IF(B22="","",COUNTA($B$8:B22))</f>
        <v>15</v>
      </c>
      <c r="B22" s="35" t="s">
        <v>1530</v>
      </c>
      <c r="C22" s="34"/>
      <c r="D22" s="34"/>
      <c r="E22" s="34"/>
      <c r="F22" s="34"/>
      <c r="G22" s="34"/>
      <c r="H22" s="34"/>
      <c r="I22" s="35" t="s">
        <v>459</v>
      </c>
      <c r="J22" s="27"/>
      <c r="K22" s="27"/>
      <c r="L22" s="27"/>
      <c r="M22" s="27"/>
      <c r="N22" s="27"/>
      <c r="O22" s="27"/>
      <c r="P22" s="27"/>
      <c r="Q22" s="27"/>
      <c r="R22" s="35" t="s">
        <v>1530</v>
      </c>
      <c r="S22" s="34"/>
      <c r="T22" s="34"/>
      <c r="U22" s="34"/>
      <c r="V22" s="34"/>
      <c r="W22" s="34"/>
      <c r="X22" s="34"/>
      <c r="Y22" s="589" t="s">
        <v>1504</v>
      </c>
      <c r="Z22" s="590"/>
      <c r="AA22" s="591" t="s">
        <v>1505</v>
      </c>
      <c r="AB22" s="592"/>
      <c r="AC22" s="593"/>
      <c r="AD22" s="53">
        <v>2</v>
      </c>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6" ht="15" customHeight="1">
      <c r="A23" s="37">
        <f>IF(B23="","",COUNTA($B$8:B23))</f>
        <v>16</v>
      </c>
      <c r="B23" s="35" t="s">
        <v>1688</v>
      </c>
      <c r="C23" s="34"/>
      <c r="D23" s="34"/>
      <c r="E23" s="34"/>
      <c r="F23" s="34"/>
      <c r="G23" s="34"/>
      <c r="H23" s="34"/>
      <c r="I23" s="35" t="s">
        <v>491</v>
      </c>
      <c r="J23" s="27"/>
      <c r="K23" s="27"/>
      <c r="L23" s="27"/>
      <c r="M23" s="27"/>
      <c r="N23" s="27"/>
      <c r="O23" s="27"/>
      <c r="P23" s="27"/>
      <c r="Q23" s="27"/>
      <c r="R23" s="35" t="s">
        <v>1688</v>
      </c>
      <c r="S23" s="34"/>
      <c r="T23" s="34"/>
      <c r="U23" s="34"/>
      <c r="V23" s="34"/>
      <c r="W23" s="34"/>
      <c r="X23" s="34"/>
      <c r="Y23" s="589" t="s">
        <v>1504</v>
      </c>
      <c r="Z23" s="590"/>
      <c r="AA23" s="591" t="s">
        <v>1505</v>
      </c>
      <c r="AB23" s="592"/>
      <c r="AC23" s="593"/>
      <c r="AD23" s="53">
        <v>30</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6" ht="15" customHeight="1">
      <c r="A24" s="37">
        <f>IF(B24="","",COUNTA($B$8:B24))</f>
        <v>17</v>
      </c>
      <c r="B24" s="35" t="s">
        <v>260</v>
      </c>
      <c r="C24" s="34"/>
      <c r="D24" s="34"/>
      <c r="E24" s="34"/>
      <c r="F24" s="34"/>
      <c r="G24" s="34"/>
      <c r="H24" s="34"/>
      <c r="I24" s="35" t="s">
        <v>506</v>
      </c>
      <c r="J24" s="27"/>
      <c r="K24" s="27"/>
      <c r="L24" s="27"/>
      <c r="M24" s="27"/>
      <c r="N24" s="27"/>
      <c r="O24" s="27"/>
      <c r="P24" s="27"/>
      <c r="Q24" s="27"/>
      <c r="R24" s="35" t="s">
        <v>267</v>
      </c>
      <c r="S24" s="34"/>
      <c r="T24" s="34"/>
      <c r="U24" s="34"/>
      <c r="V24" s="34"/>
      <c r="W24" s="34"/>
      <c r="X24" s="34"/>
      <c r="Y24" s="589" t="s">
        <v>1504</v>
      </c>
      <c r="Z24" s="590"/>
      <c r="AA24" s="591" t="s">
        <v>1505</v>
      </c>
      <c r="AB24" s="592"/>
      <c r="AC24" s="593"/>
      <c r="AD24" s="53">
        <v>4</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6" ht="15" customHeight="1">
      <c r="A25" s="37">
        <f>IF(B25="","",COUNTA($B$8:B25))</f>
        <v>18</v>
      </c>
      <c r="B25" s="35" t="s">
        <v>267</v>
      </c>
      <c r="C25" s="34"/>
      <c r="D25" s="34"/>
      <c r="E25" s="34"/>
      <c r="F25" s="34"/>
      <c r="G25" s="34"/>
      <c r="H25" s="34"/>
      <c r="I25" s="35"/>
      <c r="J25" s="27"/>
      <c r="K25" s="27"/>
      <c r="L25" s="27"/>
      <c r="M25" s="27"/>
      <c r="N25" s="27"/>
      <c r="O25" s="27"/>
      <c r="P25" s="27"/>
      <c r="Q25" s="27"/>
      <c r="R25" s="35" t="s">
        <v>267</v>
      </c>
      <c r="S25" s="34"/>
      <c r="T25" s="34"/>
      <c r="U25" s="34"/>
      <c r="V25" s="34"/>
      <c r="W25" s="34"/>
      <c r="X25" s="34"/>
      <c r="Y25" s="589" t="s">
        <v>1504</v>
      </c>
      <c r="Z25" s="590"/>
      <c r="AA25" s="591" t="s">
        <v>1505</v>
      </c>
      <c r="AB25" s="592"/>
      <c r="AC25" s="593"/>
      <c r="AD25" s="53">
        <v>10</v>
      </c>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6" ht="15" customHeight="1">
      <c r="A26" s="37">
        <f>IF(B26="","",COUNTA($B$8:B26))</f>
        <v>19</v>
      </c>
      <c r="B26" s="35" t="s">
        <v>268</v>
      </c>
      <c r="C26" s="34"/>
      <c r="D26" s="34"/>
      <c r="E26" s="34"/>
      <c r="F26" s="34"/>
      <c r="G26" s="34"/>
      <c r="H26" s="34"/>
      <c r="I26" s="35" t="s">
        <v>506</v>
      </c>
      <c r="J26" s="27"/>
      <c r="K26" s="27"/>
      <c r="L26" s="27"/>
      <c r="M26" s="27"/>
      <c r="N26" s="27"/>
      <c r="O26" s="27"/>
      <c r="P26" s="27"/>
      <c r="Q26" s="27"/>
      <c r="R26" s="35" t="s">
        <v>268</v>
      </c>
      <c r="S26" s="34"/>
      <c r="T26" s="34"/>
      <c r="U26" s="34"/>
      <c r="V26" s="34"/>
      <c r="W26" s="34"/>
      <c r="X26" s="34"/>
      <c r="Y26" s="589" t="s">
        <v>1504</v>
      </c>
      <c r="Z26" s="590"/>
      <c r="AA26" s="591" t="s">
        <v>1505</v>
      </c>
      <c r="AB26" s="592"/>
      <c r="AC26" s="593"/>
      <c r="AD26" s="53">
        <v>4</v>
      </c>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6" ht="15" customHeight="1">
      <c r="A27" s="37">
        <f>IF(B27="","",COUNTA($B$8:B27))</f>
        <v>20</v>
      </c>
      <c r="B27" s="35" t="s">
        <v>251</v>
      </c>
      <c r="C27" s="34"/>
      <c r="D27" s="34"/>
      <c r="E27" s="34"/>
      <c r="F27" s="34"/>
      <c r="G27" s="34"/>
      <c r="H27" s="34"/>
      <c r="I27" s="35"/>
      <c r="J27" s="27"/>
      <c r="K27" s="27"/>
      <c r="L27" s="27"/>
      <c r="M27" s="27"/>
      <c r="N27" s="27"/>
      <c r="O27" s="27"/>
      <c r="P27" s="27"/>
      <c r="Q27" s="27"/>
      <c r="R27" s="35" t="s">
        <v>251</v>
      </c>
      <c r="S27" s="34"/>
      <c r="T27" s="34"/>
      <c r="U27" s="34"/>
      <c r="V27" s="34"/>
      <c r="W27" s="34"/>
      <c r="X27" s="34"/>
      <c r="Y27" s="589" t="s">
        <v>1504</v>
      </c>
      <c r="Z27" s="590"/>
      <c r="AA27" s="591" t="s">
        <v>1505</v>
      </c>
      <c r="AB27" s="592"/>
      <c r="AC27" s="593"/>
      <c r="AD27" s="53">
        <v>10</v>
      </c>
      <c r="AE27" s="25"/>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6" ht="15" customHeight="1">
      <c r="A28" s="37">
        <f>IF(B28="","",COUNTA($B$8:B28))</f>
        <v>21</v>
      </c>
      <c r="B28" s="35" t="s">
        <v>1526</v>
      </c>
      <c r="C28" s="34"/>
      <c r="D28" s="34"/>
      <c r="E28" s="34"/>
      <c r="F28" s="34"/>
      <c r="G28" s="34"/>
      <c r="H28" s="34"/>
      <c r="I28" s="35" t="s">
        <v>709</v>
      </c>
      <c r="J28" s="27"/>
      <c r="K28" s="27"/>
      <c r="L28" s="27"/>
      <c r="M28" s="27"/>
      <c r="N28" s="27"/>
      <c r="O28" s="27"/>
      <c r="P28" s="27"/>
      <c r="Q28" s="27"/>
      <c r="R28" s="35" t="s">
        <v>1526</v>
      </c>
      <c r="S28" s="34"/>
      <c r="T28" s="34"/>
      <c r="U28" s="34"/>
      <c r="V28" s="34"/>
      <c r="W28" s="34"/>
      <c r="X28" s="34"/>
      <c r="Y28" s="589" t="s">
        <v>1516</v>
      </c>
      <c r="Z28" s="590"/>
      <c r="AA28" s="591" t="s">
        <v>1517</v>
      </c>
      <c r="AB28" s="592"/>
      <c r="AC28" s="593"/>
      <c r="AD28" s="53">
        <v>7</v>
      </c>
      <c r="AE28" s="25">
        <v>2</v>
      </c>
      <c r="AF28" s="25"/>
      <c r="AG28" s="25"/>
      <c r="AH28" s="25"/>
      <c r="AI28" s="25"/>
      <c r="AJ28" s="25"/>
      <c r="AK28" s="25"/>
      <c r="AL28" s="25"/>
      <c r="AM28" s="25"/>
      <c r="AN28" s="25"/>
      <c r="AO28" s="25"/>
      <c r="AP28" s="25"/>
      <c r="AQ28" s="25"/>
      <c r="AR28" s="25"/>
      <c r="AS28" s="35"/>
      <c r="AT28" s="36"/>
      <c r="AU28" s="36"/>
      <c r="AV28" s="36"/>
      <c r="AW28" s="36"/>
      <c r="AX28" s="36"/>
      <c r="AY28" s="36"/>
      <c r="AZ28" s="36"/>
      <c r="BA28" s="36"/>
      <c r="BB28" s="36"/>
      <c r="BC28" s="36"/>
      <c r="BD28" s="50"/>
    </row>
    <row r="29" spans="1:56" ht="15" customHeight="1">
      <c r="A29" s="37">
        <f>IF(B29="","",COUNTA($B$8:B29))</f>
        <v>22</v>
      </c>
      <c r="B29" s="35" t="s">
        <v>431</v>
      </c>
      <c r="C29" s="34"/>
      <c r="D29" s="34"/>
      <c r="E29" s="34"/>
      <c r="F29" s="34"/>
      <c r="G29" s="34"/>
      <c r="H29" s="34"/>
      <c r="I29" s="35" t="s">
        <v>432</v>
      </c>
      <c r="J29" s="27"/>
      <c r="K29" s="27"/>
      <c r="L29" s="27"/>
      <c r="M29" s="27"/>
      <c r="N29" s="27"/>
      <c r="O29" s="27"/>
      <c r="P29" s="27"/>
      <c r="Q29" s="27"/>
      <c r="R29" s="35" t="s">
        <v>431</v>
      </c>
      <c r="S29" s="34"/>
      <c r="T29" s="34"/>
      <c r="U29" s="34"/>
      <c r="V29" s="34"/>
      <c r="W29" s="34"/>
      <c r="X29" s="34"/>
      <c r="Y29" s="589" t="s">
        <v>1516</v>
      </c>
      <c r="Z29" s="590"/>
      <c r="AA29" s="591" t="s">
        <v>1517</v>
      </c>
      <c r="AB29" s="592"/>
      <c r="AC29" s="593"/>
      <c r="AD29" s="53">
        <v>7</v>
      </c>
      <c r="AE29" s="25">
        <v>3</v>
      </c>
      <c r="AF29" s="25"/>
      <c r="AG29" s="25"/>
      <c r="AH29" s="25"/>
      <c r="AI29" s="25"/>
      <c r="AJ29" s="25"/>
      <c r="AK29" s="25"/>
      <c r="AL29" s="25"/>
      <c r="AM29" s="25"/>
      <c r="AN29" s="25"/>
      <c r="AO29" s="25"/>
      <c r="AP29" s="25"/>
      <c r="AQ29" s="25"/>
      <c r="AR29" s="25"/>
      <c r="AS29" s="35"/>
      <c r="AT29" s="36"/>
      <c r="AU29" s="36"/>
      <c r="AV29" s="36"/>
      <c r="AW29" s="36"/>
      <c r="AX29" s="36"/>
      <c r="AY29" s="36"/>
      <c r="AZ29" s="36"/>
      <c r="BA29" s="36"/>
      <c r="BB29" s="36"/>
      <c r="BC29" s="36"/>
      <c r="BD29" s="50"/>
    </row>
    <row r="30" spans="1:56" ht="15" customHeight="1">
      <c r="A30" s="37">
        <f>IF(B30="","",COUNTA($B$8:B30))</f>
        <v>23</v>
      </c>
      <c r="B30" s="35" t="s">
        <v>1506</v>
      </c>
      <c r="C30" s="34"/>
      <c r="D30" s="34"/>
      <c r="E30" s="34"/>
      <c r="F30" s="34"/>
      <c r="G30" s="34"/>
      <c r="H30" s="34"/>
      <c r="I30" s="35" t="s">
        <v>1395</v>
      </c>
      <c r="J30" s="27"/>
      <c r="K30" s="27"/>
      <c r="L30" s="27"/>
      <c r="M30" s="27"/>
      <c r="N30" s="27"/>
      <c r="O30" s="27"/>
      <c r="P30" s="27"/>
      <c r="Q30" s="27"/>
      <c r="R30" s="35" t="s">
        <v>1506</v>
      </c>
      <c r="S30" s="34"/>
      <c r="T30" s="34"/>
      <c r="U30" s="34"/>
      <c r="V30" s="34"/>
      <c r="W30" s="34"/>
      <c r="X30" s="34"/>
      <c r="Y30" s="589" t="s">
        <v>1504</v>
      </c>
      <c r="Z30" s="590"/>
      <c r="AA30" s="591" t="s">
        <v>1505</v>
      </c>
      <c r="AB30" s="592"/>
      <c r="AC30" s="593"/>
      <c r="AD30" s="53">
        <v>3</v>
      </c>
      <c r="AE30" s="25"/>
      <c r="AF30" s="25"/>
      <c r="AG30" s="25"/>
      <c r="AH30" s="25"/>
      <c r="AI30" s="25"/>
      <c r="AJ30" s="25"/>
      <c r="AK30" s="25"/>
      <c r="AL30" s="25"/>
      <c r="AM30" s="25"/>
      <c r="AN30" s="25"/>
      <c r="AO30" s="25"/>
      <c r="AP30" s="25"/>
      <c r="AQ30" s="25"/>
      <c r="AR30" s="25"/>
      <c r="AS30" s="35"/>
      <c r="AT30" s="36"/>
      <c r="AU30" s="36"/>
      <c r="AV30" s="36"/>
      <c r="AW30" s="36"/>
      <c r="AX30" s="36"/>
      <c r="AY30" s="36"/>
      <c r="AZ30" s="36"/>
      <c r="BA30" s="36"/>
      <c r="BB30" s="36"/>
      <c r="BC30" s="36"/>
      <c r="BD30" s="50"/>
    </row>
    <row r="31" spans="1:56" ht="15" customHeight="1">
      <c r="A31" s="37">
        <f>IF(B31="","",COUNTA($B$8:B31))</f>
        <v>24</v>
      </c>
      <c r="B31" s="35" t="s">
        <v>1570</v>
      </c>
      <c r="C31" s="34"/>
      <c r="D31" s="34"/>
      <c r="E31" s="34"/>
      <c r="F31" s="34"/>
      <c r="G31" s="34"/>
      <c r="H31" s="34"/>
      <c r="I31" s="35"/>
      <c r="J31" s="27"/>
      <c r="K31" s="27"/>
      <c r="L31" s="27"/>
      <c r="M31" s="27"/>
      <c r="N31" s="27"/>
      <c r="O31" s="27"/>
      <c r="P31" s="27"/>
      <c r="Q31" s="27"/>
      <c r="R31" s="35" t="s">
        <v>1570</v>
      </c>
      <c r="S31" s="34"/>
      <c r="T31" s="34"/>
      <c r="U31" s="34"/>
      <c r="V31" s="34"/>
      <c r="W31" s="34"/>
      <c r="X31" s="34"/>
      <c r="Y31" s="589" t="s">
        <v>1504</v>
      </c>
      <c r="Z31" s="590"/>
      <c r="AA31" s="591" t="s">
        <v>1505</v>
      </c>
      <c r="AB31" s="592"/>
      <c r="AC31" s="593"/>
      <c r="AD31" s="23">
        <v>30</v>
      </c>
      <c r="AE31" s="25"/>
      <c r="AF31" s="25"/>
      <c r="AG31" s="25"/>
      <c r="AH31" s="25"/>
      <c r="AI31" s="25"/>
      <c r="AJ31" s="25"/>
      <c r="AK31" s="25"/>
      <c r="AL31" s="25"/>
      <c r="AM31" s="25"/>
      <c r="AN31" s="25"/>
      <c r="AO31" s="25"/>
      <c r="AP31" s="25"/>
      <c r="AQ31" s="25"/>
      <c r="AR31" s="25"/>
      <c r="AS31" s="35"/>
      <c r="AT31" s="36"/>
      <c r="AU31" s="36"/>
      <c r="AV31" s="36"/>
      <c r="AW31" s="36"/>
      <c r="AX31" s="36"/>
      <c r="AY31" s="36"/>
      <c r="AZ31" s="36"/>
      <c r="BA31" s="36"/>
      <c r="BB31" s="36"/>
      <c r="BC31" s="36"/>
      <c r="BD31" s="50"/>
    </row>
    <row r="32" spans="1:56" ht="15" customHeight="1">
      <c r="A32" s="37">
        <f>IF(B32="","",COUNTA($B$8:B32))</f>
        <v>25</v>
      </c>
      <c r="B32" s="17" t="s">
        <v>1577</v>
      </c>
      <c r="C32" s="18"/>
      <c r="D32" s="18"/>
      <c r="E32" s="18"/>
      <c r="F32" s="18"/>
      <c r="G32" s="18"/>
      <c r="H32" s="18"/>
      <c r="I32" s="19"/>
      <c r="J32" s="20"/>
      <c r="K32" s="20"/>
      <c r="L32" s="20"/>
      <c r="M32" s="20"/>
      <c r="N32" s="20"/>
      <c r="O32" s="20"/>
      <c r="P32" s="20"/>
      <c r="Q32" s="20"/>
      <c r="R32" s="17" t="s">
        <v>1179</v>
      </c>
      <c r="S32" s="18"/>
      <c r="T32" s="18"/>
      <c r="U32" s="18"/>
      <c r="V32" s="18"/>
      <c r="W32" s="18"/>
      <c r="X32" s="18"/>
      <c r="Y32" s="589" t="s">
        <v>1516</v>
      </c>
      <c r="Z32" s="590"/>
      <c r="AA32" s="591" t="s">
        <v>1517</v>
      </c>
      <c r="AB32" s="592"/>
      <c r="AC32" s="593"/>
      <c r="AD32" s="38">
        <v>6</v>
      </c>
      <c r="AE32" s="30" t="s">
        <v>1585</v>
      </c>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5" customHeight="1">
      <c r="A33" s="37">
        <f>IF(B33="","",COUNTA($B$8:B33))</f>
        <v>26</v>
      </c>
      <c r="B33" s="17" t="s">
        <v>1682</v>
      </c>
      <c r="C33" s="18"/>
      <c r="D33" s="18"/>
      <c r="E33" s="18"/>
      <c r="F33" s="18"/>
      <c r="G33" s="18"/>
      <c r="H33" s="18"/>
      <c r="I33" s="19"/>
      <c r="J33" s="20"/>
      <c r="K33" s="20"/>
      <c r="L33" s="20"/>
      <c r="M33" s="20"/>
      <c r="N33" s="20"/>
      <c r="O33" s="20"/>
      <c r="P33" s="20"/>
      <c r="Q33" s="20"/>
      <c r="R33" s="17" t="s">
        <v>1682</v>
      </c>
      <c r="S33" s="18"/>
      <c r="T33" s="18"/>
      <c r="U33" s="18"/>
      <c r="V33" s="18"/>
      <c r="W33" s="18"/>
      <c r="X33" s="18"/>
      <c r="Y33" s="589" t="s">
        <v>1516</v>
      </c>
      <c r="Z33" s="590"/>
      <c r="AA33" s="591" t="s">
        <v>1517</v>
      </c>
      <c r="AB33" s="592"/>
      <c r="AC33" s="593"/>
      <c r="AD33" s="38">
        <v>7</v>
      </c>
      <c r="AE33" s="30" t="s">
        <v>116</v>
      </c>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5" customHeight="1">
      <c r="A34" s="37">
        <f>IF(B34="","",COUNTA($B$8:B34))</f>
        <v>27</v>
      </c>
      <c r="B34" s="17" t="s">
        <v>1681</v>
      </c>
      <c r="C34" s="18"/>
      <c r="D34" s="18"/>
      <c r="E34" s="18"/>
      <c r="F34" s="18"/>
      <c r="G34" s="18"/>
      <c r="H34" s="18"/>
      <c r="I34" s="19"/>
      <c r="J34" s="20"/>
      <c r="K34" s="20"/>
      <c r="L34" s="20"/>
      <c r="M34" s="20"/>
      <c r="N34" s="20"/>
      <c r="O34" s="20"/>
      <c r="P34" s="20"/>
      <c r="Q34" s="20"/>
      <c r="R34" s="17" t="s">
        <v>1681</v>
      </c>
      <c r="S34" s="18"/>
      <c r="T34" s="18"/>
      <c r="U34" s="18"/>
      <c r="V34" s="18"/>
      <c r="W34" s="18"/>
      <c r="X34" s="18"/>
      <c r="Y34" s="589" t="s">
        <v>1516</v>
      </c>
      <c r="Z34" s="590"/>
      <c r="AA34" s="591" t="s">
        <v>1517</v>
      </c>
      <c r="AB34" s="592"/>
      <c r="AC34" s="593"/>
      <c r="AD34" s="38">
        <v>7</v>
      </c>
      <c r="AE34" s="30" t="s">
        <v>116</v>
      </c>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5" customHeight="1">
      <c r="A35" s="37">
        <f>IF(B35="","",COUNTA($B$8:B35))</f>
        <v>28</v>
      </c>
      <c r="B35" s="17" t="s">
        <v>213</v>
      </c>
      <c r="C35" s="18"/>
      <c r="D35" s="18"/>
      <c r="E35" s="18"/>
      <c r="F35" s="18"/>
      <c r="G35" s="18"/>
      <c r="H35" s="18"/>
      <c r="I35" s="19"/>
      <c r="J35" s="20"/>
      <c r="K35" s="20"/>
      <c r="L35" s="20"/>
      <c r="M35" s="20"/>
      <c r="N35" s="20"/>
      <c r="O35" s="20"/>
      <c r="P35" s="20"/>
      <c r="Q35" s="20"/>
      <c r="R35" s="17" t="s">
        <v>1578</v>
      </c>
      <c r="S35" s="18"/>
      <c r="T35" s="18"/>
      <c r="U35" s="18"/>
      <c r="V35" s="18"/>
      <c r="W35" s="18"/>
      <c r="X35" s="18"/>
      <c r="Y35" s="589" t="s">
        <v>1516</v>
      </c>
      <c r="Z35" s="590"/>
      <c r="AA35" s="591" t="s">
        <v>1517</v>
      </c>
      <c r="AB35" s="592"/>
      <c r="AC35" s="593"/>
      <c r="AD35" s="38">
        <v>6</v>
      </c>
      <c r="AE35" s="30" t="s">
        <v>1585</v>
      </c>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5" customHeight="1">
      <c r="A36" s="37">
        <f>IF(B36="","",COUNTA($B$8:B36))</f>
        <v>29</v>
      </c>
      <c r="B36" s="17" t="s">
        <v>1658</v>
      </c>
      <c r="C36" s="18"/>
      <c r="D36" s="18"/>
      <c r="E36" s="18"/>
      <c r="F36" s="18"/>
      <c r="G36" s="18"/>
      <c r="H36" s="18"/>
      <c r="I36" s="19"/>
      <c r="J36" s="20"/>
      <c r="K36" s="20"/>
      <c r="L36" s="20"/>
      <c r="M36" s="20"/>
      <c r="N36" s="20"/>
      <c r="O36" s="20"/>
      <c r="P36" s="20"/>
      <c r="Q36" s="20"/>
      <c r="R36" s="17" t="s">
        <v>1658</v>
      </c>
      <c r="S36" s="18"/>
      <c r="T36" s="18"/>
      <c r="U36" s="18"/>
      <c r="V36" s="18"/>
      <c r="W36" s="18"/>
      <c r="X36" s="18"/>
      <c r="Y36" s="589" t="s">
        <v>1516</v>
      </c>
      <c r="Z36" s="590"/>
      <c r="AA36" s="591" t="s">
        <v>1517</v>
      </c>
      <c r="AB36" s="592"/>
      <c r="AC36" s="593"/>
      <c r="AD36" s="38">
        <v>7</v>
      </c>
      <c r="AE36" s="30" t="s">
        <v>116</v>
      </c>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5" customHeight="1">
      <c r="A37" s="37">
        <f>IF(B37="","",COUNTA($B$8:B37))</f>
        <v>30</v>
      </c>
      <c r="B37" s="17" t="s">
        <v>1657</v>
      </c>
      <c r="C37" s="18"/>
      <c r="D37" s="18"/>
      <c r="E37" s="18"/>
      <c r="F37" s="18"/>
      <c r="G37" s="18"/>
      <c r="H37" s="18"/>
      <c r="I37" s="19"/>
      <c r="J37" s="20"/>
      <c r="K37" s="20"/>
      <c r="L37" s="20"/>
      <c r="M37" s="20"/>
      <c r="N37" s="20"/>
      <c r="O37" s="20"/>
      <c r="P37" s="20"/>
      <c r="Q37" s="20"/>
      <c r="R37" s="17" t="s">
        <v>1657</v>
      </c>
      <c r="S37" s="18"/>
      <c r="T37" s="18"/>
      <c r="U37" s="18"/>
      <c r="V37" s="18"/>
      <c r="W37" s="18"/>
      <c r="X37" s="18"/>
      <c r="Y37" s="589" t="s">
        <v>1516</v>
      </c>
      <c r="Z37" s="590"/>
      <c r="AA37" s="591" t="s">
        <v>1517</v>
      </c>
      <c r="AB37" s="592"/>
      <c r="AC37" s="593"/>
      <c r="AD37" s="38">
        <v>6</v>
      </c>
      <c r="AE37" s="30" t="s">
        <v>1585</v>
      </c>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5" customHeight="1">
      <c r="A38" s="37">
        <f>IF(B38="","",COUNTA($B$8:B38))</f>
        <v>31</v>
      </c>
      <c r="B38" s="17" t="s">
        <v>1579</v>
      </c>
      <c r="C38" s="18"/>
      <c r="D38" s="18"/>
      <c r="E38" s="18"/>
      <c r="F38" s="18"/>
      <c r="G38" s="18"/>
      <c r="H38" s="18"/>
      <c r="I38" s="19"/>
      <c r="J38" s="20"/>
      <c r="K38" s="20"/>
      <c r="L38" s="20"/>
      <c r="M38" s="20"/>
      <c r="N38" s="20"/>
      <c r="O38" s="20"/>
      <c r="P38" s="20"/>
      <c r="Q38" s="20"/>
      <c r="R38" s="17" t="s">
        <v>1579</v>
      </c>
      <c r="S38" s="18"/>
      <c r="T38" s="18"/>
      <c r="U38" s="18"/>
      <c r="V38" s="18"/>
      <c r="W38" s="18"/>
      <c r="X38" s="18"/>
      <c r="Y38" s="589" t="s">
        <v>1516</v>
      </c>
      <c r="Z38" s="590"/>
      <c r="AA38" s="591" t="s">
        <v>1517</v>
      </c>
      <c r="AB38" s="592"/>
      <c r="AC38" s="593"/>
      <c r="AD38" s="38">
        <v>6</v>
      </c>
      <c r="AE38" s="30" t="s">
        <v>1585</v>
      </c>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5" customHeight="1">
      <c r="A39" s="37">
        <f>IF(B39="","",COUNTA($B$8:B39))</f>
        <v>32</v>
      </c>
      <c r="B39" s="17" t="s">
        <v>1652</v>
      </c>
      <c r="C39" s="18"/>
      <c r="D39" s="18"/>
      <c r="E39" s="18"/>
      <c r="F39" s="18"/>
      <c r="G39" s="18"/>
      <c r="H39" s="18"/>
      <c r="I39" s="19"/>
      <c r="J39" s="20"/>
      <c r="K39" s="20"/>
      <c r="L39" s="20"/>
      <c r="M39" s="20"/>
      <c r="N39" s="20"/>
      <c r="O39" s="20"/>
      <c r="P39" s="20"/>
      <c r="Q39" s="20"/>
      <c r="R39" s="17" t="s">
        <v>1580</v>
      </c>
      <c r="S39" s="18"/>
      <c r="T39" s="18"/>
      <c r="U39" s="18"/>
      <c r="V39" s="18"/>
      <c r="W39" s="18"/>
      <c r="X39" s="18"/>
      <c r="Y39" s="589" t="s">
        <v>1516</v>
      </c>
      <c r="Z39" s="590"/>
      <c r="AA39" s="591" t="s">
        <v>1517</v>
      </c>
      <c r="AB39" s="592"/>
      <c r="AC39" s="593"/>
      <c r="AD39" s="38">
        <v>7</v>
      </c>
      <c r="AE39" s="30" t="s">
        <v>116</v>
      </c>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5" customHeight="1">
      <c r="A40" s="37">
        <f>IF(B40="","",COUNTA($B$8:B40))</f>
        <v>33</v>
      </c>
      <c r="B40" s="17" t="s">
        <v>1651</v>
      </c>
      <c r="C40" s="18"/>
      <c r="D40" s="18"/>
      <c r="E40" s="18"/>
      <c r="F40" s="18"/>
      <c r="G40" s="18"/>
      <c r="H40" s="18"/>
      <c r="I40" s="19"/>
      <c r="J40" s="20"/>
      <c r="K40" s="20"/>
      <c r="L40" s="20"/>
      <c r="M40" s="20"/>
      <c r="N40" s="20"/>
      <c r="O40" s="20"/>
      <c r="P40" s="20"/>
      <c r="Q40" s="20"/>
      <c r="R40" s="17" t="s">
        <v>1580</v>
      </c>
      <c r="S40" s="18"/>
      <c r="T40" s="18"/>
      <c r="U40" s="18"/>
      <c r="V40" s="18"/>
      <c r="W40" s="18"/>
      <c r="X40" s="18"/>
      <c r="Y40" s="589" t="s">
        <v>1516</v>
      </c>
      <c r="Z40" s="590"/>
      <c r="AA40" s="591" t="s">
        <v>1517</v>
      </c>
      <c r="AB40" s="592"/>
      <c r="AC40" s="593"/>
      <c r="AD40" s="38">
        <v>7</v>
      </c>
      <c r="AE40" s="30" t="s">
        <v>116</v>
      </c>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5" customHeight="1">
      <c r="A41" s="37">
        <f>IF(B41="","",COUNTA($B$8:B41))</f>
        <v>34</v>
      </c>
      <c r="B41" s="17" t="s">
        <v>1581</v>
      </c>
      <c r="C41" s="18"/>
      <c r="D41" s="18"/>
      <c r="E41" s="18"/>
      <c r="F41" s="18"/>
      <c r="G41" s="18"/>
      <c r="H41" s="18"/>
      <c r="I41" s="19"/>
      <c r="J41" s="20"/>
      <c r="K41" s="20"/>
      <c r="L41" s="20"/>
      <c r="M41" s="20"/>
      <c r="N41" s="20"/>
      <c r="O41" s="20"/>
      <c r="P41" s="20"/>
      <c r="Q41" s="20"/>
      <c r="R41" s="17" t="s">
        <v>1581</v>
      </c>
      <c r="S41" s="18"/>
      <c r="T41" s="18"/>
      <c r="U41" s="18"/>
      <c r="V41" s="18"/>
      <c r="W41" s="18"/>
      <c r="X41" s="18"/>
      <c r="Y41" s="589" t="s">
        <v>1516</v>
      </c>
      <c r="Z41" s="590"/>
      <c r="AA41" s="591" t="s">
        <v>1517</v>
      </c>
      <c r="AB41" s="592"/>
      <c r="AC41" s="593"/>
      <c r="AD41" s="38">
        <v>6</v>
      </c>
      <c r="AE41" s="30" t="s">
        <v>1585</v>
      </c>
      <c r="AF41" s="30"/>
      <c r="AG41" s="30"/>
      <c r="AH41" s="30"/>
      <c r="AI41" s="30"/>
      <c r="AJ41" s="30"/>
      <c r="AK41" s="30"/>
      <c r="AL41" s="30"/>
      <c r="AM41" s="30"/>
      <c r="AN41" s="30"/>
      <c r="AO41" s="31"/>
      <c r="AP41" s="31"/>
      <c r="AQ41" s="31"/>
      <c r="AR41" s="31"/>
      <c r="AS41" s="32"/>
      <c r="AT41" s="33"/>
      <c r="AU41" s="51"/>
      <c r="AV41" s="51"/>
      <c r="AW41" s="51"/>
      <c r="AX41" s="51"/>
      <c r="AY41" s="51"/>
      <c r="AZ41" s="51"/>
      <c r="BA41" s="51"/>
      <c r="BB41" s="51"/>
      <c r="BC41" s="51"/>
      <c r="BD41" s="52"/>
    </row>
    <row r="42" spans="1:56" ht="15" customHeight="1">
      <c r="A42" s="37">
        <f>IF(B42="","",COUNTA($B$8:B42))</f>
        <v>35</v>
      </c>
      <c r="B42" s="17" t="s">
        <v>1668</v>
      </c>
      <c r="C42" s="18"/>
      <c r="D42" s="18"/>
      <c r="E42" s="18"/>
      <c r="F42" s="18"/>
      <c r="G42" s="18"/>
      <c r="H42" s="18"/>
      <c r="I42" s="19"/>
      <c r="J42" s="20"/>
      <c r="K42" s="20"/>
      <c r="L42" s="20"/>
      <c r="M42" s="20"/>
      <c r="N42" s="20"/>
      <c r="O42" s="20"/>
      <c r="P42" s="20"/>
      <c r="Q42" s="20"/>
      <c r="R42" s="17" t="s">
        <v>1668</v>
      </c>
      <c r="S42" s="18"/>
      <c r="T42" s="18"/>
      <c r="U42" s="18"/>
      <c r="V42" s="18"/>
      <c r="W42" s="18"/>
      <c r="X42" s="18"/>
      <c r="Y42" s="589" t="s">
        <v>1516</v>
      </c>
      <c r="Z42" s="590"/>
      <c r="AA42" s="591" t="s">
        <v>1517</v>
      </c>
      <c r="AB42" s="592"/>
      <c r="AC42" s="593"/>
      <c r="AD42" s="38">
        <v>7</v>
      </c>
      <c r="AE42" s="30" t="s">
        <v>116</v>
      </c>
      <c r="AF42" s="30"/>
      <c r="AG42" s="30"/>
      <c r="AH42" s="30"/>
      <c r="AI42" s="30"/>
      <c r="AJ42" s="30"/>
      <c r="AK42" s="30"/>
      <c r="AL42" s="30"/>
      <c r="AM42" s="30"/>
      <c r="AN42" s="30"/>
      <c r="AO42" s="31"/>
      <c r="AP42" s="31"/>
      <c r="AQ42" s="31"/>
      <c r="AR42" s="31"/>
      <c r="AS42" s="32"/>
      <c r="AT42" s="33"/>
      <c r="AU42" s="51"/>
      <c r="AV42" s="51"/>
      <c r="AW42" s="51"/>
      <c r="AX42" s="51"/>
      <c r="AY42" s="51"/>
      <c r="AZ42" s="51"/>
      <c r="BA42" s="51"/>
      <c r="BB42" s="51"/>
      <c r="BC42" s="51"/>
      <c r="BD42" s="52"/>
    </row>
    <row r="43" spans="1:56" ht="15" customHeight="1">
      <c r="A43" s="37">
        <f>IF(B43="","",COUNTA($B$8:B43))</f>
        <v>36</v>
      </c>
      <c r="B43" s="17" t="s">
        <v>1667</v>
      </c>
      <c r="C43" s="18"/>
      <c r="D43" s="18"/>
      <c r="E43" s="18"/>
      <c r="F43" s="18"/>
      <c r="G43" s="18"/>
      <c r="H43" s="18"/>
      <c r="I43" s="19"/>
      <c r="J43" s="20"/>
      <c r="K43" s="20"/>
      <c r="L43" s="20"/>
      <c r="M43" s="20"/>
      <c r="N43" s="20"/>
      <c r="O43" s="20"/>
      <c r="P43" s="20"/>
      <c r="Q43" s="20"/>
      <c r="R43" s="17" t="s">
        <v>1667</v>
      </c>
      <c r="S43" s="18"/>
      <c r="T43" s="18"/>
      <c r="U43" s="18"/>
      <c r="V43" s="18"/>
      <c r="W43" s="18"/>
      <c r="X43" s="18"/>
      <c r="Y43" s="589" t="s">
        <v>1516</v>
      </c>
      <c r="Z43" s="590"/>
      <c r="AA43" s="591" t="s">
        <v>1517</v>
      </c>
      <c r="AB43" s="592"/>
      <c r="AC43" s="593"/>
      <c r="AD43" s="38">
        <v>7</v>
      </c>
      <c r="AE43" s="30" t="s">
        <v>116</v>
      </c>
      <c r="AF43" s="30"/>
      <c r="AG43" s="30"/>
      <c r="AH43" s="30"/>
      <c r="AI43" s="30"/>
      <c r="AJ43" s="30"/>
      <c r="AK43" s="30"/>
      <c r="AL43" s="30"/>
      <c r="AM43" s="30"/>
      <c r="AN43" s="30"/>
      <c r="AO43" s="31"/>
      <c r="AP43" s="31"/>
      <c r="AQ43" s="31"/>
      <c r="AR43" s="31"/>
      <c r="AS43" s="32"/>
      <c r="AT43" s="33"/>
      <c r="AU43" s="51"/>
      <c r="AV43" s="51"/>
      <c r="AW43" s="51"/>
      <c r="AX43" s="51"/>
      <c r="AY43" s="51"/>
      <c r="AZ43" s="51"/>
      <c r="BA43" s="51"/>
      <c r="BB43" s="51"/>
      <c r="BC43" s="51"/>
      <c r="BD43" s="52"/>
    </row>
    <row r="44" spans="1:56" ht="15" customHeight="1">
      <c r="A44" s="37">
        <f>IF(B44="","",COUNTA($B$8:B44))</f>
        <v>37</v>
      </c>
      <c r="B44" s="17" t="s">
        <v>1302</v>
      </c>
      <c r="C44" s="34"/>
      <c r="D44" s="34"/>
      <c r="E44" s="34"/>
      <c r="F44" s="34"/>
      <c r="G44" s="34"/>
      <c r="H44" s="34"/>
      <c r="I44" s="19" t="s">
        <v>624</v>
      </c>
      <c r="J44" s="27"/>
      <c r="K44" s="27"/>
      <c r="L44" s="27"/>
      <c r="M44" s="27"/>
      <c r="N44" s="27"/>
      <c r="O44" s="27"/>
      <c r="P44" s="27"/>
      <c r="Q44" s="27"/>
      <c r="R44" s="17" t="s">
        <v>1704</v>
      </c>
      <c r="S44" s="34"/>
      <c r="T44" s="34"/>
      <c r="U44" s="34"/>
      <c r="V44" s="34"/>
      <c r="W44" s="34"/>
      <c r="X44" s="34"/>
      <c r="Y44" s="589" t="s">
        <v>1504</v>
      </c>
      <c r="Z44" s="590"/>
      <c r="AA44" s="591" t="s">
        <v>1505</v>
      </c>
      <c r="AB44" s="592"/>
      <c r="AC44" s="593"/>
      <c r="AD44" s="23">
        <v>10</v>
      </c>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5" customHeight="1">
      <c r="A45" s="37">
        <f>IF(B45="","",COUNTA($B$8:B45))</f>
        <v>38</v>
      </c>
      <c r="B45" s="17" t="s">
        <v>1508</v>
      </c>
      <c r="C45" s="34"/>
      <c r="D45" s="34"/>
      <c r="E45" s="34"/>
      <c r="F45" s="34"/>
      <c r="G45" s="34"/>
      <c r="H45" s="34"/>
      <c r="I45" s="19" t="s">
        <v>624</v>
      </c>
      <c r="J45" s="27"/>
      <c r="K45" s="27"/>
      <c r="L45" s="27"/>
      <c r="M45" s="27"/>
      <c r="N45" s="27"/>
      <c r="O45" s="27"/>
      <c r="P45" s="27"/>
      <c r="Q45" s="27"/>
      <c r="R45" s="17" t="s">
        <v>1508</v>
      </c>
      <c r="S45" s="34"/>
      <c r="T45" s="34"/>
      <c r="U45" s="34"/>
      <c r="V45" s="34"/>
      <c r="W45" s="34"/>
      <c r="X45" s="34"/>
      <c r="Y45" s="589" t="s">
        <v>1504</v>
      </c>
      <c r="Z45" s="590"/>
      <c r="AA45" s="591" t="s">
        <v>1505</v>
      </c>
      <c r="AB45" s="592"/>
      <c r="AC45" s="593"/>
      <c r="AD45" s="23">
        <v>10</v>
      </c>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5" customHeight="1">
      <c r="A46" s="37">
        <f>IF(B46="","",COUNTA($B$8:B46))</f>
        <v>39</v>
      </c>
      <c r="B46" s="17" t="s">
        <v>1509</v>
      </c>
      <c r="C46" s="34"/>
      <c r="D46" s="34"/>
      <c r="E46" s="34"/>
      <c r="F46" s="34"/>
      <c r="G46" s="34"/>
      <c r="H46" s="34"/>
      <c r="I46" s="19" t="s">
        <v>548</v>
      </c>
      <c r="J46" s="27"/>
      <c r="K46" s="27"/>
      <c r="L46" s="27"/>
      <c r="M46" s="27"/>
      <c r="N46" s="27"/>
      <c r="O46" s="27"/>
      <c r="P46" s="27"/>
      <c r="Q46" s="27"/>
      <c r="R46" s="17" t="s">
        <v>1509</v>
      </c>
      <c r="S46" s="34"/>
      <c r="T46" s="34"/>
      <c r="U46" s="34"/>
      <c r="V46" s="34"/>
      <c r="W46" s="34"/>
      <c r="X46" s="34"/>
      <c r="Y46" s="589" t="s">
        <v>1510</v>
      </c>
      <c r="Z46" s="590"/>
      <c r="AA46" s="591" t="s">
        <v>1511</v>
      </c>
      <c r="AB46" s="592"/>
      <c r="AC46" s="593"/>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row r="47" spans="1:56" ht="15" customHeight="1">
      <c r="A47" s="37">
        <f>IF(B47="","",COUNTA($B$8:B47))</f>
        <v>40</v>
      </c>
      <c r="B47" s="17" t="s">
        <v>1306</v>
      </c>
      <c r="C47" s="34"/>
      <c r="D47" s="34"/>
      <c r="E47" s="34"/>
      <c r="F47" s="34"/>
      <c r="G47" s="34"/>
      <c r="H47" s="34"/>
      <c r="I47" s="19" t="s">
        <v>626</v>
      </c>
      <c r="J47" s="27"/>
      <c r="K47" s="27"/>
      <c r="L47" s="27"/>
      <c r="M47" s="27"/>
      <c r="N47" s="27"/>
      <c r="O47" s="27"/>
      <c r="P47" s="27"/>
      <c r="Q47" s="27"/>
      <c r="R47" s="17" t="s">
        <v>1634</v>
      </c>
      <c r="S47" s="34"/>
      <c r="T47" s="34"/>
      <c r="U47" s="34"/>
      <c r="V47" s="34"/>
      <c r="W47" s="34"/>
      <c r="X47" s="34"/>
      <c r="Y47" s="589" t="s">
        <v>1504</v>
      </c>
      <c r="Z47" s="590"/>
      <c r="AA47" s="591" t="s">
        <v>1505</v>
      </c>
      <c r="AB47" s="592"/>
      <c r="AC47" s="593"/>
      <c r="AD47" s="23">
        <v>10</v>
      </c>
      <c r="AE47" s="25"/>
      <c r="AF47" s="25"/>
      <c r="AG47" s="25"/>
      <c r="AH47" s="25"/>
      <c r="AI47" s="25"/>
      <c r="AJ47" s="25"/>
      <c r="AK47" s="25"/>
      <c r="AL47" s="25"/>
      <c r="AM47" s="25"/>
      <c r="AN47" s="25"/>
      <c r="AO47" s="25"/>
      <c r="AP47" s="25"/>
      <c r="AQ47" s="25"/>
      <c r="AR47" s="25"/>
      <c r="AS47" s="26"/>
      <c r="AT47" s="51"/>
      <c r="AU47" s="51"/>
      <c r="AV47" s="51"/>
      <c r="AW47" s="51"/>
      <c r="AX47" s="51"/>
      <c r="AY47" s="51"/>
      <c r="AZ47" s="51"/>
      <c r="BA47" s="51"/>
      <c r="BB47" s="51"/>
      <c r="BC47" s="51"/>
      <c r="BD47" s="52"/>
    </row>
    <row r="48" spans="1:56" ht="15" customHeight="1">
      <c r="A48" s="37">
        <f>IF(B48="","",COUNTA($B$8:B48))</f>
        <v>41</v>
      </c>
      <c r="B48" s="17" t="s">
        <v>1512</v>
      </c>
      <c r="C48" s="18"/>
      <c r="D48" s="18"/>
      <c r="E48" s="18"/>
      <c r="F48" s="18"/>
      <c r="G48" s="18"/>
      <c r="H48" s="18"/>
      <c r="I48" s="19" t="s">
        <v>390</v>
      </c>
      <c r="J48" s="20"/>
      <c r="K48" s="20"/>
      <c r="L48" s="20"/>
      <c r="M48" s="20"/>
      <c r="N48" s="20"/>
      <c r="O48" s="20"/>
      <c r="P48" s="20"/>
      <c r="Q48" s="20"/>
      <c r="R48" s="17" t="s">
        <v>1512</v>
      </c>
      <c r="S48" s="18"/>
      <c r="T48" s="18"/>
      <c r="U48" s="18"/>
      <c r="V48" s="18"/>
      <c r="W48" s="18"/>
      <c r="X48" s="18"/>
      <c r="Y48" s="589" t="s">
        <v>1504</v>
      </c>
      <c r="Z48" s="590"/>
      <c r="AA48" s="591" t="s">
        <v>1505</v>
      </c>
      <c r="AB48" s="592"/>
      <c r="AC48" s="593"/>
      <c r="AD48" s="38">
        <v>10</v>
      </c>
      <c r="AE48" s="30" t="s">
        <v>1585</v>
      </c>
      <c r="AF48" s="30"/>
      <c r="AG48" s="30"/>
      <c r="AH48" s="30"/>
      <c r="AI48" s="30"/>
      <c r="AJ48" s="30"/>
      <c r="AK48" s="30"/>
      <c r="AL48" s="30"/>
      <c r="AM48" s="30"/>
      <c r="AN48" s="30"/>
      <c r="AO48" s="31"/>
      <c r="AP48" s="31"/>
      <c r="AQ48" s="31"/>
      <c r="AR48" s="31"/>
      <c r="AS48" s="32"/>
      <c r="AT48" s="33"/>
      <c r="AU48" s="51"/>
      <c r="AV48" s="51"/>
      <c r="AW48" s="51"/>
      <c r="AX48" s="51"/>
      <c r="AY48" s="51"/>
      <c r="AZ48" s="51"/>
      <c r="BA48" s="51"/>
      <c r="BB48" s="51"/>
      <c r="BC48" s="51"/>
      <c r="BD48" s="52"/>
    </row>
    <row r="49" spans="1:56" ht="15" customHeight="1">
      <c r="A49" s="37">
        <f>IF(B49="","",COUNTA($B$8:B49))</f>
        <v>42</v>
      </c>
      <c r="B49" s="17" t="s">
        <v>1513</v>
      </c>
      <c r="C49" s="18"/>
      <c r="D49" s="18"/>
      <c r="E49" s="18"/>
      <c r="F49" s="18"/>
      <c r="G49" s="18"/>
      <c r="H49" s="18"/>
      <c r="I49" s="19" t="s">
        <v>394</v>
      </c>
      <c r="J49" s="20"/>
      <c r="K49" s="20"/>
      <c r="L49" s="20"/>
      <c r="M49" s="20"/>
      <c r="N49" s="20"/>
      <c r="O49" s="20"/>
      <c r="P49" s="20"/>
      <c r="Q49" s="20"/>
      <c r="R49" s="17" t="s">
        <v>1513</v>
      </c>
      <c r="S49" s="18"/>
      <c r="T49" s="18"/>
      <c r="U49" s="18"/>
      <c r="V49" s="18"/>
      <c r="W49" s="18"/>
      <c r="X49" s="18"/>
      <c r="Y49" s="589" t="s">
        <v>1510</v>
      </c>
      <c r="Z49" s="590"/>
      <c r="AA49" s="591" t="s">
        <v>1511</v>
      </c>
      <c r="AB49" s="592"/>
      <c r="AC49" s="593"/>
      <c r="AD49" s="38"/>
      <c r="AE49" s="30" t="s">
        <v>1585</v>
      </c>
      <c r="AF49" s="30"/>
      <c r="AG49" s="30"/>
      <c r="AH49" s="30"/>
      <c r="AI49" s="30"/>
      <c r="AJ49" s="30"/>
      <c r="AK49" s="30"/>
      <c r="AL49" s="30"/>
      <c r="AM49" s="30"/>
      <c r="AN49" s="30"/>
      <c r="AO49" s="31"/>
      <c r="AP49" s="31"/>
      <c r="AQ49" s="31"/>
      <c r="AR49" s="31"/>
      <c r="AS49" s="32"/>
      <c r="AT49" s="33"/>
      <c r="AU49" s="51"/>
      <c r="AV49" s="51"/>
      <c r="AW49" s="51"/>
      <c r="AX49" s="51"/>
      <c r="AY49" s="51"/>
      <c r="AZ49" s="51"/>
      <c r="BA49" s="51"/>
      <c r="BB49" s="51"/>
      <c r="BC49" s="51"/>
      <c r="BD49" s="52"/>
    </row>
    <row r="50" spans="1:56" ht="15" customHeight="1">
      <c r="A50" s="37" t="str">
        <f>IF(B50="","",COUNTA($B$8:B50))</f>
        <v/>
      </c>
      <c r="B50" s="17"/>
      <c r="C50" s="18"/>
      <c r="D50" s="18"/>
      <c r="E50" s="18"/>
      <c r="F50" s="18"/>
      <c r="G50" s="18"/>
      <c r="H50" s="18"/>
      <c r="I50" s="19"/>
      <c r="J50" s="20"/>
      <c r="K50" s="20"/>
      <c r="L50" s="20"/>
      <c r="M50" s="20"/>
      <c r="N50" s="20"/>
      <c r="O50" s="20"/>
      <c r="P50" s="20"/>
      <c r="Q50" s="20"/>
      <c r="R50" s="17"/>
      <c r="S50" s="18"/>
      <c r="T50" s="18"/>
      <c r="U50" s="18"/>
      <c r="V50" s="18"/>
      <c r="W50" s="18"/>
      <c r="X50" s="18"/>
      <c r="Y50" s="17"/>
      <c r="Z50" s="28"/>
      <c r="AA50" s="21"/>
      <c r="AB50" s="22"/>
      <c r="AC50" s="29"/>
      <c r="AD50" s="38"/>
      <c r="AE50" s="30"/>
      <c r="AF50" s="30"/>
      <c r="AG50" s="30"/>
      <c r="AH50" s="30"/>
      <c r="AI50" s="30"/>
      <c r="AJ50" s="30"/>
      <c r="AK50" s="30"/>
      <c r="AL50" s="30"/>
      <c r="AM50" s="30"/>
      <c r="AN50" s="30"/>
      <c r="AO50" s="31"/>
      <c r="AP50" s="31"/>
      <c r="AQ50" s="31"/>
      <c r="AR50" s="31"/>
      <c r="AS50" s="32"/>
      <c r="AT50" s="33"/>
      <c r="AU50" s="51"/>
      <c r="AV50" s="51"/>
      <c r="AW50" s="51"/>
      <c r="AX50" s="51"/>
      <c r="AY50" s="51"/>
      <c r="AZ50" s="51"/>
      <c r="BA50" s="51"/>
      <c r="BB50" s="51"/>
      <c r="BC50" s="51"/>
      <c r="BD50" s="52"/>
    </row>
    <row r="51" spans="1:56" ht="15" customHeight="1">
      <c r="A51" s="37" t="str">
        <f>IF(B51="","",COUNTA($B$8:B51))</f>
        <v/>
      </c>
      <c r="B51" s="17"/>
      <c r="C51" s="18"/>
      <c r="D51" s="18"/>
      <c r="E51" s="18"/>
      <c r="F51" s="18"/>
      <c r="G51" s="18"/>
      <c r="H51" s="18"/>
      <c r="I51" s="19"/>
      <c r="J51" s="20"/>
      <c r="K51" s="20"/>
      <c r="L51" s="20"/>
      <c r="M51" s="20"/>
      <c r="N51" s="20"/>
      <c r="O51" s="20"/>
      <c r="P51" s="20"/>
      <c r="Q51" s="20"/>
      <c r="R51" s="17"/>
      <c r="S51" s="18"/>
      <c r="T51" s="18"/>
      <c r="U51" s="18"/>
      <c r="V51" s="18"/>
      <c r="W51" s="18"/>
      <c r="X51" s="18"/>
      <c r="Y51" s="17"/>
      <c r="Z51" s="28"/>
      <c r="AA51" s="21"/>
      <c r="AB51" s="22"/>
      <c r="AC51" s="29"/>
      <c r="AD51" s="38"/>
      <c r="AE51" s="30"/>
      <c r="AF51" s="30"/>
      <c r="AG51" s="30"/>
      <c r="AH51" s="30"/>
      <c r="AI51" s="30"/>
      <c r="AJ51" s="30"/>
      <c r="AK51" s="30"/>
      <c r="AL51" s="30"/>
      <c r="AM51" s="30"/>
      <c r="AN51" s="30"/>
      <c r="AO51" s="31"/>
      <c r="AP51" s="31"/>
      <c r="AQ51" s="31"/>
      <c r="AR51" s="31"/>
      <c r="AS51" s="32"/>
      <c r="AT51" s="33"/>
      <c r="AU51" s="51"/>
      <c r="AV51" s="51"/>
      <c r="AW51" s="51"/>
      <c r="AX51" s="51"/>
      <c r="AY51" s="51"/>
      <c r="AZ51" s="51"/>
      <c r="BA51" s="51"/>
      <c r="BB51" s="51"/>
      <c r="BC51" s="51"/>
      <c r="BD51" s="52"/>
    </row>
    <row r="52" spans="1:56" ht="15" customHeight="1">
      <c r="A52" s="37" t="str">
        <f>IF(B52="","",COUNTA($B$8:B52))</f>
        <v/>
      </c>
      <c r="B52" s="17"/>
      <c r="C52" s="18"/>
      <c r="D52" s="18"/>
      <c r="E52" s="18"/>
      <c r="F52" s="18"/>
      <c r="G52" s="18"/>
      <c r="H52" s="18"/>
      <c r="I52" s="19"/>
      <c r="J52" s="20"/>
      <c r="K52" s="20"/>
      <c r="L52" s="20"/>
      <c r="M52" s="20"/>
      <c r="N52" s="20"/>
      <c r="O52" s="20"/>
      <c r="P52" s="20"/>
      <c r="Q52" s="20"/>
      <c r="R52" s="17"/>
      <c r="S52" s="18"/>
      <c r="T52" s="18"/>
      <c r="U52" s="18"/>
      <c r="V52" s="18"/>
      <c r="W52" s="18"/>
      <c r="X52" s="18"/>
      <c r="Y52" s="17"/>
      <c r="Z52" s="28"/>
      <c r="AA52" s="21"/>
      <c r="AB52" s="22"/>
      <c r="AC52" s="29"/>
      <c r="AD52" s="38"/>
      <c r="AE52" s="30"/>
      <c r="AF52" s="30"/>
      <c r="AG52" s="30"/>
      <c r="AH52" s="30"/>
      <c r="AI52" s="30"/>
      <c r="AJ52" s="30"/>
      <c r="AK52" s="30"/>
      <c r="AL52" s="30"/>
      <c r="AM52" s="30"/>
      <c r="AN52" s="30"/>
      <c r="AO52" s="31"/>
      <c r="AP52" s="31"/>
      <c r="AQ52" s="31"/>
      <c r="AR52" s="31"/>
      <c r="AS52" s="32"/>
      <c r="AT52" s="33"/>
      <c r="AU52" s="51"/>
      <c r="AV52" s="51"/>
      <c r="AW52" s="51"/>
      <c r="AX52" s="51"/>
      <c r="AY52" s="51"/>
      <c r="AZ52" s="51"/>
      <c r="BA52" s="51"/>
      <c r="BB52" s="51"/>
      <c r="BC52" s="51"/>
      <c r="BD52" s="52"/>
    </row>
    <row r="53" spans="1:56" ht="15" customHeight="1">
      <c r="A53" s="37" t="str">
        <f>IF(B53="","",COUNTA($B$8:B53))</f>
        <v/>
      </c>
      <c r="B53" s="17"/>
      <c r="C53" s="18"/>
      <c r="D53" s="18"/>
      <c r="E53" s="18"/>
      <c r="F53" s="18"/>
      <c r="G53" s="18"/>
      <c r="H53" s="18"/>
      <c r="I53" s="19"/>
      <c r="J53" s="20"/>
      <c r="K53" s="20"/>
      <c r="L53" s="20"/>
      <c r="M53" s="20"/>
      <c r="N53" s="20"/>
      <c r="O53" s="20"/>
      <c r="P53" s="20"/>
      <c r="Q53" s="20"/>
      <c r="R53" s="17"/>
      <c r="S53" s="18"/>
      <c r="T53" s="18"/>
      <c r="U53" s="18"/>
      <c r="V53" s="18"/>
      <c r="W53" s="18"/>
      <c r="X53" s="18"/>
      <c r="Y53" s="17"/>
      <c r="Z53" s="28"/>
      <c r="AA53" s="21"/>
      <c r="AB53" s="22"/>
      <c r="AC53" s="29"/>
      <c r="AD53" s="38"/>
      <c r="AE53" s="30"/>
      <c r="AF53" s="30"/>
      <c r="AG53" s="30"/>
      <c r="AH53" s="30"/>
      <c r="AI53" s="30"/>
      <c r="AJ53" s="30"/>
      <c r="AK53" s="30"/>
      <c r="AL53" s="30"/>
      <c r="AM53" s="30"/>
      <c r="AN53" s="30"/>
      <c r="AO53" s="31"/>
      <c r="AP53" s="31"/>
      <c r="AQ53" s="31"/>
      <c r="AR53" s="31"/>
      <c r="AS53" s="32"/>
      <c r="AT53" s="33"/>
      <c r="AU53" s="51"/>
      <c r="AV53" s="51"/>
      <c r="AW53" s="51"/>
      <c r="AX53" s="51"/>
      <c r="AY53" s="51"/>
      <c r="AZ53" s="51"/>
      <c r="BA53" s="51"/>
      <c r="BB53" s="51"/>
      <c r="BC53" s="51"/>
      <c r="BD53" s="52"/>
    </row>
    <row r="54" spans="1:56" ht="15" customHeight="1">
      <c r="A54" s="37" t="str">
        <f>IF(B54="","",COUNTA($B$8:B54))</f>
        <v/>
      </c>
      <c r="B54" s="17"/>
      <c r="C54" s="18"/>
      <c r="D54" s="18"/>
      <c r="E54" s="18"/>
      <c r="F54" s="18"/>
      <c r="G54" s="18"/>
      <c r="H54" s="18"/>
      <c r="I54" s="19"/>
      <c r="J54" s="20"/>
      <c r="K54" s="20"/>
      <c r="L54" s="20"/>
      <c r="M54" s="20"/>
      <c r="N54" s="20"/>
      <c r="O54" s="20"/>
      <c r="P54" s="20"/>
      <c r="Q54" s="20"/>
      <c r="R54" s="17"/>
      <c r="S54" s="18"/>
      <c r="T54" s="18"/>
      <c r="U54" s="18"/>
      <c r="V54" s="18"/>
      <c r="W54" s="18"/>
      <c r="X54" s="18"/>
      <c r="Y54" s="17"/>
      <c r="Z54" s="28"/>
      <c r="AA54" s="21"/>
      <c r="AB54" s="22"/>
      <c r="AC54" s="29"/>
      <c r="AD54" s="38"/>
      <c r="AE54" s="30"/>
      <c r="AF54" s="30"/>
      <c r="AG54" s="30"/>
      <c r="AH54" s="30"/>
      <c r="AI54" s="30"/>
      <c r="AJ54" s="30"/>
      <c r="AK54" s="30"/>
      <c r="AL54" s="30"/>
      <c r="AM54" s="30"/>
      <c r="AN54" s="30"/>
      <c r="AO54" s="31"/>
      <c r="AP54" s="31"/>
      <c r="AQ54" s="31"/>
      <c r="AR54" s="31"/>
      <c r="AS54" s="32"/>
      <c r="AT54" s="33"/>
      <c r="AU54" s="51"/>
      <c r="AV54" s="51"/>
      <c r="AW54" s="51"/>
      <c r="AX54" s="51"/>
      <c r="AY54" s="51"/>
      <c r="AZ54" s="51"/>
      <c r="BA54" s="51"/>
      <c r="BB54" s="51"/>
      <c r="BC54" s="51"/>
      <c r="BD54" s="52"/>
    </row>
    <row r="55" spans="1:56" ht="15" customHeight="1">
      <c r="A55" s="37" t="str">
        <f>IF(B55="","",COUNTA($B$8:B55))</f>
        <v/>
      </c>
      <c r="B55" s="17"/>
      <c r="C55" s="18"/>
      <c r="D55" s="18"/>
      <c r="E55" s="18"/>
      <c r="F55" s="18"/>
      <c r="G55" s="18"/>
      <c r="H55" s="18"/>
      <c r="I55" s="19"/>
      <c r="J55" s="20"/>
      <c r="K55" s="20"/>
      <c r="L55" s="20"/>
      <c r="M55" s="20"/>
      <c r="N55" s="20"/>
      <c r="O55" s="20"/>
      <c r="P55" s="20"/>
      <c r="Q55" s="20"/>
      <c r="R55" s="17"/>
      <c r="S55" s="18"/>
      <c r="T55" s="18"/>
      <c r="U55" s="18"/>
      <c r="V55" s="18"/>
      <c r="W55" s="18"/>
      <c r="X55" s="18"/>
      <c r="Y55" s="17"/>
      <c r="Z55" s="28"/>
      <c r="AA55" s="21"/>
      <c r="AB55" s="22"/>
      <c r="AC55" s="29"/>
      <c r="AD55" s="38"/>
      <c r="AE55" s="30"/>
      <c r="AF55" s="30"/>
      <c r="AG55" s="30"/>
      <c r="AH55" s="30"/>
      <c r="AI55" s="30"/>
      <c r="AJ55" s="30"/>
      <c r="AK55" s="30"/>
      <c r="AL55" s="30"/>
      <c r="AM55" s="30"/>
      <c r="AN55" s="30"/>
      <c r="AO55" s="31"/>
      <c r="AP55" s="31"/>
      <c r="AQ55" s="31"/>
      <c r="AR55" s="31"/>
      <c r="AS55" s="32"/>
      <c r="AT55" s="33"/>
      <c r="AU55" s="51"/>
      <c r="AV55" s="51"/>
      <c r="AW55" s="51"/>
      <c r="AX55" s="51"/>
      <c r="AY55" s="51"/>
      <c r="AZ55" s="51"/>
      <c r="BA55" s="51"/>
      <c r="BB55" s="51"/>
      <c r="BC55" s="51"/>
      <c r="BD55" s="52"/>
    </row>
    <row r="56" spans="1:56" ht="15" customHeight="1">
      <c r="A56" s="37" t="str">
        <f>IF(B56="","",COUNTA($B$8:B56))</f>
        <v/>
      </c>
      <c r="B56" s="17"/>
      <c r="C56" s="18"/>
      <c r="D56" s="18"/>
      <c r="E56" s="18"/>
      <c r="F56" s="18"/>
      <c r="G56" s="18"/>
      <c r="H56" s="18"/>
      <c r="I56" s="19"/>
      <c r="J56" s="20"/>
      <c r="K56" s="20"/>
      <c r="L56" s="20"/>
      <c r="M56" s="20"/>
      <c r="N56" s="20"/>
      <c r="O56" s="20"/>
      <c r="P56" s="20"/>
      <c r="Q56" s="20"/>
      <c r="R56" s="17"/>
      <c r="S56" s="18"/>
      <c r="T56" s="18"/>
      <c r="U56" s="18"/>
      <c r="V56" s="18"/>
      <c r="W56" s="18"/>
      <c r="X56" s="18"/>
      <c r="Y56" s="17"/>
      <c r="Z56" s="28"/>
      <c r="AA56" s="21"/>
      <c r="AB56" s="22"/>
      <c r="AC56" s="29"/>
      <c r="AD56" s="38"/>
      <c r="AE56" s="30"/>
      <c r="AF56" s="30"/>
      <c r="AG56" s="30"/>
      <c r="AH56" s="30"/>
      <c r="AI56" s="30"/>
      <c r="AJ56" s="30"/>
      <c r="AK56" s="30"/>
      <c r="AL56" s="30"/>
      <c r="AM56" s="30"/>
      <c r="AN56" s="30"/>
      <c r="AO56" s="31"/>
      <c r="AP56" s="31"/>
      <c r="AQ56" s="31"/>
      <c r="AR56" s="31"/>
      <c r="AS56" s="32"/>
      <c r="AT56" s="33"/>
      <c r="AU56" s="51"/>
      <c r="AV56" s="51"/>
      <c r="AW56" s="51"/>
      <c r="AX56" s="51"/>
      <c r="AY56" s="51"/>
      <c r="AZ56" s="51"/>
      <c r="BA56" s="51"/>
      <c r="BB56" s="51"/>
      <c r="BC56" s="51"/>
      <c r="BD56" s="52"/>
    </row>
    <row r="57" spans="1:56" ht="15" customHeight="1">
      <c r="A57" s="37" t="str">
        <f>IF(B57="","",COUNTA($B$8:B57))</f>
        <v/>
      </c>
      <c r="B57" s="17"/>
      <c r="C57" s="18"/>
      <c r="D57" s="18"/>
      <c r="E57" s="18"/>
      <c r="F57" s="18"/>
      <c r="G57" s="18"/>
      <c r="H57" s="18"/>
      <c r="I57" s="19"/>
      <c r="J57" s="20"/>
      <c r="K57" s="20"/>
      <c r="L57" s="20"/>
      <c r="M57" s="20"/>
      <c r="N57" s="20"/>
      <c r="O57" s="20"/>
      <c r="P57" s="20"/>
      <c r="Q57" s="20"/>
      <c r="R57" s="17"/>
      <c r="S57" s="18"/>
      <c r="T57" s="18"/>
      <c r="U57" s="18"/>
      <c r="V57" s="18"/>
      <c r="W57" s="18"/>
      <c r="X57" s="18"/>
      <c r="Y57" s="17"/>
      <c r="Z57" s="28"/>
      <c r="AA57" s="21"/>
      <c r="AB57" s="22"/>
      <c r="AC57" s="29"/>
      <c r="AD57" s="38"/>
      <c r="AE57" s="30"/>
      <c r="AF57" s="30"/>
      <c r="AG57" s="30"/>
      <c r="AH57" s="30"/>
      <c r="AI57" s="30"/>
      <c r="AJ57" s="30"/>
      <c r="AK57" s="30"/>
      <c r="AL57" s="30"/>
      <c r="AM57" s="30"/>
      <c r="AN57" s="30"/>
      <c r="AO57" s="31"/>
      <c r="AP57" s="31"/>
      <c r="AQ57" s="31"/>
      <c r="AR57" s="31"/>
      <c r="AS57" s="32"/>
      <c r="AT57" s="33"/>
      <c r="AU57" s="51"/>
      <c r="AV57" s="51"/>
      <c r="AW57" s="51"/>
      <c r="AX57" s="51"/>
      <c r="AY57" s="51"/>
      <c r="AZ57" s="51"/>
      <c r="BA57" s="51"/>
      <c r="BB57" s="51"/>
      <c r="BC57" s="51"/>
      <c r="BD57" s="52"/>
    </row>
    <row r="58" spans="1:56" ht="15" customHeight="1">
      <c r="A58" s="37" t="str">
        <f>IF(B58="","",COUNTA($B$8:B58))</f>
        <v/>
      </c>
      <c r="B58" s="17"/>
      <c r="C58" s="18"/>
      <c r="D58" s="18"/>
      <c r="E58" s="18"/>
      <c r="F58" s="18"/>
      <c r="G58" s="18"/>
      <c r="H58" s="18"/>
      <c r="I58" s="19"/>
      <c r="J58" s="20"/>
      <c r="K58" s="20"/>
      <c r="L58" s="20"/>
      <c r="M58" s="20"/>
      <c r="N58" s="20"/>
      <c r="O58" s="20"/>
      <c r="P58" s="20"/>
      <c r="Q58" s="20"/>
      <c r="R58" s="17"/>
      <c r="S58" s="18"/>
      <c r="T58" s="18"/>
      <c r="U58" s="18"/>
      <c r="V58" s="18"/>
      <c r="W58" s="18"/>
      <c r="X58" s="18"/>
      <c r="Y58" s="17"/>
      <c r="Z58" s="28"/>
      <c r="AA58" s="21"/>
      <c r="AB58" s="22"/>
      <c r="AC58" s="29"/>
      <c r="AD58" s="38"/>
      <c r="AE58" s="30"/>
      <c r="AF58" s="30"/>
      <c r="AG58" s="30"/>
      <c r="AH58" s="30"/>
      <c r="AI58" s="30"/>
      <c r="AJ58" s="30"/>
      <c r="AK58" s="30"/>
      <c r="AL58" s="30"/>
      <c r="AM58" s="30"/>
      <c r="AN58" s="30"/>
      <c r="AO58" s="31"/>
      <c r="AP58" s="31"/>
      <c r="AQ58" s="31"/>
      <c r="AR58" s="31"/>
      <c r="AS58" s="32"/>
      <c r="AT58" s="33"/>
      <c r="AU58" s="51"/>
      <c r="AV58" s="51"/>
      <c r="AW58" s="51"/>
      <c r="AX58" s="51"/>
      <c r="AY58" s="51"/>
      <c r="AZ58" s="51"/>
      <c r="BA58" s="51"/>
      <c r="BB58" s="51"/>
      <c r="BC58" s="51"/>
      <c r="BD58" s="52"/>
    </row>
    <row r="59" spans="1:56" ht="15" customHeight="1">
      <c r="A59" s="37" t="str">
        <f>IF(B59="","",COUNTA($B$8:B59))</f>
        <v/>
      </c>
      <c r="B59" s="17"/>
      <c r="C59" s="18"/>
      <c r="D59" s="18"/>
      <c r="E59" s="18"/>
      <c r="F59" s="18"/>
      <c r="G59" s="18"/>
      <c r="H59" s="18"/>
      <c r="I59" s="19"/>
      <c r="J59" s="20"/>
      <c r="K59" s="20"/>
      <c r="L59" s="20"/>
      <c r="M59" s="20"/>
      <c r="N59" s="20"/>
      <c r="O59" s="20"/>
      <c r="P59" s="20"/>
      <c r="Q59" s="20"/>
      <c r="R59" s="17"/>
      <c r="S59" s="18"/>
      <c r="T59" s="18"/>
      <c r="U59" s="18"/>
      <c r="V59" s="18"/>
      <c r="W59" s="18"/>
      <c r="X59" s="18"/>
      <c r="Y59" s="17"/>
      <c r="Z59" s="28"/>
      <c r="AA59" s="21"/>
      <c r="AB59" s="22"/>
      <c r="AC59" s="29"/>
      <c r="AD59" s="38"/>
      <c r="AE59" s="30"/>
      <c r="AF59" s="30"/>
      <c r="AG59" s="30"/>
      <c r="AH59" s="30"/>
      <c r="AI59" s="30"/>
      <c r="AJ59" s="30"/>
      <c r="AK59" s="30"/>
      <c r="AL59" s="30"/>
      <c r="AM59" s="30"/>
      <c r="AN59" s="30"/>
      <c r="AO59" s="31"/>
      <c r="AP59" s="31"/>
      <c r="AQ59" s="31"/>
      <c r="AR59" s="31"/>
      <c r="AS59" s="32"/>
      <c r="AT59" s="33"/>
      <c r="AU59" s="51"/>
      <c r="AV59" s="51"/>
      <c r="AW59" s="51"/>
      <c r="AX59" s="51"/>
      <c r="AY59" s="51"/>
      <c r="AZ59" s="51"/>
      <c r="BA59" s="51"/>
      <c r="BB59" s="51"/>
      <c r="BC59" s="51"/>
      <c r="BD59" s="52"/>
    </row>
    <row r="60" spans="1:56" ht="15" customHeight="1">
      <c r="A60" s="37" t="str">
        <f>IF(B60="","",COUNTA($B$8:B60))</f>
        <v/>
      </c>
      <c r="B60" s="17"/>
      <c r="C60" s="18"/>
      <c r="D60" s="18"/>
      <c r="E60" s="18"/>
      <c r="F60" s="18"/>
      <c r="G60" s="18"/>
      <c r="H60" s="18"/>
      <c r="I60" s="19"/>
      <c r="J60" s="20"/>
      <c r="K60" s="20"/>
      <c r="L60" s="20"/>
      <c r="M60" s="20"/>
      <c r="N60" s="20"/>
      <c r="O60" s="20"/>
      <c r="P60" s="20"/>
      <c r="Q60" s="20"/>
      <c r="R60" s="17"/>
      <c r="S60" s="18"/>
      <c r="T60" s="18"/>
      <c r="U60" s="18"/>
      <c r="V60" s="18"/>
      <c r="W60" s="18"/>
      <c r="X60" s="18"/>
      <c r="Y60" s="17"/>
      <c r="Z60" s="28"/>
      <c r="AA60" s="21"/>
      <c r="AB60" s="22"/>
      <c r="AC60" s="29"/>
      <c r="AD60" s="38"/>
      <c r="AE60" s="30"/>
      <c r="AF60" s="30"/>
      <c r="AG60" s="30"/>
      <c r="AH60" s="30"/>
      <c r="AI60" s="30"/>
      <c r="AJ60" s="30"/>
      <c r="AK60" s="30"/>
      <c r="AL60" s="30"/>
      <c r="AM60" s="30"/>
      <c r="AN60" s="30"/>
      <c r="AO60" s="31"/>
      <c r="AP60" s="31"/>
      <c r="AQ60" s="31"/>
      <c r="AR60" s="31"/>
      <c r="AS60" s="32"/>
      <c r="AT60" s="33"/>
      <c r="AU60" s="51"/>
      <c r="AV60" s="51"/>
      <c r="AW60" s="51"/>
      <c r="AX60" s="51"/>
      <c r="AY60" s="51"/>
      <c r="AZ60" s="51"/>
      <c r="BA60" s="51"/>
      <c r="BB60" s="51"/>
      <c r="BC60" s="51"/>
      <c r="BD60" s="52"/>
    </row>
    <row r="61" spans="1:56" ht="15" customHeight="1">
      <c r="A61" s="37" t="str">
        <f>IF(B61="","",COUNTA($B$8:B61))</f>
        <v/>
      </c>
      <c r="B61" s="17"/>
      <c r="C61" s="18"/>
      <c r="D61" s="18"/>
      <c r="E61" s="18"/>
      <c r="F61" s="18"/>
      <c r="G61" s="18"/>
      <c r="H61" s="18"/>
      <c r="I61" s="19"/>
      <c r="J61" s="20"/>
      <c r="K61" s="20"/>
      <c r="L61" s="20"/>
      <c r="M61" s="20"/>
      <c r="N61" s="20"/>
      <c r="O61" s="20"/>
      <c r="P61" s="20"/>
      <c r="Q61" s="20"/>
      <c r="R61" s="17"/>
      <c r="S61" s="18"/>
      <c r="T61" s="18"/>
      <c r="U61" s="18"/>
      <c r="V61" s="18"/>
      <c r="W61" s="18"/>
      <c r="X61" s="18"/>
      <c r="Y61" s="17"/>
      <c r="Z61" s="28"/>
      <c r="AA61" s="21"/>
      <c r="AB61" s="22"/>
      <c r="AC61" s="29"/>
      <c r="AD61" s="38"/>
      <c r="AE61" s="30"/>
      <c r="AF61" s="30"/>
      <c r="AG61" s="30"/>
      <c r="AH61" s="30"/>
      <c r="AI61" s="30"/>
      <c r="AJ61" s="30"/>
      <c r="AK61" s="30"/>
      <c r="AL61" s="30"/>
      <c r="AM61" s="30"/>
      <c r="AN61" s="30"/>
      <c r="AO61" s="31"/>
      <c r="AP61" s="31"/>
      <c r="AQ61" s="31"/>
      <c r="AR61" s="31"/>
      <c r="AS61" s="32"/>
      <c r="AT61" s="33"/>
      <c r="AU61" s="51"/>
      <c r="AV61" s="51"/>
      <c r="AW61" s="51"/>
      <c r="AX61" s="51"/>
      <c r="AY61" s="51"/>
      <c r="AZ61" s="51"/>
      <c r="BA61" s="51"/>
      <c r="BB61" s="51"/>
      <c r="BC61" s="51"/>
      <c r="BD61" s="52"/>
    </row>
    <row r="62" spans="1:56" ht="15" customHeight="1">
      <c r="A62" s="37" t="str">
        <f>IF(B62="","",COUNTA($B$8:B62))</f>
        <v/>
      </c>
      <c r="B62" s="17"/>
      <c r="C62" s="18"/>
      <c r="D62" s="18"/>
      <c r="E62" s="18"/>
      <c r="F62" s="18"/>
      <c r="G62" s="18"/>
      <c r="H62" s="18"/>
      <c r="I62" s="19"/>
      <c r="J62" s="20"/>
      <c r="K62" s="20"/>
      <c r="L62" s="20"/>
      <c r="M62" s="20"/>
      <c r="N62" s="20"/>
      <c r="O62" s="20"/>
      <c r="P62" s="20"/>
      <c r="Q62" s="20"/>
      <c r="R62" s="17"/>
      <c r="S62" s="18"/>
      <c r="T62" s="18"/>
      <c r="U62" s="18"/>
      <c r="V62" s="18"/>
      <c r="W62" s="18"/>
      <c r="X62" s="18"/>
      <c r="Y62" s="17"/>
      <c r="Z62" s="28"/>
      <c r="AA62" s="21"/>
      <c r="AB62" s="22"/>
      <c r="AC62" s="29"/>
      <c r="AD62" s="38"/>
      <c r="AE62" s="30"/>
      <c r="AF62" s="30"/>
      <c r="AG62" s="30"/>
      <c r="AH62" s="30"/>
      <c r="AI62" s="30"/>
      <c r="AJ62" s="30"/>
      <c r="AK62" s="30"/>
      <c r="AL62" s="30"/>
      <c r="AM62" s="30"/>
      <c r="AN62" s="30"/>
      <c r="AO62" s="31"/>
      <c r="AP62" s="31"/>
      <c r="AQ62" s="31"/>
      <c r="AR62" s="31"/>
      <c r="AS62" s="32"/>
      <c r="AT62" s="33"/>
      <c r="AU62" s="51"/>
      <c r="AV62" s="51"/>
      <c r="AW62" s="51"/>
      <c r="AX62" s="51"/>
      <c r="AY62" s="51"/>
      <c r="AZ62" s="51"/>
      <c r="BA62" s="51"/>
      <c r="BB62" s="51"/>
      <c r="BC62" s="51"/>
      <c r="BD62" s="52"/>
    </row>
    <row r="63" spans="1:56" ht="15" customHeight="1">
      <c r="A63" s="37" t="str">
        <f>IF(B63="","",COUNTA($B$8:B63))</f>
        <v/>
      </c>
      <c r="B63" s="17"/>
      <c r="C63" s="18"/>
      <c r="D63" s="18"/>
      <c r="E63" s="18"/>
      <c r="F63" s="18"/>
      <c r="G63" s="18"/>
      <c r="H63" s="18"/>
      <c r="I63" s="19"/>
      <c r="J63" s="20"/>
      <c r="K63" s="20"/>
      <c r="L63" s="20"/>
      <c r="M63" s="20"/>
      <c r="N63" s="20"/>
      <c r="O63" s="20"/>
      <c r="P63" s="20"/>
      <c r="Q63" s="20"/>
      <c r="R63" s="17"/>
      <c r="S63" s="18"/>
      <c r="T63" s="18"/>
      <c r="U63" s="18"/>
      <c r="V63" s="18"/>
      <c r="W63" s="18"/>
      <c r="X63" s="18"/>
      <c r="Y63" s="17"/>
      <c r="Z63" s="28"/>
      <c r="AA63" s="21"/>
      <c r="AB63" s="22"/>
      <c r="AC63" s="29"/>
      <c r="AD63" s="38"/>
      <c r="AE63" s="30"/>
      <c r="AF63" s="30"/>
      <c r="AG63" s="30"/>
      <c r="AH63" s="30"/>
      <c r="AI63" s="30"/>
      <c r="AJ63" s="30"/>
      <c r="AK63" s="30"/>
      <c r="AL63" s="30"/>
      <c r="AM63" s="30"/>
      <c r="AN63" s="30"/>
      <c r="AO63" s="31"/>
      <c r="AP63" s="31"/>
      <c r="AQ63" s="31"/>
      <c r="AR63" s="31"/>
      <c r="AS63" s="32"/>
      <c r="AT63" s="33"/>
      <c r="AU63" s="51"/>
      <c r="AV63" s="51"/>
      <c r="AW63" s="51"/>
      <c r="AX63" s="51"/>
      <c r="AY63" s="51"/>
      <c r="AZ63" s="51"/>
      <c r="BA63" s="51"/>
      <c r="BB63" s="51"/>
      <c r="BC63" s="51"/>
      <c r="BD63" s="52"/>
    </row>
    <row r="64" spans="1:56" ht="15" customHeight="1">
      <c r="A64" s="37" t="str">
        <f>IF(B64="","",COUNTA($B$8:B64))</f>
        <v/>
      </c>
      <c r="B64" s="17"/>
      <c r="C64" s="18"/>
      <c r="D64" s="18"/>
      <c r="E64" s="18"/>
      <c r="F64" s="18"/>
      <c r="G64" s="18"/>
      <c r="H64" s="18"/>
      <c r="I64" s="19"/>
      <c r="J64" s="20"/>
      <c r="K64" s="20"/>
      <c r="L64" s="20"/>
      <c r="M64" s="20"/>
      <c r="N64" s="20"/>
      <c r="O64" s="20"/>
      <c r="P64" s="20"/>
      <c r="Q64" s="20"/>
      <c r="R64" s="17"/>
      <c r="S64" s="18"/>
      <c r="T64" s="18"/>
      <c r="U64" s="18"/>
      <c r="V64" s="18"/>
      <c r="W64" s="18"/>
      <c r="X64" s="18"/>
      <c r="Y64" s="17"/>
      <c r="Z64" s="28"/>
      <c r="AA64" s="21"/>
      <c r="AB64" s="22"/>
      <c r="AC64" s="29"/>
      <c r="AD64" s="38"/>
      <c r="AE64" s="30"/>
      <c r="AF64" s="30"/>
      <c r="AG64" s="30"/>
      <c r="AH64" s="30"/>
      <c r="AI64" s="30"/>
      <c r="AJ64" s="30"/>
      <c r="AK64" s="30"/>
      <c r="AL64" s="30"/>
      <c r="AM64" s="30"/>
      <c r="AN64" s="30"/>
      <c r="AO64" s="31"/>
      <c r="AP64" s="31"/>
      <c r="AQ64" s="31"/>
      <c r="AR64" s="31"/>
      <c r="AS64" s="32"/>
      <c r="AT64" s="33"/>
      <c r="AU64" s="51"/>
      <c r="AV64" s="51"/>
      <c r="AW64" s="51"/>
      <c r="AX64" s="51"/>
      <c r="AY64" s="51"/>
      <c r="AZ64" s="51"/>
      <c r="BA64" s="51"/>
      <c r="BB64" s="51"/>
      <c r="BC64" s="51"/>
      <c r="BD64" s="52"/>
    </row>
    <row r="65" spans="1:56" ht="15" customHeight="1">
      <c r="A65" s="37" t="str">
        <f>IF(B65="","",COUNTA($B$8:B65))</f>
        <v/>
      </c>
      <c r="B65" s="17"/>
      <c r="C65" s="18"/>
      <c r="D65" s="18"/>
      <c r="E65" s="18"/>
      <c r="F65" s="18"/>
      <c r="G65" s="18"/>
      <c r="H65" s="18"/>
      <c r="I65" s="19"/>
      <c r="J65" s="20"/>
      <c r="K65" s="20"/>
      <c r="L65" s="20"/>
      <c r="M65" s="20"/>
      <c r="N65" s="20"/>
      <c r="O65" s="20"/>
      <c r="P65" s="20"/>
      <c r="Q65" s="20"/>
      <c r="R65" s="17"/>
      <c r="S65" s="18"/>
      <c r="T65" s="18"/>
      <c r="U65" s="18"/>
      <c r="V65" s="18"/>
      <c r="W65" s="18"/>
      <c r="X65" s="18"/>
      <c r="Y65" s="17"/>
      <c r="Z65" s="28"/>
      <c r="AA65" s="21"/>
      <c r="AB65" s="22"/>
      <c r="AC65" s="29"/>
      <c r="AD65" s="38"/>
      <c r="AE65" s="30"/>
      <c r="AF65" s="30"/>
      <c r="AG65" s="30"/>
      <c r="AH65" s="30"/>
      <c r="AI65" s="30"/>
      <c r="AJ65" s="30"/>
      <c r="AK65" s="30"/>
      <c r="AL65" s="30"/>
      <c r="AM65" s="30"/>
      <c r="AN65" s="30"/>
      <c r="AO65" s="31"/>
      <c r="AP65" s="31"/>
      <c r="AQ65" s="31"/>
      <c r="AR65" s="31"/>
      <c r="AS65" s="32"/>
      <c r="AT65" s="33"/>
      <c r="AU65" s="51"/>
      <c r="AV65" s="51"/>
      <c r="AW65" s="51"/>
      <c r="AX65" s="51"/>
      <c r="AY65" s="51"/>
      <c r="AZ65" s="51"/>
      <c r="BA65" s="51"/>
      <c r="BB65" s="51"/>
      <c r="BC65" s="51"/>
      <c r="BD65" s="52"/>
    </row>
    <row r="66" spans="1:56" ht="15" customHeight="1">
      <c r="A66" s="37" t="str">
        <f>IF(B66="","",COUNTA($B$8:B66))</f>
        <v/>
      </c>
      <c r="B66" s="17"/>
      <c r="C66" s="18"/>
      <c r="D66" s="18"/>
      <c r="E66" s="18"/>
      <c r="F66" s="18"/>
      <c r="G66" s="18"/>
      <c r="H66" s="18"/>
      <c r="I66" s="19"/>
      <c r="J66" s="20"/>
      <c r="K66" s="20"/>
      <c r="L66" s="20"/>
      <c r="M66" s="20"/>
      <c r="N66" s="20"/>
      <c r="O66" s="20"/>
      <c r="P66" s="20"/>
      <c r="Q66" s="20"/>
      <c r="R66" s="17"/>
      <c r="S66" s="18"/>
      <c r="T66" s="18"/>
      <c r="U66" s="18"/>
      <c r="V66" s="18"/>
      <c r="W66" s="18"/>
      <c r="X66" s="18"/>
      <c r="Y66" s="17"/>
      <c r="Z66" s="28"/>
      <c r="AA66" s="21"/>
      <c r="AB66" s="22"/>
      <c r="AC66" s="29"/>
      <c r="AD66" s="38"/>
      <c r="AE66" s="30"/>
      <c r="AF66" s="30"/>
      <c r="AG66" s="30"/>
      <c r="AH66" s="30"/>
      <c r="AI66" s="30"/>
      <c r="AJ66" s="30"/>
      <c r="AK66" s="30"/>
      <c r="AL66" s="30"/>
      <c r="AM66" s="30"/>
      <c r="AN66" s="30"/>
      <c r="AO66" s="31"/>
      <c r="AP66" s="31"/>
      <c r="AQ66" s="31"/>
      <c r="AR66" s="31"/>
      <c r="AS66" s="32"/>
      <c r="AT66" s="33"/>
      <c r="AU66" s="51"/>
      <c r="AV66" s="51"/>
      <c r="AW66" s="51"/>
      <c r="AX66" s="51"/>
      <c r="AY66" s="51"/>
      <c r="AZ66" s="51"/>
      <c r="BA66" s="51"/>
      <c r="BB66" s="51"/>
      <c r="BC66" s="51"/>
      <c r="BD66" s="52"/>
    </row>
    <row r="67" spans="1:56" ht="15" customHeight="1">
      <c r="A67" s="37" t="str">
        <f>IF(B67="","",COUNTA($B$8:B67))</f>
        <v/>
      </c>
      <c r="B67" s="17"/>
      <c r="C67" s="18"/>
      <c r="D67" s="18"/>
      <c r="E67" s="18"/>
      <c r="F67" s="18"/>
      <c r="G67" s="18"/>
      <c r="H67" s="18"/>
      <c r="I67" s="19"/>
      <c r="J67" s="20"/>
      <c r="K67" s="20"/>
      <c r="L67" s="20"/>
      <c r="M67" s="20"/>
      <c r="N67" s="20"/>
      <c r="O67" s="20"/>
      <c r="P67" s="20"/>
      <c r="Q67" s="20"/>
      <c r="R67" s="17"/>
      <c r="S67" s="18"/>
      <c r="T67" s="18"/>
      <c r="U67" s="18"/>
      <c r="V67" s="18"/>
      <c r="W67" s="18"/>
      <c r="X67" s="18"/>
      <c r="Y67" s="17"/>
      <c r="Z67" s="28"/>
      <c r="AA67" s="21"/>
      <c r="AB67" s="22"/>
      <c r="AC67" s="29"/>
      <c r="AD67" s="38"/>
      <c r="AE67" s="30"/>
      <c r="AF67" s="30"/>
      <c r="AG67" s="30"/>
      <c r="AH67" s="30"/>
      <c r="AI67" s="30"/>
      <c r="AJ67" s="30"/>
      <c r="AK67" s="30"/>
      <c r="AL67" s="30"/>
      <c r="AM67" s="30"/>
      <c r="AN67" s="30"/>
      <c r="AO67" s="31"/>
      <c r="AP67" s="31"/>
      <c r="AQ67" s="31"/>
      <c r="AR67" s="31"/>
      <c r="AS67" s="32"/>
      <c r="AT67" s="33"/>
      <c r="AU67" s="51"/>
      <c r="AV67" s="51"/>
      <c r="AW67" s="51"/>
      <c r="AX67" s="51"/>
      <c r="AY67" s="51"/>
      <c r="AZ67" s="51"/>
      <c r="BA67" s="51"/>
      <c r="BB67" s="51"/>
      <c r="BC67" s="51"/>
      <c r="BD67" s="52"/>
    </row>
    <row r="68" spans="1:56" ht="15" customHeight="1">
      <c r="A68" s="37" t="str">
        <f>IF(B68="","",COUNTA($B$8:B68))</f>
        <v/>
      </c>
      <c r="B68" s="17"/>
      <c r="C68" s="18"/>
      <c r="D68" s="18"/>
      <c r="E68" s="18"/>
      <c r="F68" s="18"/>
      <c r="G68" s="18"/>
      <c r="H68" s="18"/>
      <c r="I68" s="19"/>
      <c r="J68" s="20"/>
      <c r="K68" s="20"/>
      <c r="L68" s="20"/>
      <c r="M68" s="20"/>
      <c r="N68" s="20"/>
      <c r="O68" s="20"/>
      <c r="P68" s="20"/>
      <c r="Q68" s="20"/>
      <c r="R68" s="17"/>
      <c r="S68" s="18"/>
      <c r="T68" s="18"/>
      <c r="U68" s="18"/>
      <c r="V68" s="18"/>
      <c r="W68" s="18"/>
      <c r="X68" s="18"/>
      <c r="Y68" s="17"/>
      <c r="Z68" s="28"/>
      <c r="AA68" s="21"/>
      <c r="AB68" s="22"/>
      <c r="AC68" s="29"/>
      <c r="AD68" s="38"/>
      <c r="AE68" s="30"/>
      <c r="AF68" s="30"/>
      <c r="AG68" s="30"/>
      <c r="AH68" s="30"/>
      <c r="AI68" s="30"/>
      <c r="AJ68" s="30"/>
      <c r="AK68" s="30"/>
      <c r="AL68" s="30"/>
      <c r="AM68" s="30"/>
      <c r="AN68" s="30"/>
      <c r="AO68" s="31"/>
      <c r="AP68" s="31"/>
      <c r="AQ68" s="31"/>
      <c r="AR68" s="31"/>
      <c r="AS68" s="32"/>
      <c r="AT68" s="33"/>
      <c r="AU68" s="51"/>
      <c r="AV68" s="51"/>
      <c r="AW68" s="51"/>
      <c r="AX68" s="51"/>
      <c r="AY68" s="51"/>
      <c r="AZ68" s="51"/>
      <c r="BA68" s="51"/>
      <c r="BB68" s="51"/>
      <c r="BC68" s="51"/>
      <c r="BD68" s="52"/>
    </row>
    <row r="69" spans="1:56" ht="15" customHeight="1">
      <c r="A69" s="37" t="str">
        <f>IF(B69="","",COUNTA($B$8:B69))</f>
        <v/>
      </c>
      <c r="B69" s="17"/>
      <c r="C69" s="18"/>
      <c r="D69" s="18"/>
      <c r="E69" s="18"/>
      <c r="F69" s="18"/>
      <c r="G69" s="18"/>
      <c r="H69" s="18"/>
      <c r="I69" s="19"/>
      <c r="J69" s="20"/>
      <c r="K69" s="20"/>
      <c r="L69" s="20"/>
      <c r="M69" s="20"/>
      <c r="N69" s="20"/>
      <c r="O69" s="20"/>
      <c r="P69" s="20"/>
      <c r="Q69" s="20"/>
      <c r="R69" s="17"/>
      <c r="S69" s="18"/>
      <c r="T69" s="18"/>
      <c r="U69" s="18"/>
      <c r="V69" s="18"/>
      <c r="W69" s="18"/>
      <c r="X69" s="18"/>
      <c r="Y69" s="17"/>
      <c r="Z69" s="28"/>
      <c r="AA69" s="21"/>
      <c r="AB69" s="22"/>
      <c r="AC69" s="29"/>
      <c r="AD69" s="38"/>
      <c r="AE69" s="30"/>
      <c r="AF69" s="30"/>
      <c r="AG69" s="30"/>
      <c r="AH69" s="30"/>
      <c r="AI69" s="30"/>
      <c r="AJ69" s="30"/>
      <c r="AK69" s="30"/>
      <c r="AL69" s="30"/>
      <c r="AM69" s="30"/>
      <c r="AN69" s="30"/>
      <c r="AO69" s="31"/>
      <c r="AP69" s="31"/>
      <c r="AQ69" s="31"/>
      <c r="AR69" s="31"/>
      <c r="AS69" s="32"/>
      <c r="AT69" s="33"/>
      <c r="AU69" s="51"/>
      <c r="AV69" s="51"/>
      <c r="AW69" s="51"/>
      <c r="AX69" s="51"/>
      <c r="AY69" s="51"/>
      <c r="AZ69" s="51"/>
      <c r="BA69" s="51"/>
      <c r="BB69" s="51"/>
      <c r="BC69" s="51"/>
      <c r="BD69" s="52"/>
    </row>
    <row r="70" spans="1:56" ht="15" customHeight="1">
      <c r="A70" s="37" t="str">
        <f>IF(B70="","",COUNTA($B$8:B70))</f>
        <v/>
      </c>
      <c r="B70" s="17"/>
      <c r="C70" s="18"/>
      <c r="D70" s="18"/>
      <c r="E70" s="18"/>
      <c r="F70" s="18"/>
      <c r="G70" s="18"/>
      <c r="H70" s="18"/>
      <c r="I70" s="19"/>
      <c r="J70" s="20"/>
      <c r="K70" s="20"/>
      <c r="L70" s="20"/>
      <c r="M70" s="20"/>
      <c r="N70" s="20"/>
      <c r="O70" s="20"/>
      <c r="P70" s="20"/>
      <c r="Q70" s="20"/>
      <c r="R70" s="17"/>
      <c r="S70" s="18"/>
      <c r="T70" s="18"/>
      <c r="U70" s="18"/>
      <c r="V70" s="18"/>
      <c r="W70" s="18"/>
      <c r="X70" s="18"/>
      <c r="Y70" s="17"/>
      <c r="Z70" s="28"/>
      <c r="AA70" s="21"/>
      <c r="AB70" s="22"/>
      <c r="AC70" s="29"/>
      <c r="AD70" s="38"/>
      <c r="AE70" s="30"/>
      <c r="AF70" s="30"/>
      <c r="AG70" s="30"/>
      <c r="AH70" s="30"/>
      <c r="AI70" s="30"/>
      <c r="AJ70" s="30"/>
      <c r="AK70" s="30"/>
      <c r="AL70" s="30"/>
      <c r="AM70" s="30"/>
      <c r="AN70" s="30"/>
      <c r="AO70" s="31"/>
      <c r="AP70" s="31"/>
      <c r="AQ70" s="31"/>
      <c r="AR70" s="31"/>
      <c r="AS70" s="32"/>
      <c r="AT70" s="33"/>
      <c r="AU70" s="51"/>
      <c r="AV70" s="51"/>
      <c r="AW70" s="51"/>
      <c r="AX70" s="51"/>
      <c r="AY70" s="51"/>
      <c r="AZ70" s="51"/>
      <c r="BA70" s="51"/>
      <c r="BB70" s="51"/>
      <c r="BC70" s="51"/>
      <c r="BD70" s="52"/>
    </row>
    <row r="71" spans="1:56" ht="15" customHeight="1">
      <c r="A71" s="37" t="str">
        <f>IF(B71="","",COUNTA($B$8:B71))</f>
        <v/>
      </c>
      <c r="B71" s="17"/>
      <c r="C71" s="18"/>
      <c r="D71" s="18"/>
      <c r="E71" s="18"/>
      <c r="F71" s="18"/>
      <c r="G71" s="18"/>
      <c r="H71" s="18"/>
      <c r="I71" s="19"/>
      <c r="J71" s="20"/>
      <c r="K71" s="20"/>
      <c r="L71" s="20"/>
      <c r="M71" s="20"/>
      <c r="N71" s="20"/>
      <c r="O71" s="20"/>
      <c r="P71" s="20"/>
      <c r="Q71" s="20"/>
      <c r="R71" s="17"/>
      <c r="S71" s="18"/>
      <c r="T71" s="18"/>
      <c r="U71" s="18"/>
      <c r="V71" s="18"/>
      <c r="W71" s="18"/>
      <c r="X71" s="18"/>
      <c r="Y71" s="17"/>
      <c r="Z71" s="28"/>
      <c r="AA71" s="21"/>
      <c r="AB71" s="22"/>
      <c r="AC71" s="29"/>
      <c r="AD71" s="38"/>
      <c r="AE71" s="30"/>
      <c r="AF71" s="30"/>
      <c r="AG71" s="30"/>
      <c r="AH71" s="30"/>
      <c r="AI71" s="30"/>
      <c r="AJ71" s="30"/>
      <c r="AK71" s="30"/>
      <c r="AL71" s="30"/>
      <c r="AM71" s="30"/>
      <c r="AN71" s="30"/>
      <c r="AO71" s="31"/>
      <c r="AP71" s="31"/>
      <c r="AQ71" s="31"/>
      <c r="AR71" s="31"/>
      <c r="AS71" s="32"/>
      <c r="AT71" s="33"/>
      <c r="AU71" s="51"/>
      <c r="AV71" s="51"/>
      <c r="AW71" s="51"/>
      <c r="AX71" s="51"/>
      <c r="AY71" s="51"/>
      <c r="AZ71" s="51"/>
      <c r="BA71" s="51"/>
      <c r="BB71" s="51"/>
      <c r="BC71" s="51"/>
      <c r="BD71" s="52"/>
    </row>
    <row r="72" spans="1:56" ht="15" customHeight="1">
      <c r="A72" s="37" t="str">
        <f>IF(B72="","",COUNTA($B$8:B72))</f>
        <v/>
      </c>
      <c r="B72" s="17"/>
      <c r="C72" s="18"/>
      <c r="D72" s="18"/>
      <c r="E72" s="18"/>
      <c r="F72" s="18"/>
      <c r="G72" s="18"/>
      <c r="H72" s="18"/>
      <c r="I72" s="19"/>
      <c r="J72" s="20"/>
      <c r="K72" s="20"/>
      <c r="L72" s="20"/>
      <c r="M72" s="20"/>
      <c r="N72" s="20"/>
      <c r="O72" s="20"/>
      <c r="P72" s="20"/>
      <c r="Q72" s="20"/>
      <c r="R72" s="17"/>
      <c r="S72" s="18"/>
      <c r="T72" s="18"/>
      <c r="U72" s="18"/>
      <c r="V72" s="18"/>
      <c r="W72" s="18"/>
      <c r="X72" s="18"/>
      <c r="Y72" s="17"/>
      <c r="Z72" s="28"/>
      <c r="AA72" s="21"/>
      <c r="AB72" s="22"/>
      <c r="AC72" s="29"/>
      <c r="AD72" s="38"/>
      <c r="AE72" s="30"/>
      <c r="AF72" s="30"/>
      <c r="AG72" s="30"/>
      <c r="AH72" s="30"/>
      <c r="AI72" s="30"/>
      <c r="AJ72" s="30"/>
      <c r="AK72" s="30"/>
      <c r="AL72" s="30"/>
      <c r="AM72" s="30"/>
      <c r="AN72" s="30"/>
      <c r="AO72" s="31"/>
      <c r="AP72" s="31"/>
      <c r="AQ72" s="31"/>
      <c r="AR72" s="31"/>
      <c r="AS72" s="32"/>
      <c r="AT72" s="33"/>
      <c r="AU72" s="51"/>
      <c r="AV72" s="51"/>
      <c r="AW72" s="51"/>
      <c r="AX72" s="51"/>
      <c r="AY72" s="51"/>
      <c r="AZ72" s="51"/>
      <c r="BA72" s="51"/>
      <c r="BB72" s="51"/>
      <c r="BC72" s="51"/>
      <c r="BD72" s="52"/>
    </row>
    <row r="73" spans="1:56" ht="15" customHeight="1">
      <c r="A73" s="37" t="str">
        <f>IF(B73="","",COUNTA($B$8:B73))</f>
        <v/>
      </c>
      <c r="B73" s="17"/>
      <c r="C73" s="18"/>
      <c r="D73" s="18"/>
      <c r="E73" s="18"/>
      <c r="F73" s="18"/>
      <c r="G73" s="18"/>
      <c r="H73" s="18"/>
      <c r="I73" s="19"/>
      <c r="J73" s="20"/>
      <c r="K73" s="20"/>
      <c r="L73" s="20"/>
      <c r="M73" s="20"/>
      <c r="N73" s="20"/>
      <c r="O73" s="20"/>
      <c r="P73" s="20"/>
      <c r="Q73" s="20"/>
      <c r="R73" s="17"/>
      <c r="S73" s="18"/>
      <c r="T73" s="18"/>
      <c r="U73" s="18"/>
      <c r="V73" s="18"/>
      <c r="W73" s="18"/>
      <c r="X73" s="18"/>
      <c r="Y73" s="17"/>
      <c r="Z73" s="28"/>
      <c r="AA73" s="21"/>
      <c r="AB73" s="22"/>
      <c r="AC73" s="29"/>
      <c r="AD73" s="38"/>
      <c r="AE73" s="30"/>
      <c r="AF73" s="30"/>
      <c r="AG73" s="30"/>
      <c r="AH73" s="30"/>
      <c r="AI73" s="30"/>
      <c r="AJ73" s="30"/>
      <c r="AK73" s="30"/>
      <c r="AL73" s="30"/>
      <c r="AM73" s="30"/>
      <c r="AN73" s="30"/>
      <c r="AO73" s="31"/>
      <c r="AP73" s="31"/>
      <c r="AQ73" s="31"/>
      <c r="AR73" s="31"/>
      <c r="AS73" s="32"/>
      <c r="AT73" s="33"/>
      <c r="AU73" s="51"/>
      <c r="AV73" s="51"/>
      <c r="AW73" s="51"/>
      <c r="AX73" s="51"/>
      <c r="AY73" s="51"/>
      <c r="AZ73" s="51"/>
      <c r="BA73" s="51"/>
      <c r="BB73" s="51"/>
      <c r="BC73" s="51"/>
      <c r="BD73" s="52"/>
    </row>
    <row r="74" spans="1:56" ht="15" customHeight="1">
      <c r="A74" s="37" t="str">
        <f>IF(B74="","",COUNTA($B$8:B74))</f>
        <v/>
      </c>
      <c r="B74" s="17"/>
      <c r="C74" s="18"/>
      <c r="D74" s="18"/>
      <c r="E74" s="18"/>
      <c r="F74" s="18"/>
      <c r="G74" s="18"/>
      <c r="H74" s="18"/>
      <c r="I74" s="19"/>
      <c r="J74" s="20"/>
      <c r="K74" s="20"/>
      <c r="L74" s="20"/>
      <c r="M74" s="20"/>
      <c r="N74" s="20"/>
      <c r="O74" s="20"/>
      <c r="P74" s="20"/>
      <c r="Q74" s="20"/>
      <c r="R74" s="17"/>
      <c r="S74" s="18"/>
      <c r="T74" s="18"/>
      <c r="U74" s="18"/>
      <c r="V74" s="18"/>
      <c r="W74" s="18"/>
      <c r="X74" s="18"/>
      <c r="Y74" s="17"/>
      <c r="Z74" s="28"/>
      <c r="AA74" s="21"/>
      <c r="AB74" s="22"/>
      <c r="AC74" s="29"/>
      <c r="AD74" s="38"/>
      <c r="AE74" s="30"/>
      <c r="AF74" s="30"/>
      <c r="AG74" s="30"/>
      <c r="AH74" s="30"/>
      <c r="AI74" s="30"/>
      <c r="AJ74" s="30"/>
      <c r="AK74" s="30"/>
      <c r="AL74" s="30"/>
      <c r="AM74" s="30"/>
      <c r="AN74" s="30"/>
      <c r="AO74" s="31"/>
      <c r="AP74" s="31"/>
      <c r="AQ74" s="31"/>
      <c r="AR74" s="31"/>
      <c r="AS74" s="32"/>
      <c r="AT74" s="33"/>
      <c r="AU74" s="51"/>
      <c r="AV74" s="51"/>
      <c r="AW74" s="51"/>
      <c r="AX74" s="51"/>
      <c r="AY74" s="51"/>
      <c r="AZ74" s="51"/>
      <c r="BA74" s="51"/>
      <c r="BB74" s="51"/>
      <c r="BC74" s="51"/>
      <c r="BD74" s="52"/>
    </row>
    <row r="75" spans="1:56" ht="15" customHeight="1">
      <c r="A75" s="37" t="str">
        <f>IF(B75="","",COUNTA($B$8:B75))</f>
        <v/>
      </c>
      <c r="B75" s="17"/>
      <c r="C75" s="18"/>
      <c r="D75" s="18"/>
      <c r="E75" s="18"/>
      <c r="F75" s="18"/>
      <c r="G75" s="18"/>
      <c r="H75" s="18"/>
      <c r="I75" s="19"/>
      <c r="J75" s="20"/>
      <c r="K75" s="20"/>
      <c r="L75" s="20"/>
      <c r="M75" s="20"/>
      <c r="N75" s="20"/>
      <c r="O75" s="20"/>
      <c r="P75" s="20"/>
      <c r="Q75" s="20"/>
      <c r="R75" s="17"/>
      <c r="S75" s="18"/>
      <c r="T75" s="18"/>
      <c r="U75" s="18"/>
      <c r="V75" s="18"/>
      <c r="W75" s="18"/>
      <c r="X75" s="18"/>
      <c r="Y75" s="17"/>
      <c r="Z75" s="28"/>
      <c r="AA75" s="21"/>
      <c r="AB75" s="22"/>
      <c r="AC75" s="29"/>
      <c r="AD75" s="38"/>
      <c r="AE75" s="30"/>
      <c r="AF75" s="30"/>
      <c r="AG75" s="30"/>
      <c r="AH75" s="30"/>
      <c r="AI75" s="30"/>
      <c r="AJ75" s="30"/>
      <c r="AK75" s="30"/>
      <c r="AL75" s="30"/>
      <c r="AM75" s="30"/>
      <c r="AN75" s="30"/>
      <c r="AO75" s="31"/>
      <c r="AP75" s="31"/>
      <c r="AQ75" s="31"/>
      <c r="AR75" s="31"/>
      <c r="AS75" s="32"/>
      <c r="AT75" s="33"/>
      <c r="AU75" s="51"/>
      <c r="AV75" s="51"/>
      <c r="AW75" s="51"/>
      <c r="AX75" s="51"/>
      <c r="AY75" s="51"/>
      <c r="AZ75" s="51"/>
      <c r="BA75" s="51"/>
      <c r="BB75" s="51"/>
      <c r="BC75" s="51"/>
      <c r="BD75" s="52"/>
    </row>
    <row r="76" spans="1:56" ht="15" customHeight="1">
      <c r="A76" s="37" t="str">
        <f>IF(B76="","",COUNTA($B$8:B76))</f>
        <v/>
      </c>
      <c r="B76" s="17"/>
      <c r="C76" s="18"/>
      <c r="D76" s="18"/>
      <c r="E76" s="18"/>
      <c r="F76" s="18"/>
      <c r="G76" s="18"/>
      <c r="H76" s="18"/>
      <c r="I76" s="19"/>
      <c r="J76" s="20"/>
      <c r="K76" s="20"/>
      <c r="L76" s="20"/>
      <c r="M76" s="20"/>
      <c r="N76" s="20"/>
      <c r="O76" s="20"/>
      <c r="P76" s="20"/>
      <c r="Q76" s="20"/>
      <c r="R76" s="17"/>
      <c r="S76" s="18"/>
      <c r="T76" s="18"/>
      <c r="U76" s="18"/>
      <c r="V76" s="18"/>
      <c r="W76" s="18"/>
      <c r="X76" s="18"/>
      <c r="Y76" s="17"/>
      <c r="Z76" s="28"/>
      <c r="AA76" s="21"/>
      <c r="AB76" s="22"/>
      <c r="AC76" s="29"/>
      <c r="AD76" s="38"/>
      <c r="AE76" s="30"/>
      <c r="AF76" s="30"/>
      <c r="AG76" s="30"/>
      <c r="AH76" s="30"/>
      <c r="AI76" s="30"/>
      <c r="AJ76" s="30"/>
      <c r="AK76" s="30"/>
      <c r="AL76" s="30"/>
      <c r="AM76" s="30"/>
      <c r="AN76" s="30"/>
      <c r="AO76" s="31"/>
      <c r="AP76" s="31"/>
      <c r="AQ76" s="31"/>
      <c r="AR76" s="31"/>
      <c r="AS76" s="32"/>
      <c r="AT76" s="33"/>
      <c r="AU76" s="51"/>
      <c r="AV76" s="51"/>
      <c r="AW76" s="51"/>
      <c r="AX76" s="51"/>
      <c r="AY76" s="51"/>
      <c r="AZ76" s="51"/>
      <c r="BA76" s="51"/>
      <c r="BB76" s="51"/>
      <c r="BC76" s="51"/>
      <c r="BD76" s="52"/>
    </row>
    <row r="77" spans="1:56" ht="15" customHeight="1">
      <c r="A77" s="37" t="str">
        <f>IF(B77="","",COUNTA($B$8:B77))</f>
        <v/>
      </c>
      <c r="B77" s="17"/>
      <c r="C77" s="18"/>
      <c r="D77" s="18"/>
      <c r="E77" s="18"/>
      <c r="F77" s="18"/>
      <c r="G77" s="18"/>
      <c r="H77" s="18"/>
      <c r="I77" s="19"/>
      <c r="J77" s="20"/>
      <c r="K77" s="20"/>
      <c r="L77" s="20"/>
      <c r="M77" s="20"/>
      <c r="N77" s="20"/>
      <c r="O77" s="20"/>
      <c r="P77" s="20"/>
      <c r="Q77" s="20"/>
      <c r="R77" s="17"/>
      <c r="S77" s="18"/>
      <c r="T77" s="18"/>
      <c r="U77" s="18"/>
      <c r="V77" s="18"/>
      <c r="W77" s="18"/>
      <c r="X77" s="18"/>
      <c r="Y77" s="17"/>
      <c r="Z77" s="28"/>
      <c r="AA77" s="21"/>
      <c r="AB77" s="22"/>
      <c r="AC77" s="29"/>
      <c r="AD77" s="38"/>
      <c r="AE77" s="30"/>
      <c r="AF77" s="30"/>
      <c r="AG77" s="30"/>
      <c r="AH77" s="30"/>
      <c r="AI77" s="30"/>
      <c r="AJ77" s="30"/>
      <c r="AK77" s="30"/>
      <c r="AL77" s="30"/>
      <c r="AM77" s="30"/>
      <c r="AN77" s="30"/>
      <c r="AO77" s="31"/>
      <c r="AP77" s="31"/>
      <c r="AQ77" s="31"/>
      <c r="AR77" s="31"/>
      <c r="AS77" s="32"/>
      <c r="AT77" s="33"/>
      <c r="AU77" s="51"/>
      <c r="AV77" s="51"/>
      <c r="AW77" s="51"/>
      <c r="AX77" s="51"/>
      <c r="AY77" s="51"/>
      <c r="AZ77" s="51"/>
      <c r="BA77" s="51"/>
      <c r="BB77" s="51"/>
      <c r="BC77" s="51"/>
      <c r="BD77" s="52"/>
    </row>
    <row r="78" spans="1:56" ht="15" customHeight="1">
      <c r="A78" s="37" t="str">
        <f>IF(B78="","",COUNTA($B$8:B78))</f>
        <v/>
      </c>
      <c r="B78" s="17"/>
      <c r="C78" s="18"/>
      <c r="D78" s="18"/>
      <c r="E78" s="18"/>
      <c r="F78" s="18"/>
      <c r="G78" s="18"/>
      <c r="H78" s="18"/>
      <c r="I78" s="19"/>
      <c r="J78" s="20"/>
      <c r="K78" s="20"/>
      <c r="L78" s="20"/>
      <c r="M78" s="20"/>
      <c r="N78" s="20"/>
      <c r="O78" s="20"/>
      <c r="P78" s="20"/>
      <c r="Q78" s="20"/>
      <c r="R78" s="17"/>
      <c r="S78" s="18"/>
      <c r="T78" s="18"/>
      <c r="U78" s="18"/>
      <c r="V78" s="18"/>
      <c r="W78" s="18"/>
      <c r="X78" s="18"/>
      <c r="Y78" s="17"/>
      <c r="Z78" s="28"/>
      <c r="AA78" s="21"/>
      <c r="AB78" s="22"/>
      <c r="AC78" s="29"/>
      <c r="AD78" s="38"/>
      <c r="AE78" s="30"/>
      <c r="AF78" s="30"/>
      <c r="AG78" s="30"/>
      <c r="AH78" s="30"/>
      <c r="AI78" s="30"/>
      <c r="AJ78" s="30"/>
      <c r="AK78" s="30"/>
      <c r="AL78" s="30"/>
      <c r="AM78" s="30"/>
      <c r="AN78" s="30"/>
      <c r="AO78" s="31"/>
      <c r="AP78" s="31"/>
      <c r="AQ78" s="31"/>
      <c r="AR78" s="31"/>
      <c r="AS78" s="32"/>
      <c r="AT78" s="33"/>
      <c r="AU78" s="51"/>
      <c r="AV78" s="51"/>
      <c r="AW78" s="51"/>
      <c r="AX78" s="51"/>
      <c r="AY78" s="51"/>
      <c r="AZ78" s="51"/>
      <c r="BA78" s="51"/>
      <c r="BB78" s="51"/>
      <c r="BC78" s="51"/>
      <c r="BD78" s="52"/>
    </row>
    <row r="79" spans="1:56" ht="15" customHeight="1">
      <c r="A79" s="37" t="str">
        <f>IF(B79="","",COUNTA($B$8:B79))</f>
        <v/>
      </c>
      <c r="B79" s="17"/>
      <c r="C79" s="18"/>
      <c r="D79" s="18"/>
      <c r="E79" s="18"/>
      <c r="F79" s="18"/>
      <c r="G79" s="18"/>
      <c r="H79" s="18"/>
      <c r="I79" s="19"/>
      <c r="J79" s="20"/>
      <c r="K79" s="20"/>
      <c r="L79" s="20"/>
      <c r="M79" s="20"/>
      <c r="N79" s="20"/>
      <c r="O79" s="20"/>
      <c r="P79" s="20"/>
      <c r="Q79" s="20"/>
      <c r="R79" s="17"/>
      <c r="S79" s="18"/>
      <c r="T79" s="18"/>
      <c r="U79" s="18"/>
      <c r="V79" s="18"/>
      <c r="W79" s="18"/>
      <c r="X79" s="18"/>
      <c r="Y79" s="17"/>
      <c r="Z79" s="28"/>
      <c r="AA79" s="21"/>
      <c r="AB79" s="22"/>
      <c r="AC79" s="29"/>
      <c r="AD79" s="38"/>
      <c r="AE79" s="30"/>
      <c r="AF79" s="30"/>
      <c r="AG79" s="30"/>
      <c r="AH79" s="30"/>
      <c r="AI79" s="30"/>
      <c r="AJ79" s="30"/>
      <c r="AK79" s="30"/>
      <c r="AL79" s="30"/>
      <c r="AM79" s="30"/>
      <c r="AN79" s="30"/>
      <c r="AO79" s="31"/>
      <c r="AP79" s="31"/>
      <c r="AQ79" s="31"/>
      <c r="AR79" s="31"/>
      <c r="AS79" s="32"/>
      <c r="AT79" s="33"/>
      <c r="AU79" s="51"/>
      <c r="AV79" s="51"/>
      <c r="AW79" s="51"/>
      <c r="AX79" s="51"/>
      <c r="AY79" s="51"/>
      <c r="AZ79" s="51"/>
      <c r="BA79" s="51"/>
      <c r="BB79" s="51"/>
      <c r="BC79" s="51"/>
      <c r="BD79" s="52"/>
    </row>
    <row r="80" spans="1:56" ht="15" customHeight="1">
      <c r="A80" s="37" t="str">
        <f>IF(B80="","",COUNTA($B$8:B80))</f>
        <v/>
      </c>
      <c r="B80" s="17"/>
      <c r="C80" s="18"/>
      <c r="D80" s="18"/>
      <c r="E80" s="18"/>
      <c r="F80" s="18"/>
      <c r="G80" s="18"/>
      <c r="H80" s="18"/>
      <c r="I80" s="19"/>
      <c r="J80" s="20"/>
      <c r="K80" s="20"/>
      <c r="L80" s="20"/>
      <c r="M80" s="20"/>
      <c r="N80" s="20"/>
      <c r="O80" s="20"/>
      <c r="P80" s="20"/>
      <c r="Q80" s="20"/>
      <c r="R80" s="17"/>
      <c r="S80" s="18"/>
      <c r="T80" s="18"/>
      <c r="U80" s="18"/>
      <c r="V80" s="18"/>
      <c r="W80" s="18"/>
      <c r="X80" s="18"/>
      <c r="Y80" s="17"/>
      <c r="Z80" s="28"/>
      <c r="AA80" s="21"/>
      <c r="AB80" s="22"/>
      <c r="AC80" s="29"/>
      <c r="AD80" s="38"/>
      <c r="AE80" s="30"/>
      <c r="AF80" s="30"/>
      <c r="AG80" s="30"/>
      <c r="AH80" s="30"/>
      <c r="AI80" s="30"/>
      <c r="AJ80" s="30"/>
      <c r="AK80" s="30"/>
      <c r="AL80" s="30"/>
      <c r="AM80" s="30"/>
      <c r="AN80" s="30"/>
      <c r="AO80" s="31"/>
      <c r="AP80" s="31"/>
      <c r="AQ80" s="31"/>
      <c r="AR80" s="31"/>
      <c r="AS80" s="32"/>
      <c r="AT80" s="33"/>
      <c r="AU80" s="51"/>
      <c r="AV80" s="51"/>
      <c r="AW80" s="51"/>
      <c r="AX80" s="51"/>
      <c r="AY80" s="51"/>
      <c r="AZ80" s="51"/>
      <c r="BA80" s="51"/>
      <c r="BB80" s="51"/>
      <c r="BC80" s="51"/>
      <c r="BD80" s="52"/>
    </row>
    <row r="81" spans="1:56" ht="15" customHeight="1">
      <c r="A81" s="37" t="str">
        <f>IF(B81="","",COUNTA($B$8:B81))</f>
        <v/>
      </c>
      <c r="B81" s="17"/>
      <c r="C81" s="18"/>
      <c r="D81" s="18"/>
      <c r="E81" s="18"/>
      <c r="F81" s="18"/>
      <c r="G81" s="18"/>
      <c r="H81" s="18"/>
      <c r="I81" s="19"/>
      <c r="J81" s="20"/>
      <c r="K81" s="20"/>
      <c r="L81" s="20"/>
      <c r="M81" s="20"/>
      <c r="N81" s="20"/>
      <c r="O81" s="20"/>
      <c r="P81" s="20"/>
      <c r="Q81" s="20"/>
      <c r="R81" s="17"/>
      <c r="S81" s="18"/>
      <c r="T81" s="18"/>
      <c r="U81" s="18"/>
      <c r="V81" s="18"/>
      <c r="W81" s="18"/>
      <c r="X81" s="18"/>
      <c r="Y81" s="17"/>
      <c r="Z81" s="28"/>
      <c r="AA81" s="21"/>
      <c r="AB81" s="22"/>
      <c r="AC81" s="29"/>
      <c r="AD81" s="38"/>
      <c r="AE81" s="30"/>
      <c r="AF81" s="30"/>
      <c r="AG81" s="30"/>
      <c r="AH81" s="30"/>
      <c r="AI81" s="30"/>
      <c r="AJ81" s="30"/>
      <c r="AK81" s="30"/>
      <c r="AL81" s="30"/>
      <c r="AM81" s="30"/>
      <c r="AN81" s="30"/>
      <c r="AO81" s="31"/>
      <c r="AP81" s="31"/>
      <c r="AQ81" s="31"/>
      <c r="AR81" s="31"/>
      <c r="AS81" s="32"/>
      <c r="AT81" s="33"/>
      <c r="AU81" s="51"/>
      <c r="AV81" s="51"/>
      <c r="AW81" s="51"/>
      <c r="AX81" s="51"/>
      <c r="AY81" s="51"/>
      <c r="AZ81" s="51"/>
      <c r="BA81" s="51"/>
      <c r="BB81" s="51"/>
      <c r="BC81" s="51"/>
      <c r="BD81" s="52"/>
    </row>
    <row r="82" spans="1:56" ht="15" customHeight="1">
      <c r="A82" s="37" t="str">
        <f>IF(B82="","",COUNTA($B$8:B82))</f>
        <v/>
      </c>
      <c r="B82" s="17"/>
      <c r="C82" s="18"/>
      <c r="D82" s="18"/>
      <c r="E82" s="18"/>
      <c r="F82" s="18"/>
      <c r="G82" s="18"/>
      <c r="H82" s="18"/>
      <c r="I82" s="19"/>
      <c r="J82" s="20"/>
      <c r="K82" s="20"/>
      <c r="L82" s="20"/>
      <c r="M82" s="20"/>
      <c r="N82" s="20"/>
      <c r="O82" s="20"/>
      <c r="P82" s="20"/>
      <c r="Q82" s="20"/>
      <c r="R82" s="17"/>
      <c r="S82" s="18"/>
      <c r="T82" s="18"/>
      <c r="U82" s="18"/>
      <c r="V82" s="18"/>
      <c r="W82" s="18"/>
      <c r="X82" s="18"/>
      <c r="Y82" s="17"/>
      <c r="Z82" s="28"/>
      <c r="AA82" s="21"/>
      <c r="AB82" s="22"/>
      <c r="AC82" s="29"/>
      <c r="AD82" s="38"/>
      <c r="AE82" s="30"/>
      <c r="AF82" s="30"/>
      <c r="AG82" s="30"/>
      <c r="AH82" s="30"/>
      <c r="AI82" s="30"/>
      <c r="AJ82" s="30"/>
      <c r="AK82" s="30"/>
      <c r="AL82" s="30"/>
      <c r="AM82" s="30"/>
      <c r="AN82" s="30"/>
      <c r="AO82" s="31"/>
      <c r="AP82" s="31"/>
      <c r="AQ82" s="31"/>
      <c r="AR82" s="31"/>
      <c r="AS82" s="32"/>
      <c r="AT82" s="33"/>
      <c r="AU82" s="51"/>
      <c r="AV82" s="51"/>
      <c r="AW82" s="51"/>
      <c r="AX82" s="51"/>
      <c r="AY82" s="51"/>
      <c r="AZ82" s="51"/>
      <c r="BA82" s="51"/>
      <c r="BB82" s="51"/>
      <c r="BC82" s="51"/>
      <c r="BD82" s="52"/>
    </row>
    <row r="83" spans="1:56" ht="15" customHeight="1">
      <c r="A83" s="37" t="str">
        <f>IF(B83="","",COUNTA($B$8:B83))</f>
        <v/>
      </c>
      <c r="B83" s="17"/>
      <c r="C83" s="18"/>
      <c r="D83" s="18"/>
      <c r="E83" s="18"/>
      <c r="F83" s="18"/>
      <c r="G83" s="18"/>
      <c r="H83" s="18"/>
      <c r="I83" s="19"/>
      <c r="J83" s="20"/>
      <c r="K83" s="20"/>
      <c r="L83" s="20"/>
      <c r="M83" s="20"/>
      <c r="N83" s="20"/>
      <c r="O83" s="20"/>
      <c r="P83" s="20"/>
      <c r="Q83" s="20"/>
      <c r="R83" s="17"/>
      <c r="S83" s="18"/>
      <c r="T83" s="18"/>
      <c r="U83" s="18"/>
      <c r="V83" s="18"/>
      <c r="W83" s="18"/>
      <c r="X83" s="18"/>
      <c r="Y83" s="17"/>
      <c r="Z83" s="28"/>
      <c r="AA83" s="21"/>
      <c r="AB83" s="22"/>
      <c r="AC83" s="29"/>
      <c r="AD83" s="38"/>
      <c r="AE83" s="30"/>
      <c r="AF83" s="30"/>
      <c r="AG83" s="30"/>
      <c r="AH83" s="30"/>
      <c r="AI83" s="30"/>
      <c r="AJ83" s="30"/>
      <c r="AK83" s="30"/>
      <c r="AL83" s="30"/>
      <c r="AM83" s="30"/>
      <c r="AN83" s="30"/>
      <c r="AO83" s="31"/>
      <c r="AP83" s="31"/>
      <c r="AQ83" s="31"/>
      <c r="AR83" s="31"/>
      <c r="AS83" s="32"/>
      <c r="AT83" s="33"/>
      <c r="AU83" s="51"/>
      <c r="AV83" s="51"/>
      <c r="AW83" s="51"/>
      <c r="AX83" s="51"/>
      <c r="AY83" s="51"/>
      <c r="AZ83" s="51"/>
      <c r="BA83" s="51"/>
      <c r="BB83" s="51"/>
      <c r="BC83" s="51"/>
      <c r="BD83" s="52"/>
    </row>
    <row r="84" spans="1:56" ht="15" customHeight="1">
      <c r="A84" s="37" t="str">
        <f>IF(B84="","",COUNTA($B$8:B84))</f>
        <v/>
      </c>
      <c r="B84" s="17"/>
      <c r="C84" s="18"/>
      <c r="D84" s="18"/>
      <c r="E84" s="18"/>
      <c r="F84" s="18"/>
      <c r="G84" s="18"/>
      <c r="H84" s="18"/>
      <c r="I84" s="19"/>
      <c r="J84" s="20"/>
      <c r="K84" s="20"/>
      <c r="L84" s="20"/>
      <c r="M84" s="20"/>
      <c r="N84" s="20"/>
      <c r="O84" s="20"/>
      <c r="P84" s="20"/>
      <c r="Q84" s="20"/>
      <c r="R84" s="17"/>
      <c r="S84" s="18"/>
      <c r="T84" s="18"/>
      <c r="U84" s="18"/>
      <c r="V84" s="18"/>
      <c r="W84" s="18"/>
      <c r="X84" s="18"/>
      <c r="Y84" s="17"/>
      <c r="Z84" s="28"/>
      <c r="AA84" s="21"/>
      <c r="AB84" s="22"/>
      <c r="AC84" s="29"/>
      <c r="AD84" s="38"/>
      <c r="AE84" s="30"/>
      <c r="AF84" s="30"/>
      <c r="AG84" s="30"/>
      <c r="AH84" s="30"/>
      <c r="AI84" s="30"/>
      <c r="AJ84" s="30"/>
      <c r="AK84" s="30"/>
      <c r="AL84" s="30"/>
      <c r="AM84" s="30"/>
      <c r="AN84" s="30"/>
      <c r="AO84" s="31"/>
      <c r="AP84" s="31"/>
      <c r="AQ84" s="31"/>
      <c r="AR84" s="31"/>
      <c r="AS84" s="32"/>
      <c r="AT84" s="33"/>
      <c r="AU84" s="51"/>
      <c r="AV84" s="51"/>
      <c r="AW84" s="51"/>
      <c r="AX84" s="51"/>
      <c r="AY84" s="51"/>
      <c r="AZ84" s="51"/>
      <c r="BA84" s="51"/>
      <c r="BB84" s="51"/>
      <c r="BC84" s="51"/>
      <c r="BD84" s="52"/>
    </row>
    <row r="85" spans="1:56" ht="15" customHeight="1">
      <c r="A85" s="37" t="str">
        <f>IF(B85="","",COUNTA($B$8:B85))</f>
        <v/>
      </c>
      <c r="B85" s="26"/>
      <c r="C85" s="34"/>
      <c r="D85" s="34"/>
      <c r="E85" s="34"/>
      <c r="F85" s="34"/>
      <c r="G85" s="34"/>
      <c r="H85" s="34"/>
      <c r="I85" s="19"/>
      <c r="J85" s="27"/>
      <c r="K85" s="27"/>
      <c r="L85" s="27"/>
      <c r="M85" s="27"/>
      <c r="N85" s="27"/>
      <c r="O85" s="27"/>
      <c r="P85" s="27"/>
      <c r="Q85" s="27"/>
      <c r="R85" s="26"/>
      <c r="S85" s="34"/>
      <c r="T85" s="34"/>
      <c r="U85" s="34"/>
      <c r="V85" s="34"/>
      <c r="W85" s="34"/>
      <c r="X85" s="34"/>
      <c r="Y85" s="589"/>
      <c r="Z85" s="590"/>
      <c r="AA85" s="591"/>
      <c r="AB85" s="592"/>
      <c r="AC85" s="593"/>
      <c r="AD85" s="38"/>
      <c r="AE85" s="25"/>
      <c r="AF85" s="25"/>
      <c r="AG85" s="25"/>
      <c r="AH85" s="25"/>
      <c r="AI85" s="25"/>
      <c r="AJ85" s="25"/>
      <c r="AK85" s="25"/>
      <c r="AL85" s="25"/>
      <c r="AM85" s="25"/>
      <c r="AN85" s="25"/>
      <c r="AO85" s="25"/>
      <c r="AP85" s="25"/>
      <c r="AQ85" s="25"/>
      <c r="AR85" s="25"/>
      <c r="AS85" s="26"/>
      <c r="AT85" s="51"/>
      <c r="AU85" s="51"/>
      <c r="AV85" s="51"/>
      <c r="AW85" s="51"/>
      <c r="AX85" s="51"/>
      <c r="AY85" s="51"/>
      <c r="AZ85" s="51"/>
      <c r="BA85" s="51"/>
      <c r="BB85" s="51"/>
      <c r="BC85" s="51"/>
      <c r="BD85" s="52"/>
    </row>
  </sheetData>
  <mergeCells count="118">
    <mergeCell ref="A1:H4"/>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AU4:AY4"/>
    <mergeCell ref="A6:A7"/>
    <mergeCell ref="B6:H7"/>
    <mergeCell ref="I6:Q7"/>
    <mergeCell ref="R6:X7"/>
    <mergeCell ref="Y6:Z7"/>
    <mergeCell ref="AA6:AC7"/>
    <mergeCell ref="AD6:AD7"/>
    <mergeCell ref="AE6:AE7"/>
    <mergeCell ref="AF6:AF7"/>
    <mergeCell ref="Y9:Z9"/>
    <mergeCell ref="AA9:AC9"/>
    <mergeCell ref="AS6:BD7"/>
    <mergeCell ref="Y8:Z8"/>
    <mergeCell ref="AA8:AC8"/>
    <mergeCell ref="AZ4:BD4"/>
    <mergeCell ref="Y10:Z10"/>
    <mergeCell ref="AA10:AC10"/>
    <mergeCell ref="Y11:Z11"/>
    <mergeCell ref="AA11:AC11"/>
    <mergeCell ref="AG6:AG7"/>
    <mergeCell ref="AH6:AH7"/>
    <mergeCell ref="AI6:AR6"/>
    <mergeCell ref="Y15:Z15"/>
    <mergeCell ref="AA15:AC15"/>
    <mergeCell ref="Y16:Z16"/>
    <mergeCell ref="AA16:AC16"/>
    <mergeCell ref="Y17:Z17"/>
    <mergeCell ref="AA17:AC17"/>
    <mergeCell ref="Y12:Z12"/>
    <mergeCell ref="AA12:AC12"/>
    <mergeCell ref="Y13:Z13"/>
    <mergeCell ref="AA13:AC13"/>
    <mergeCell ref="Y14:Z14"/>
    <mergeCell ref="AA14:AC14"/>
    <mergeCell ref="Y21:Z21"/>
    <mergeCell ref="AA21:AC21"/>
    <mergeCell ref="Y22:Z22"/>
    <mergeCell ref="AA22:AC22"/>
    <mergeCell ref="Y23:Z23"/>
    <mergeCell ref="AA23:AC23"/>
    <mergeCell ref="Y18:Z18"/>
    <mergeCell ref="AA18:AC18"/>
    <mergeCell ref="Y19:Z19"/>
    <mergeCell ref="AA19:AC19"/>
    <mergeCell ref="Y20:Z20"/>
    <mergeCell ref="AA20:AC20"/>
    <mergeCell ref="Y27:Z27"/>
    <mergeCell ref="AA27:AC27"/>
    <mergeCell ref="Y28:Z28"/>
    <mergeCell ref="AA28:AC28"/>
    <mergeCell ref="Y29:Z29"/>
    <mergeCell ref="AA29:AC29"/>
    <mergeCell ref="Y24:Z24"/>
    <mergeCell ref="AA24:AC24"/>
    <mergeCell ref="Y25:Z25"/>
    <mergeCell ref="AA25:AC25"/>
    <mergeCell ref="Y26:Z26"/>
    <mergeCell ref="AA26:AC26"/>
    <mergeCell ref="Y34:Z34"/>
    <mergeCell ref="AA34:AC34"/>
    <mergeCell ref="Y32:Z32"/>
    <mergeCell ref="AA32:AC32"/>
    <mergeCell ref="Y33:Z33"/>
    <mergeCell ref="AA33:AC33"/>
    <mergeCell ref="Y30:Z30"/>
    <mergeCell ref="AA30:AC30"/>
    <mergeCell ref="Y31:Z31"/>
    <mergeCell ref="AA31:AC31"/>
    <mergeCell ref="Y38:Z38"/>
    <mergeCell ref="AA38:AC38"/>
    <mergeCell ref="Y39:Z39"/>
    <mergeCell ref="AA39:AC39"/>
    <mergeCell ref="Y36:Z36"/>
    <mergeCell ref="AA36:AC36"/>
    <mergeCell ref="Y37:Z37"/>
    <mergeCell ref="AA37:AC37"/>
    <mergeCell ref="Y35:Z35"/>
    <mergeCell ref="AA35:AC35"/>
    <mergeCell ref="Y43:Z43"/>
    <mergeCell ref="AA43:AC43"/>
    <mergeCell ref="Y44:Z44"/>
    <mergeCell ref="AA44:AC44"/>
    <mergeCell ref="Y41:Z41"/>
    <mergeCell ref="AA41:AC41"/>
    <mergeCell ref="Y42:Z42"/>
    <mergeCell ref="AA42:AC42"/>
    <mergeCell ref="Y40:Z40"/>
    <mergeCell ref="AA40:AC40"/>
    <mergeCell ref="Y48:Z48"/>
    <mergeCell ref="AA48:AC48"/>
    <mergeCell ref="Y49:Z49"/>
    <mergeCell ref="AA49:AC49"/>
    <mergeCell ref="Y85:Z85"/>
    <mergeCell ref="AA85:AC85"/>
    <mergeCell ref="Y45:Z45"/>
    <mergeCell ref="AA45:AC45"/>
    <mergeCell ref="Y46:Z46"/>
    <mergeCell ref="AA46:AC46"/>
    <mergeCell ref="Y47:Z47"/>
    <mergeCell ref="AA47:AC47"/>
  </mergeCells>
  <phoneticPr fontId="12"/>
  <dataValidations count="3">
    <dataValidation imeMode="hiragana" allowBlank="1" showInputMessage="1" showErrorMessage="1" sqref="JG65560:JR65562 TC65560:TN65562 ACY65560:ADJ65562 AMU65560:ANF65562 AWQ65560:AXB65562 BGM65560:BGX65562 BQI65560:BQT65562 CAE65560:CAP65562 CKA65560:CKL65562 CTW65560:CUH65562 DDS65560:DED65562 DNO65560:DNZ65562 DXK65560:DXV65562 EHG65560:EHR65562 ERC65560:ERN65562 FAY65560:FBJ65562 FKU65560:FLF65562 FUQ65560:FVB65562 GEM65560:GEX65562 GOI65560:GOT65562 GYE65560:GYP65562 HIA65560:HIL65562 HRW65560:HSH65562 IBS65560:ICD65562 ILO65560:ILZ65562 IVK65560:IVV65562 JFG65560:JFR65562 JPC65560:JPN65562 JYY65560:JZJ65562 KIU65560:KJF65562 KSQ65560:KTB65562 LCM65560:LCX65562 LMI65560:LMT65562 LWE65560:LWP65562 MGA65560:MGL65562 MPW65560:MQH65562 MZS65560:NAD65562 NJO65560:NJZ65562 NTK65560:NTV65562 ODG65560:ODR65562 ONC65560:ONN65562 OWY65560:OXJ65562 PGU65560:PHF65562 PQQ65560:PRB65562 QAM65560:QAX65562 QKI65560:QKT65562 QUE65560:QUP65562 REA65560:REL65562 RNW65560:ROH65562 RXS65560:RYD65562 SHO65560:SHZ65562 SRK65560:SRV65562 TBG65560:TBR65562 TLC65560:TLN65562 TUY65560:TVJ65562 UEU65560:UFF65562 UOQ65560:UPB65562 UYM65560:UYX65562 VII65560:VIT65562 VSE65560:VSP65562 WCA65560:WCL65562 WLW65560:WMH65562 WVS65560:WWD65562 JG131096:JR131098 TC131096:TN131098 ACY131096:ADJ131098 AMU131096:ANF131098 AWQ131096:AXB131098 BGM131096:BGX131098 BQI131096:BQT131098 CAE131096:CAP131098 CKA131096:CKL131098 CTW131096:CUH131098 DDS131096:DED131098 DNO131096:DNZ131098 DXK131096:DXV131098 EHG131096:EHR131098 ERC131096:ERN131098 FAY131096:FBJ131098 FKU131096:FLF131098 FUQ131096:FVB131098 GEM131096:GEX131098 GOI131096:GOT131098 GYE131096:GYP131098 HIA131096:HIL131098 HRW131096:HSH131098 IBS131096:ICD131098 ILO131096:ILZ131098 IVK131096:IVV131098 JFG131096:JFR131098 JPC131096:JPN131098 JYY131096:JZJ131098 KIU131096:KJF131098 KSQ131096:KTB131098 LCM131096:LCX131098 LMI131096:LMT131098 LWE131096:LWP131098 MGA131096:MGL131098 MPW131096:MQH131098 MZS131096:NAD131098 NJO131096:NJZ131098 NTK131096:NTV131098 ODG131096:ODR131098 ONC131096:ONN131098 OWY131096:OXJ131098 PGU131096:PHF131098 PQQ131096:PRB131098 QAM131096:QAX131098 QKI131096:QKT131098 QUE131096:QUP131098 REA131096:REL131098 RNW131096:ROH131098 RXS131096:RYD131098 SHO131096:SHZ131098 SRK131096:SRV131098 TBG131096:TBR131098 TLC131096:TLN131098 TUY131096:TVJ131098 UEU131096:UFF131098 UOQ131096:UPB131098 UYM131096:UYX131098 VII131096:VIT131098 VSE131096:VSP131098 WCA131096:WCL131098 WLW131096:WMH131098 WVS131096:WWD131098 JG196632:JR196634 TC196632:TN196634 ACY196632:ADJ196634 AMU196632:ANF196634 AWQ196632:AXB196634 BGM196632:BGX196634 BQI196632:BQT196634 CAE196632:CAP196634 CKA196632:CKL196634 CTW196632:CUH196634 DDS196632:DED196634 DNO196632:DNZ196634 DXK196632:DXV196634 EHG196632:EHR196634 ERC196632:ERN196634 FAY196632:FBJ196634 FKU196632:FLF196634 FUQ196632:FVB196634 GEM196632:GEX196634 GOI196632:GOT196634 GYE196632:GYP196634 HIA196632:HIL196634 HRW196632:HSH196634 IBS196632:ICD196634 ILO196632:ILZ196634 IVK196632:IVV196634 JFG196632:JFR196634 JPC196632:JPN196634 JYY196632:JZJ196634 KIU196632:KJF196634 KSQ196632:KTB196634 LCM196632:LCX196634 LMI196632:LMT196634 LWE196632:LWP196634 MGA196632:MGL196634 MPW196632:MQH196634 MZS196632:NAD196634 NJO196632:NJZ196634 NTK196632:NTV196634 ODG196632:ODR196634 ONC196632:ONN196634 OWY196632:OXJ196634 PGU196632:PHF196634 PQQ196632:PRB196634 QAM196632:QAX196634 QKI196632:QKT196634 QUE196632:QUP196634 REA196632:REL196634 RNW196632:ROH196634 RXS196632:RYD196634 SHO196632:SHZ196634 SRK196632:SRV196634 TBG196632:TBR196634 TLC196632:TLN196634 TUY196632:TVJ196634 UEU196632:UFF196634 UOQ196632:UPB196634 UYM196632:UYX196634 VII196632:VIT196634 VSE196632:VSP196634 WCA196632:WCL196634 WLW196632:WMH196634 WVS196632:WWD196634 JG262168:JR262170 TC262168:TN262170 ACY262168:ADJ262170 AMU262168:ANF262170 AWQ262168:AXB262170 BGM262168:BGX262170 BQI262168:BQT262170 CAE262168:CAP262170 CKA262168:CKL262170 CTW262168:CUH262170 DDS262168:DED262170 DNO262168:DNZ262170 DXK262168:DXV262170 EHG262168:EHR262170 ERC262168:ERN262170 FAY262168:FBJ262170 FKU262168:FLF262170 FUQ262168:FVB262170 GEM262168:GEX262170 GOI262168:GOT262170 GYE262168:GYP262170 HIA262168:HIL262170 HRW262168:HSH262170 IBS262168:ICD262170 ILO262168:ILZ262170 IVK262168:IVV262170 JFG262168:JFR262170 JPC262168:JPN262170 JYY262168:JZJ262170 KIU262168:KJF262170 KSQ262168:KTB262170 LCM262168:LCX262170 LMI262168:LMT262170 LWE262168:LWP262170 MGA262168:MGL262170 MPW262168:MQH262170 MZS262168:NAD262170 NJO262168:NJZ262170 NTK262168:NTV262170 ODG262168:ODR262170 ONC262168:ONN262170 OWY262168:OXJ262170 PGU262168:PHF262170 PQQ262168:PRB262170 QAM262168:QAX262170 QKI262168:QKT262170 QUE262168:QUP262170 REA262168:REL262170 RNW262168:ROH262170 RXS262168:RYD262170 SHO262168:SHZ262170 SRK262168:SRV262170 TBG262168:TBR262170 TLC262168:TLN262170 TUY262168:TVJ262170 UEU262168:UFF262170 UOQ262168:UPB262170 UYM262168:UYX262170 VII262168:VIT262170 VSE262168:VSP262170 WCA262168:WCL262170 WLW262168:WMH262170 WVS262168:WWD262170 JG327704:JR327706 TC327704:TN327706 ACY327704:ADJ327706 AMU327704:ANF327706 AWQ327704:AXB327706 BGM327704:BGX327706 BQI327704:BQT327706 CAE327704:CAP327706 CKA327704:CKL327706 CTW327704:CUH327706 DDS327704:DED327706 DNO327704:DNZ327706 DXK327704:DXV327706 EHG327704:EHR327706 ERC327704:ERN327706 FAY327704:FBJ327706 FKU327704:FLF327706 FUQ327704:FVB327706 GEM327704:GEX327706 GOI327704:GOT327706 GYE327704:GYP327706 HIA327704:HIL327706 HRW327704:HSH327706 IBS327704:ICD327706 ILO327704:ILZ327706 IVK327704:IVV327706 JFG327704:JFR327706 JPC327704:JPN327706 JYY327704:JZJ327706 KIU327704:KJF327706 KSQ327704:KTB327706 LCM327704:LCX327706 LMI327704:LMT327706 LWE327704:LWP327706 MGA327704:MGL327706 MPW327704:MQH327706 MZS327704:NAD327706 NJO327704:NJZ327706 NTK327704:NTV327706 ODG327704:ODR327706 ONC327704:ONN327706 OWY327704:OXJ327706 PGU327704:PHF327706 PQQ327704:PRB327706 QAM327704:QAX327706 QKI327704:QKT327706 QUE327704:QUP327706 REA327704:REL327706 RNW327704:ROH327706 RXS327704:RYD327706 SHO327704:SHZ327706 SRK327704:SRV327706 TBG327704:TBR327706 TLC327704:TLN327706 TUY327704:TVJ327706 UEU327704:UFF327706 UOQ327704:UPB327706 UYM327704:UYX327706 VII327704:VIT327706 VSE327704:VSP327706 WCA327704:WCL327706 WLW327704:WMH327706 WVS327704:WWD327706 JG393240:JR393242 TC393240:TN393242 ACY393240:ADJ393242 AMU393240:ANF393242 AWQ393240:AXB393242 BGM393240:BGX393242 BQI393240:BQT393242 CAE393240:CAP393242 CKA393240:CKL393242 CTW393240:CUH393242 DDS393240:DED393242 DNO393240:DNZ393242 DXK393240:DXV393242 EHG393240:EHR393242 ERC393240:ERN393242 FAY393240:FBJ393242 FKU393240:FLF393242 FUQ393240:FVB393242 GEM393240:GEX393242 GOI393240:GOT393242 GYE393240:GYP393242 HIA393240:HIL393242 HRW393240:HSH393242 IBS393240:ICD393242 ILO393240:ILZ393242 IVK393240:IVV393242 JFG393240:JFR393242 JPC393240:JPN393242 JYY393240:JZJ393242 KIU393240:KJF393242 KSQ393240:KTB393242 LCM393240:LCX393242 LMI393240:LMT393242 LWE393240:LWP393242 MGA393240:MGL393242 MPW393240:MQH393242 MZS393240:NAD393242 NJO393240:NJZ393242 NTK393240:NTV393242 ODG393240:ODR393242 ONC393240:ONN393242 OWY393240:OXJ393242 PGU393240:PHF393242 PQQ393240:PRB393242 QAM393240:QAX393242 QKI393240:QKT393242 QUE393240:QUP393242 REA393240:REL393242 RNW393240:ROH393242 RXS393240:RYD393242 SHO393240:SHZ393242 SRK393240:SRV393242 TBG393240:TBR393242 TLC393240:TLN393242 TUY393240:TVJ393242 UEU393240:UFF393242 UOQ393240:UPB393242 UYM393240:UYX393242 VII393240:VIT393242 VSE393240:VSP393242 WCA393240:WCL393242 WLW393240:WMH393242 WVS393240:WWD393242 JG458776:JR458778 TC458776:TN458778 ACY458776:ADJ458778 AMU458776:ANF458778 AWQ458776:AXB458778 BGM458776:BGX458778 BQI458776:BQT458778 CAE458776:CAP458778 CKA458776:CKL458778 CTW458776:CUH458778 DDS458776:DED458778 DNO458776:DNZ458778 DXK458776:DXV458778 EHG458776:EHR458778 ERC458776:ERN458778 FAY458776:FBJ458778 FKU458776:FLF458778 FUQ458776:FVB458778 GEM458776:GEX458778 GOI458776:GOT458778 GYE458776:GYP458778 HIA458776:HIL458778 HRW458776:HSH458778 IBS458776:ICD458778 ILO458776:ILZ458778 IVK458776:IVV458778 JFG458776:JFR458778 JPC458776:JPN458778 JYY458776:JZJ458778 KIU458776:KJF458778 KSQ458776:KTB458778 LCM458776:LCX458778 LMI458776:LMT458778 LWE458776:LWP458778 MGA458776:MGL458778 MPW458776:MQH458778 MZS458776:NAD458778 NJO458776:NJZ458778 NTK458776:NTV458778 ODG458776:ODR458778 ONC458776:ONN458778 OWY458776:OXJ458778 PGU458776:PHF458778 PQQ458776:PRB458778 QAM458776:QAX458778 QKI458776:QKT458778 QUE458776:QUP458778 REA458776:REL458778 RNW458776:ROH458778 RXS458776:RYD458778 SHO458776:SHZ458778 SRK458776:SRV458778 TBG458776:TBR458778 TLC458776:TLN458778 TUY458776:TVJ458778 UEU458776:UFF458778 UOQ458776:UPB458778 UYM458776:UYX458778 VII458776:VIT458778 VSE458776:VSP458778 WCA458776:WCL458778 WLW458776:WMH458778 WVS458776:WWD458778 JG524312:JR524314 TC524312:TN524314 ACY524312:ADJ524314 AMU524312:ANF524314 AWQ524312:AXB524314 BGM524312:BGX524314 BQI524312:BQT524314 CAE524312:CAP524314 CKA524312:CKL524314 CTW524312:CUH524314 DDS524312:DED524314 DNO524312:DNZ524314 DXK524312:DXV524314 EHG524312:EHR524314 ERC524312:ERN524314 FAY524312:FBJ524314 FKU524312:FLF524314 FUQ524312:FVB524314 GEM524312:GEX524314 GOI524312:GOT524314 GYE524312:GYP524314 HIA524312:HIL524314 HRW524312:HSH524314 IBS524312:ICD524314 ILO524312:ILZ524314 IVK524312:IVV524314 JFG524312:JFR524314 JPC524312:JPN524314 JYY524312:JZJ524314 KIU524312:KJF524314 KSQ524312:KTB524314 LCM524312:LCX524314 LMI524312:LMT524314 LWE524312:LWP524314 MGA524312:MGL524314 MPW524312:MQH524314 MZS524312:NAD524314 NJO524312:NJZ524314 NTK524312:NTV524314 ODG524312:ODR524314 ONC524312:ONN524314 OWY524312:OXJ524314 PGU524312:PHF524314 PQQ524312:PRB524314 QAM524312:QAX524314 QKI524312:QKT524314 QUE524312:QUP524314 REA524312:REL524314 RNW524312:ROH524314 RXS524312:RYD524314 SHO524312:SHZ524314 SRK524312:SRV524314 TBG524312:TBR524314 TLC524312:TLN524314 TUY524312:TVJ524314 UEU524312:UFF524314 UOQ524312:UPB524314 UYM524312:UYX524314 VII524312:VIT524314 VSE524312:VSP524314 WCA524312:WCL524314 WLW524312:WMH524314 WVS524312:WWD524314 JG589848:JR589850 TC589848:TN589850 ACY589848:ADJ589850 AMU589848:ANF589850 AWQ589848:AXB589850 BGM589848:BGX589850 BQI589848:BQT589850 CAE589848:CAP589850 CKA589848:CKL589850 CTW589848:CUH589850 DDS589848:DED589850 DNO589848:DNZ589850 DXK589848:DXV589850 EHG589848:EHR589850 ERC589848:ERN589850 FAY589848:FBJ589850 FKU589848:FLF589850 FUQ589848:FVB589850 GEM589848:GEX589850 GOI589848:GOT589850 GYE589848:GYP589850 HIA589848:HIL589850 HRW589848:HSH589850 IBS589848:ICD589850 ILO589848:ILZ589850 IVK589848:IVV589850 JFG589848:JFR589850 JPC589848:JPN589850 JYY589848:JZJ589850 KIU589848:KJF589850 KSQ589848:KTB589850 LCM589848:LCX589850 LMI589848:LMT589850 LWE589848:LWP589850 MGA589848:MGL589850 MPW589848:MQH589850 MZS589848:NAD589850 NJO589848:NJZ589850 NTK589848:NTV589850 ODG589848:ODR589850 ONC589848:ONN589850 OWY589848:OXJ589850 PGU589848:PHF589850 PQQ589848:PRB589850 QAM589848:QAX589850 QKI589848:QKT589850 QUE589848:QUP589850 REA589848:REL589850 RNW589848:ROH589850 RXS589848:RYD589850 SHO589848:SHZ589850 SRK589848:SRV589850 TBG589848:TBR589850 TLC589848:TLN589850 TUY589848:TVJ589850 UEU589848:UFF589850 UOQ589848:UPB589850 UYM589848:UYX589850 VII589848:VIT589850 VSE589848:VSP589850 WCA589848:WCL589850 WLW589848:WMH589850 WVS589848:WWD589850 JG655384:JR655386 TC655384:TN655386 ACY655384:ADJ655386 AMU655384:ANF655386 AWQ655384:AXB655386 BGM655384:BGX655386 BQI655384:BQT655386 CAE655384:CAP655386 CKA655384:CKL655386 CTW655384:CUH655386 DDS655384:DED655386 DNO655384:DNZ655386 DXK655384:DXV655386 EHG655384:EHR655386 ERC655384:ERN655386 FAY655384:FBJ655386 FKU655384:FLF655386 FUQ655384:FVB655386 GEM655384:GEX655386 GOI655384:GOT655386 GYE655384:GYP655386 HIA655384:HIL655386 HRW655384:HSH655386 IBS655384:ICD655386 ILO655384:ILZ655386 IVK655384:IVV655386 JFG655384:JFR655386 JPC655384:JPN655386 JYY655384:JZJ655386 KIU655384:KJF655386 KSQ655384:KTB655386 LCM655384:LCX655386 LMI655384:LMT655386 LWE655384:LWP655386 MGA655384:MGL655386 MPW655384:MQH655386 MZS655384:NAD655386 NJO655384:NJZ655386 NTK655384:NTV655386 ODG655384:ODR655386 ONC655384:ONN655386 OWY655384:OXJ655386 PGU655384:PHF655386 PQQ655384:PRB655386 QAM655384:QAX655386 QKI655384:QKT655386 QUE655384:QUP655386 REA655384:REL655386 RNW655384:ROH655386 RXS655384:RYD655386 SHO655384:SHZ655386 SRK655384:SRV655386 TBG655384:TBR655386 TLC655384:TLN655386 TUY655384:TVJ655386 UEU655384:UFF655386 UOQ655384:UPB655386 UYM655384:UYX655386 VII655384:VIT655386 VSE655384:VSP655386 WCA655384:WCL655386 WLW655384:WMH655386 WVS655384:WWD655386 JG720920:JR720922 TC720920:TN720922 ACY720920:ADJ720922 AMU720920:ANF720922 AWQ720920:AXB720922 BGM720920:BGX720922 BQI720920:BQT720922 CAE720920:CAP720922 CKA720920:CKL720922 CTW720920:CUH720922 DDS720920:DED720922 DNO720920:DNZ720922 DXK720920:DXV720922 EHG720920:EHR720922 ERC720920:ERN720922 FAY720920:FBJ720922 FKU720920:FLF720922 FUQ720920:FVB720922 GEM720920:GEX720922 GOI720920:GOT720922 GYE720920:GYP720922 HIA720920:HIL720922 HRW720920:HSH720922 IBS720920:ICD720922 ILO720920:ILZ720922 IVK720920:IVV720922 JFG720920:JFR720922 JPC720920:JPN720922 JYY720920:JZJ720922 KIU720920:KJF720922 KSQ720920:KTB720922 LCM720920:LCX720922 LMI720920:LMT720922 LWE720920:LWP720922 MGA720920:MGL720922 MPW720920:MQH720922 MZS720920:NAD720922 NJO720920:NJZ720922 NTK720920:NTV720922 ODG720920:ODR720922 ONC720920:ONN720922 OWY720920:OXJ720922 PGU720920:PHF720922 PQQ720920:PRB720922 QAM720920:QAX720922 QKI720920:QKT720922 QUE720920:QUP720922 REA720920:REL720922 RNW720920:ROH720922 RXS720920:RYD720922 SHO720920:SHZ720922 SRK720920:SRV720922 TBG720920:TBR720922 TLC720920:TLN720922 TUY720920:TVJ720922 UEU720920:UFF720922 UOQ720920:UPB720922 UYM720920:UYX720922 VII720920:VIT720922 VSE720920:VSP720922 WCA720920:WCL720922 WLW720920:WMH720922 WVS720920:WWD720922 JG786456:JR786458 TC786456:TN786458 ACY786456:ADJ786458 AMU786456:ANF786458 AWQ786456:AXB786458 BGM786456:BGX786458 BQI786456:BQT786458 CAE786456:CAP786458 CKA786456:CKL786458 CTW786456:CUH786458 DDS786456:DED786458 DNO786456:DNZ786458 DXK786456:DXV786458 EHG786456:EHR786458 ERC786456:ERN786458 FAY786456:FBJ786458 FKU786456:FLF786458 FUQ786456:FVB786458 GEM786456:GEX786458 GOI786456:GOT786458 GYE786456:GYP786458 HIA786456:HIL786458 HRW786456:HSH786458 IBS786456:ICD786458 ILO786456:ILZ786458 IVK786456:IVV786458 JFG786456:JFR786458 JPC786456:JPN786458 JYY786456:JZJ786458 KIU786456:KJF786458 KSQ786456:KTB786458 LCM786456:LCX786458 LMI786456:LMT786458 LWE786456:LWP786458 MGA786456:MGL786458 MPW786456:MQH786458 MZS786456:NAD786458 NJO786456:NJZ786458 NTK786456:NTV786458 ODG786456:ODR786458 ONC786456:ONN786458 OWY786456:OXJ786458 PGU786456:PHF786458 PQQ786456:PRB786458 QAM786456:QAX786458 QKI786456:QKT786458 QUE786456:QUP786458 REA786456:REL786458 RNW786456:ROH786458 RXS786456:RYD786458 SHO786456:SHZ786458 SRK786456:SRV786458 TBG786456:TBR786458 TLC786456:TLN786458 TUY786456:TVJ786458 UEU786456:UFF786458 UOQ786456:UPB786458 UYM786456:UYX786458 VII786456:VIT786458 VSE786456:VSP786458 WCA786456:WCL786458 WLW786456:WMH786458 WVS786456:WWD786458 JG851992:JR851994 TC851992:TN851994 ACY851992:ADJ851994 AMU851992:ANF851994 AWQ851992:AXB851994 BGM851992:BGX851994 BQI851992:BQT851994 CAE851992:CAP851994 CKA851992:CKL851994 CTW851992:CUH851994 DDS851992:DED851994 DNO851992:DNZ851994 DXK851992:DXV851994 EHG851992:EHR851994 ERC851992:ERN851994 FAY851992:FBJ851994 FKU851992:FLF851994 FUQ851992:FVB851994 GEM851992:GEX851994 GOI851992:GOT851994 GYE851992:GYP851994 HIA851992:HIL851994 HRW851992:HSH851994 IBS851992:ICD851994 ILO851992:ILZ851994 IVK851992:IVV851994 JFG851992:JFR851994 JPC851992:JPN851994 JYY851992:JZJ851994 KIU851992:KJF851994 KSQ851992:KTB851994 LCM851992:LCX851994 LMI851992:LMT851994 LWE851992:LWP851994 MGA851992:MGL851994 MPW851992:MQH851994 MZS851992:NAD851994 NJO851992:NJZ851994 NTK851992:NTV851994 ODG851992:ODR851994 ONC851992:ONN851994 OWY851992:OXJ851994 PGU851992:PHF851994 PQQ851992:PRB851994 QAM851992:QAX851994 QKI851992:QKT851994 QUE851992:QUP851994 REA851992:REL851994 RNW851992:ROH851994 RXS851992:RYD851994 SHO851992:SHZ851994 SRK851992:SRV851994 TBG851992:TBR851994 TLC851992:TLN851994 TUY851992:TVJ851994 UEU851992:UFF851994 UOQ851992:UPB851994 UYM851992:UYX851994 VII851992:VIT851994 VSE851992:VSP851994 WCA851992:WCL851994 WLW851992:WMH851994 WVS851992:WWD851994 JG917528:JR917530 TC917528:TN917530 ACY917528:ADJ917530 AMU917528:ANF917530 AWQ917528:AXB917530 BGM917528:BGX917530 BQI917528:BQT917530 CAE917528:CAP917530 CKA917528:CKL917530 CTW917528:CUH917530 DDS917528:DED917530 DNO917528:DNZ917530 DXK917528:DXV917530 EHG917528:EHR917530 ERC917528:ERN917530 FAY917528:FBJ917530 FKU917528:FLF917530 FUQ917528:FVB917530 GEM917528:GEX917530 GOI917528:GOT917530 GYE917528:GYP917530 HIA917528:HIL917530 HRW917528:HSH917530 IBS917528:ICD917530 ILO917528:ILZ917530 IVK917528:IVV917530 JFG917528:JFR917530 JPC917528:JPN917530 JYY917528:JZJ917530 KIU917528:KJF917530 KSQ917528:KTB917530 LCM917528:LCX917530 LMI917528:LMT917530 LWE917528:LWP917530 MGA917528:MGL917530 MPW917528:MQH917530 MZS917528:NAD917530 NJO917528:NJZ917530 NTK917528:NTV917530 ODG917528:ODR917530 ONC917528:ONN917530 OWY917528:OXJ917530 PGU917528:PHF917530 PQQ917528:PRB917530 QAM917528:QAX917530 QKI917528:QKT917530 QUE917528:QUP917530 REA917528:REL917530 RNW917528:ROH917530 RXS917528:RYD917530 SHO917528:SHZ917530 SRK917528:SRV917530 TBG917528:TBR917530 TLC917528:TLN917530 TUY917528:TVJ917530 UEU917528:UFF917530 UOQ917528:UPB917530 UYM917528:UYX917530 VII917528:VIT917530 VSE917528:VSP917530 WCA917528:WCL917530 WLW917528:WMH917530 WVS917528:WWD917530 JG983064:JR983066 TC983064:TN983066 ACY983064:ADJ983066 AMU983064:ANF983066 AWQ983064:AXB983066 BGM983064:BGX983066 BQI983064:BQT983066 CAE983064:CAP983066 CKA983064:CKL983066 CTW983064:CUH983066 DDS983064:DED983066 DNO983064:DNZ983066 DXK983064:DXV983066 EHG983064:EHR983066 ERC983064:ERN983066 FAY983064:FBJ983066 FKU983064:FLF983066 FUQ983064:FVB983066 GEM983064:GEX983066 GOI983064:GOT983066 GYE983064:GYP983066 HIA983064:HIL983066 HRW983064:HSH983066 IBS983064:ICD983066 ILO983064:ILZ983066 IVK983064:IVV983066 JFG983064:JFR983066 JPC983064:JPN983066 JYY983064:JZJ983066 KIU983064:KJF983066 KSQ983064:KTB983066 LCM983064:LCX983066 LMI983064:LMT983066 LWE983064:LWP983066 MGA983064:MGL983066 MPW983064:MQH983066 MZS983064:NAD983066 NJO983064:NJZ983066 NTK983064:NTV983066 ODG983064:ODR983066 ONC983064:ONN983066 OWY983064:OXJ983066 PGU983064:PHF983066 PQQ983064:PRB983066 QAM983064:QAX983066 QKI983064:QKT983066 QUE983064:QUP983066 REA983064:REL983066 RNW983064:ROH983066 RXS983064:RYD983066 SHO983064:SHZ983066 SRK983064:SRV983066 TBG983064:TBR983066 TLC983064:TLN983066 TUY983064:TVJ983066 UEU983064:UFF983066 UOQ983064:UPB983066 UYM983064:UYX983066 VII983064:VIT983066 VSE983064:VSP983066 WCA983064:WCL983066 WLW983064:WMH983066 WVS983064:WWD983066 WVS983069:WWD983071 JG65565:JR65567 TC65565:TN65567 ACY65565:ADJ65567 AMU65565:ANF65567 AWQ65565:AXB65567 BGM65565:BGX65567 BQI65565:BQT65567 CAE65565:CAP65567 CKA65565:CKL65567 CTW65565:CUH65567 DDS65565:DED65567 DNO65565:DNZ65567 DXK65565:DXV65567 EHG65565:EHR65567 ERC65565:ERN65567 FAY65565:FBJ65567 FKU65565:FLF65567 FUQ65565:FVB65567 GEM65565:GEX65567 GOI65565:GOT65567 GYE65565:GYP65567 HIA65565:HIL65567 HRW65565:HSH65567 IBS65565:ICD65567 ILO65565:ILZ65567 IVK65565:IVV65567 JFG65565:JFR65567 JPC65565:JPN65567 JYY65565:JZJ65567 KIU65565:KJF65567 KSQ65565:KTB65567 LCM65565:LCX65567 LMI65565:LMT65567 LWE65565:LWP65567 MGA65565:MGL65567 MPW65565:MQH65567 MZS65565:NAD65567 NJO65565:NJZ65567 NTK65565:NTV65567 ODG65565:ODR65567 ONC65565:ONN65567 OWY65565:OXJ65567 PGU65565:PHF65567 PQQ65565:PRB65567 QAM65565:QAX65567 QKI65565:QKT65567 QUE65565:QUP65567 REA65565:REL65567 RNW65565:ROH65567 RXS65565:RYD65567 SHO65565:SHZ65567 SRK65565:SRV65567 TBG65565:TBR65567 TLC65565:TLN65567 TUY65565:TVJ65567 UEU65565:UFF65567 UOQ65565:UPB65567 UYM65565:UYX65567 VII65565:VIT65567 VSE65565:VSP65567 WCA65565:WCL65567 WLW65565:WMH65567 WVS65565:WWD65567 JG131101:JR131103 TC131101:TN131103 ACY131101:ADJ131103 AMU131101:ANF131103 AWQ131101:AXB131103 BGM131101:BGX131103 BQI131101:BQT131103 CAE131101:CAP131103 CKA131101:CKL131103 CTW131101:CUH131103 DDS131101:DED131103 DNO131101:DNZ131103 DXK131101:DXV131103 EHG131101:EHR131103 ERC131101:ERN131103 FAY131101:FBJ131103 FKU131101:FLF131103 FUQ131101:FVB131103 GEM131101:GEX131103 GOI131101:GOT131103 GYE131101:GYP131103 HIA131101:HIL131103 HRW131101:HSH131103 IBS131101:ICD131103 ILO131101:ILZ131103 IVK131101:IVV131103 JFG131101:JFR131103 JPC131101:JPN131103 JYY131101:JZJ131103 KIU131101:KJF131103 KSQ131101:KTB131103 LCM131101:LCX131103 LMI131101:LMT131103 LWE131101:LWP131103 MGA131101:MGL131103 MPW131101:MQH131103 MZS131101:NAD131103 NJO131101:NJZ131103 NTK131101:NTV131103 ODG131101:ODR131103 ONC131101:ONN131103 OWY131101:OXJ131103 PGU131101:PHF131103 PQQ131101:PRB131103 QAM131101:QAX131103 QKI131101:QKT131103 QUE131101:QUP131103 REA131101:REL131103 RNW131101:ROH131103 RXS131101:RYD131103 SHO131101:SHZ131103 SRK131101:SRV131103 TBG131101:TBR131103 TLC131101:TLN131103 TUY131101:TVJ131103 UEU131101:UFF131103 UOQ131101:UPB131103 UYM131101:UYX131103 VII131101:VIT131103 VSE131101:VSP131103 WCA131101:WCL131103 WLW131101:WMH131103 WVS131101:WWD131103 JG196637:JR196639 TC196637:TN196639 ACY196637:ADJ196639 AMU196637:ANF196639 AWQ196637:AXB196639 BGM196637:BGX196639 BQI196637:BQT196639 CAE196637:CAP196639 CKA196637:CKL196639 CTW196637:CUH196639 DDS196637:DED196639 DNO196637:DNZ196639 DXK196637:DXV196639 EHG196637:EHR196639 ERC196637:ERN196639 FAY196637:FBJ196639 FKU196637:FLF196639 FUQ196637:FVB196639 GEM196637:GEX196639 GOI196637:GOT196639 GYE196637:GYP196639 HIA196637:HIL196639 HRW196637:HSH196639 IBS196637:ICD196639 ILO196637:ILZ196639 IVK196637:IVV196639 JFG196637:JFR196639 JPC196637:JPN196639 JYY196637:JZJ196639 KIU196637:KJF196639 KSQ196637:KTB196639 LCM196637:LCX196639 LMI196637:LMT196639 LWE196637:LWP196639 MGA196637:MGL196639 MPW196637:MQH196639 MZS196637:NAD196639 NJO196637:NJZ196639 NTK196637:NTV196639 ODG196637:ODR196639 ONC196637:ONN196639 OWY196637:OXJ196639 PGU196637:PHF196639 PQQ196637:PRB196639 QAM196637:QAX196639 QKI196637:QKT196639 QUE196637:QUP196639 REA196637:REL196639 RNW196637:ROH196639 RXS196637:RYD196639 SHO196637:SHZ196639 SRK196637:SRV196639 TBG196637:TBR196639 TLC196637:TLN196639 TUY196637:TVJ196639 UEU196637:UFF196639 UOQ196637:UPB196639 UYM196637:UYX196639 VII196637:VIT196639 VSE196637:VSP196639 WCA196637:WCL196639 WLW196637:WMH196639 WVS196637:WWD196639 JG262173:JR262175 TC262173:TN262175 ACY262173:ADJ262175 AMU262173:ANF262175 AWQ262173:AXB262175 BGM262173:BGX262175 BQI262173:BQT262175 CAE262173:CAP262175 CKA262173:CKL262175 CTW262173:CUH262175 DDS262173:DED262175 DNO262173:DNZ262175 DXK262173:DXV262175 EHG262173:EHR262175 ERC262173:ERN262175 FAY262173:FBJ262175 FKU262173:FLF262175 FUQ262173:FVB262175 GEM262173:GEX262175 GOI262173:GOT262175 GYE262173:GYP262175 HIA262173:HIL262175 HRW262173:HSH262175 IBS262173:ICD262175 ILO262173:ILZ262175 IVK262173:IVV262175 JFG262173:JFR262175 JPC262173:JPN262175 JYY262173:JZJ262175 KIU262173:KJF262175 KSQ262173:KTB262175 LCM262173:LCX262175 LMI262173:LMT262175 LWE262173:LWP262175 MGA262173:MGL262175 MPW262173:MQH262175 MZS262173:NAD262175 NJO262173:NJZ262175 NTK262173:NTV262175 ODG262173:ODR262175 ONC262173:ONN262175 OWY262173:OXJ262175 PGU262173:PHF262175 PQQ262173:PRB262175 QAM262173:QAX262175 QKI262173:QKT262175 QUE262173:QUP262175 REA262173:REL262175 RNW262173:ROH262175 RXS262173:RYD262175 SHO262173:SHZ262175 SRK262173:SRV262175 TBG262173:TBR262175 TLC262173:TLN262175 TUY262173:TVJ262175 UEU262173:UFF262175 UOQ262173:UPB262175 UYM262173:UYX262175 VII262173:VIT262175 VSE262173:VSP262175 WCA262173:WCL262175 WLW262173:WMH262175 WVS262173:WWD262175 JG327709:JR327711 TC327709:TN327711 ACY327709:ADJ327711 AMU327709:ANF327711 AWQ327709:AXB327711 BGM327709:BGX327711 BQI327709:BQT327711 CAE327709:CAP327711 CKA327709:CKL327711 CTW327709:CUH327711 DDS327709:DED327711 DNO327709:DNZ327711 DXK327709:DXV327711 EHG327709:EHR327711 ERC327709:ERN327711 FAY327709:FBJ327711 FKU327709:FLF327711 FUQ327709:FVB327711 GEM327709:GEX327711 GOI327709:GOT327711 GYE327709:GYP327711 HIA327709:HIL327711 HRW327709:HSH327711 IBS327709:ICD327711 ILO327709:ILZ327711 IVK327709:IVV327711 JFG327709:JFR327711 JPC327709:JPN327711 JYY327709:JZJ327711 KIU327709:KJF327711 KSQ327709:KTB327711 LCM327709:LCX327711 LMI327709:LMT327711 LWE327709:LWP327711 MGA327709:MGL327711 MPW327709:MQH327711 MZS327709:NAD327711 NJO327709:NJZ327711 NTK327709:NTV327711 ODG327709:ODR327711 ONC327709:ONN327711 OWY327709:OXJ327711 PGU327709:PHF327711 PQQ327709:PRB327711 QAM327709:QAX327711 QKI327709:QKT327711 QUE327709:QUP327711 REA327709:REL327711 RNW327709:ROH327711 RXS327709:RYD327711 SHO327709:SHZ327711 SRK327709:SRV327711 TBG327709:TBR327711 TLC327709:TLN327711 TUY327709:TVJ327711 UEU327709:UFF327711 UOQ327709:UPB327711 UYM327709:UYX327711 VII327709:VIT327711 VSE327709:VSP327711 WCA327709:WCL327711 WLW327709:WMH327711 WVS327709:WWD327711 JG393245:JR393247 TC393245:TN393247 ACY393245:ADJ393247 AMU393245:ANF393247 AWQ393245:AXB393247 BGM393245:BGX393247 BQI393245:BQT393247 CAE393245:CAP393247 CKA393245:CKL393247 CTW393245:CUH393247 DDS393245:DED393247 DNO393245:DNZ393247 DXK393245:DXV393247 EHG393245:EHR393247 ERC393245:ERN393247 FAY393245:FBJ393247 FKU393245:FLF393247 FUQ393245:FVB393247 GEM393245:GEX393247 GOI393245:GOT393247 GYE393245:GYP393247 HIA393245:HIL393247 HRW393245:HSH393247 IBS393245:ICD393247 ILO393245:ILZ393247 IVK393245:IVV393247 JFG393245:JFR393247 JPC393245:JPN393247 JYY393245:JZJ393247 KIU393245:KJF393247 KSQ393245:KTB393247 LCM393245:LCX393247 LMI393245:LMT393247 LWE393245:LWP393247 MGA393245:MGL393247 MPW393245:MQH393247 MZS393245:NAD393247 NJO393245:NJZ393247 NTK393245:NTV393247 ODG393245:ODR393247 ONC393245:ONN393247 OWY393245:OXJ393247 PGU393245:PHF393247 PQQ393245:PRB393247 QAM393245:QAX393247 QKI393245:QKT393247 QUE393245:QUP393247 REA393245:REL393247 RNW393245:ROH393247 RXS393245:RYD393247 SHO393245:SHZ393247 SRK393245:SRV393247 TBG393245:TBR393247 TLC393245:TLN393247 TUY393245:TVJ393247 UEU393245:UFF393247 UOQ393245:UPB393247 UYM393245:UYX393247 VII393245:VIT393247 VSE393245:VSP393247 WCA393245:WCL393247 WLW393245:WMH393247 WVS393245:WWD393247 JG458781:JR458783 TC458781:TN458783 ACY458781:ADJ458783 AMU458781:ANF458783 AWQ458781:AXB458783 BGM458781:BGX458783 BQI458781:BQT458783 CAE458781:CAP458783 CKA458781:CKL458783 CTW458781:CUH458783 DDS458781:DED458783 DNO458781:DNZ458783 DXK458781:DXV458783 EHG458781:EHR458783 ERC458781:ERN458783 FAY458781:FBJ458783 FKU458781:FLF458783 FUQ458781:FVB458783 GEM458781:GEX458783 GOI458781:GOT458783 GYE458781:GYP458783 HIA458781:HIL458783 HRW458781:HSH458783 IBS458781:ICD458783 ILO458781:ILZ458783 IVK458781:IVV458783 JFG458781:JFR458783 JPC458781:JPN458783 JYY458781:JZJ458783 KIU458781:KJF458783 KSQ458781:KTB458783 LCM458781:LCX458783 LMI458781:LMT458783 LWE458781:LWP458783 MGA458781:MGL458783 MPW458781:MQH458783 MZS458781:NAD458783 NJO458781:NJZ458783 NTK458781:NTV458783 ODG458781:ODR458783 ONC458781:ONN458783 OWY458781:OXJ458783 PGU458781:PHF458783 PQQ458781:PRB458783 QAM458781:QAX458783 QKI458781:QKT458783 QUE458781:QUP458783 REA458781:REL458783 RNW458781:ROH458783 RXS458781:RYD458783 SHO458781:SHZ458783 SRK458781:SRV458783 TBG458781:TBR458783 TLC458781:TLN458783 TUY458781:TVJ458783 UEU458781:UFF458783 UOQ458781:UPB458783 UYM458781:UYX458783 VII458781:VIT458783 VSE458781:VSP458783 WCA458781:WCL458783 WLW458781:WMH458783 WVS458781:WWD458783 JG524317:JR524319 TC524317:TN524319 ACY524317:ADJ524319 AMU524317:ANF524319 AWQ524317:AXB524319 BGM524317:BGX524319 BQI524317:BQT524319 CAE524317:CAP524319 CKA524317:CKL524319 CTW524317:CUH524319 DDS524317:DED524319 DNO524317:DNZ524319 DXK524317:DXV524319 EHG524317:EHR524319 ERC524317:ERN524319 FAY524317:FBJ524319 FKU524317:FLF524319 FUQ524317:FVB524319 GEM524317:GEX524319 GOI524317:GOT524319 GYE524317:GYP524319 HIA524317:HIL524319 HRW524317:HSH524319 IBS524317:ICD524319 ILO524317:ILZ524319 IVK524317:IVV524319 JFG524317:JFR524319 JPC524317:JPN524319 JYY524317:JZJ524319 KIU524317:KJF524319 KSQ524317:KTB524319 LCM524317:LCX524319 LMI524317:LMT524319 LWE524317:LWP524319 MGA524317:MGL524319 MPW524317:MQH524319 MZS524317:NAD524319 NJO524317:NJZ524319 NTK524317:NTV524319 ODG524317:ODR524319 ONC524317:ONN524319 OWY524317:OXJ524319 PGU524317:PHF524319 PQQ524317:PRB524319 QAM524317:QAX524319 QKI524317:QKT524319 QUE524317:QUP524319 REA524317:REL524319 RNW524317:ROH524319 RXS524317:RYD524319 SHO524317:SHZ524319 SRK524317:SRV524319 TBG524317:TBR524319 TLC524317:TLN524319 TUY524317:TVJ524319 UEU524317:UFF524319 UOQ524317:UPB524319 UYM524317:UYX524319 VII524317:VIT524319 VSE524317:VSP524319 WCA524317:WCL524319 WLW524317:WMH524319 WVS524317:WWD524319 JG589853:JR589855 TC589853:TN589855 ACY589853:ADJ589855 AMU589853:ANF589855 AWQ589853:AXB589855 BGM589853:BGX589855 BQI589853:BQT589855 CAE589853:CAP589855 CKA589853:CKL589855 CTW589853:CUH589855 DDS589853:DED589855 DNO589853:DNZ589855 DXK589853:DXV589855 EHG589853:EHR589855 ERC589853:ERN589855 FAY589853:FBJ589855 FKU589853:FLF589855 FUQ589853:FVB589855 GEM589853:GEX589855 GOI589853:GOT589855 GYE589853:GYP589855 HIA589853:HIL589855 HRW589853:HSH589855 IBS589853:ICD589855 ILO589853:ILZ589855 IVK589853:IVV589855 JFG589853:JFR589855 JPC589853:JPN589855 JYY589853:JZJ589855 KIU589853:KJF589855 KSQ589853:KTB589855 LCM589853:LCX589855 LMI589853:LMT589855 LWE589853:LWP589855 MGA589853:MGL589855 MPW589853:MQH589855 MZS589853:NAD589855 NJO589853:NJZ589855 NTK589853:NTV589855 ODG589853:ODR589855 ONC589853:ONN589855 OWY589853:OXJ589855 PGU589853:PHF589855 PQQ589853:PRB589855 QAM589853:QAX589855 QKI589853:QKT589855 QUE589853:QUP589855 REA589853:REL589855 RNW589853:ROH589855 RXS589853:RYD589855 SHO589853:SHZ589855 SRK589853:SRV589855 TBG589853:TBR589855 TLC589853:TLN589855 TUY589853:TVJ589855 UEU589853:UFF589855 UOQ589853:UPB589855 UYM589853:UYX589855 VII589853:VIT589855 VSE589853:VSP589855 WCA589853:WCL589855 WLW589853:WMH589855 WVS589853:WWD589855 JG655389:JR655391 TC655389:TN655391 ACY655389:ADJ655391 AMU655389:ANF655391 AWQ655389:AXB655391 BGM655389:BGX655391 BQI655389:BQT655391 CAE655389:CAP655391 CKA655389:CKL655391 CTW655389:CUH655391 DDS655389:DED655391 DNO655389:DNZ655391 DXK655389:DXV655391 EHG655389:EHR655391 ERC655389:ERN655391 FAY655389:FBJ655391 FKU655389:FLF655391 FUQ655389:FVB655391 GEM655389:GEX655391 GOI655389:GOT655391 GYE655389:GYP655391 HIA655389:HIL655391 HRW655389:HSH655391 IBS655389:ICD655391 ILO655389:ILZ655391 IVK655389:IVV655391 JFG655389:JFR655391 JPC655389:JPN655391 JYY655389:JZJ655391 KIU655389:KJF655391 KSQ655389:KTB655391 LCM655389:LCX655391 LMI655389:LMT655391 LWE655389:LWP655391 MGA655389:MGL655391 MPW655389:MQH655391 MZS655389:NAD655391 NJO655389:NJZ655391 NTK655389:NTV655391 ODG655389:ODR655391 ONC655389:ONN655391 OWY655389:OXJ655391 PGU655389:PHF655391 PQQ655389:PRB655391 QAM655389:QAX655391 QKI655389:QKT655391 QUE655389:QUP655391 REA655389:REL655391 RNW655389:ROH655391 RXS655389:RYD655391 SHO655389:SHZ655391 SRK655389:SRV655391 TBG655389:TBR655391 TLC655389:TLN655391 TUY655389:TVJ655391 UEU655389:UFF655391 UOQ655389:UPB655391 UYM655389:UYX655391 VII655389:VIT655391 VSE655389:VSP655391 WCA655389:WCL655391 WLW655389:WMH655391 WVS655389:WWD655391 JG720925:JR720927 TC720925:TN720927 ACY720925:ADJ720927 AMU720925:ANF720927 AWQ720925:AXB720927 BGM720925:BGX720927 BQI720925:BQT720927 CAE720925:CAP720927 CKA720925:CKL720927 CTW720925:CUH720927 DDS720925:DED720927 DNO720925:DNZ720927 DXK720925:DXV720927 EHG720925:EHR720927 ERC720925:ERN720927 FAY720925:FBJ720927 FKU720925:FLF720927 FUQ720925:FVB720927 GEM720925:GEX720927 GOI720925:GOT720927 GYE720925:GYP720927 HIA720925:HIL720927 HRW720925:HSH720927 IBS720925:ICD720927 ILO720925:ILZ720927 IVK720925:IVV720927 JFG720925:JFR720927 JPC720925:JPN720927 JYY720925:JZJ720927 KIU720925:KJF720927 KSQ720925:KTB720927 LCM720925:LCX720927 LMI720925:LMT720927 LWE720925:LWP720927 MGA720925:MGL720927 MPW720925:MQH720927 MZS720925:NAD720927 NJO720925:NJZ720927 NTK720925:NTV720927 ODG720925:ODR720927 ONC720925:ONN720927 OWY720925:OXJ720927 PGU720925:PHF720927 PQQ720925:PRB720927 QAM720925:QAX720927 QKI720925:QKT720927 QUE720925:QUP720927 REA720925:REL720927 RNW720925:ROH720927 RXS720925:RYD720927 SHO720925:SHZ720927 SRK720925:SRV720927 TBG720925:TBR720927 TLC720925:TLN720927 TUY720925:TVJ720927 UEU720925:UFF720927 UOQ720925:UPB720927 UYM720925:UYX720927 VII720925:VIT720927 VSE720925:VSP720927 WCA720925:WCL720927 WLW720925:WMH720927 WVS720925:WWD720927 JG786461:JR786463 TC786461:TN786463 ACY786461:ADJ786463 AMU786461:ANF786463 AWQ786461:AXB786463 BGM786461:BGX786463 BQI786461:BQT786463 CAE786461:CAP786463 CKA786461:CKL786463 CTW786461:CUH786463 DDS786461:DED786463 DNO786461:DNZ786463 DXK786461:DXV786463 EHG786461:EHR786463 ERC786461:ERN786463 FAY786461:FBJ786463 FKU786461:FLF786463 FUQ786461:FVB786463 GEM786461:GEX786463 GOI786461:GOT786463 GYE786461:GYP786463 HIA786461:HIL786463 HRW786461:HSH786463 IBS786461:ICD786463 ILO786461:ILZ786463 IVK786461:IVV786463 JFG786461:JFR786463 JPC786461:JPN786463 JYY786461:JZJ786463 KIU786461:KJF786463 KSQ786461:KTB786463 LCM786461:LCX786463 LMI786461:LMT786463 LWE786461:LWP786463 MGA786461:MGL786463 MPW786461:MQH786463 MZS786461:NAD786463 NJO786461:NJZ786463 NTK786461:NTV786463 ODG786461:ODR786463 ONC786461:ONN786463 OWY786461:OXJ786463 PGU786461:PHF786463 PQQ786461:PRB786463 QAM786461:QAX786463 QKI786461:QKT786463 QUE786461:QUP786463 REA786461:REL786463 RNW786461:ROH786463 RXS786461:RYD786463 SHO786461:SHZ786463 SRK786461:SRV786463 TBG786461:TBR786463 TLC786461:TLN786463 TUY786461:TVJ786463 UEU786461:UFF786463 UOQ786461:UPB786463 UYM786461:UYX786463 VII786461:VIT786463 VSE786461:VSP786463 WCA786461:WCL786463 WLW786461:WMH786463 WVS786461:WWD786463 JG851997:JR851999 TC851997:TN851999 ACY851997:ADJ851999 AMU851997:ANF851999 AWQ851997:AXB851999 BGM851997:BGX851999 BQI851997:BQT851999 CAE851997:CAP851999 CKA851997:CKL851999 CTW851997:CUH851999 DDS851997:DED851999 DNO851997:DNZ851999 DXK851997:DXV851999 EHG851997:EHR851999 ERC851997:ERN851999 FAY851997:FBJ851999 FKU851997:FLF851999 FUQ851997:FVB851999 GEM851997:GEX851999 GOI851997:GOT851999 GYE851997:GYP851999 HIA851997:HIL851999 HRW851997:HSH851999 IBS851997:ICD851999 ILO851997:ILZ851999 IVK851997:IVV851999 JFG851997:JFR851999 JPC851997:JPN851999 JYY851997:JZJ851999 KIU851997:KJF851999 KSQ851997:KTB851999 LCM851997:LCX851999 LMI851997:LMT851999 LWE851997:LWP851999 MGA851997:MGL851999 MPW851997:MQH851999 MZS851997:NAD851999 NJO851997:NJZ851999 NTK851997:NTV851999 ODG851997:ODR851999 ONC851997:ONN851999 OWY851997:OXJ851999 PGU851997:PHF851999 PQQ851997:PRB851999 QAM851997:QAX851999 QKI851997:QKT851999 QUE851997:QUP851999 REA851997:REL851999 RNW851997:ROH851999 RXS851997:RYD851999 SHO851997:SHZ851999 SRK851997:SRV851999 TBG851997:TBR851999 TLC851997:TLN851999 TUY851997:TVJ851999 UEU851997:UFF851999 UOQ851997:UPB851999 UYM851997:UYX851999 VII851997:VIT851999 VSE851997:VSP851999 WCA851997:WCL851999 WLW851997:WMH851999 WVS851997:WWD851999 JG917533:JR917535 TC917533:TN917535 ACY917533:ADJ917535 AMU917533:ANF917535 AWQ917533:AXB917535 BGM917533:BGX917535 BQI917533:BQT917535 CAE917533:CAP917535 CKA917533:CKL917535 CTW917533:CUH917535 DDS917533:DED917535 DNO917533:DNZ917535 DXK917533:DXV917535 EHG917533:EHR917535 ERC917533:ERN917535 FAY917533:FBJ917535 FKU917533:FLF917535 FUQ917533:FVB917535 GEM917533:GEX917535 GOI917533:GOT917535 GYE917533:GYP917535 HIA917533:HIL917535 HRW917533:HSH917535 IBS917533:ICD917535 ILO917533:ILZ917535 IVK917533:IVV917535 JFG917533:JFR917535 JPC917533:JPN917535 JYY917533:JZJ917535 KIU917533:KJF917535 KSQ917533:KTB917535 LCM917533:LCX917535 LMI917533:LMT917535 LWE917533:LWP917535 MGA917533:MGL917535 MPW917533:MQH917535 MZS917533:NAD917535 NJO917533:NJZ917535 NTK917533:NTV917535 ODG917533:ODR917535 ONC917533:ONN917535 OWY917533:OXJ917535 PGU917533:PHF917535 PQQ917533:PRB917535 QAM917533:QAX917535 QKI917533:QKT917535 QUE917533:QUP917535 REA917533:REL917535 RNW917533:ROH917535 RXS917533:RYD917535 SHO917533:SHZ917535 SRK917533:SRV917535 TBG917533:TBR917535 TLC917533:TLN917535 TUY917533:TVJ917535 UEU917533:UFF917535 UOQ917533:UPB917535 UYM917533:UYX917535 VII917533:VIT917535 VSE917533:VSP917535 WCA917533:WCL917535 WLW917533:WMH917535 WVS917533:WWD917535 JG983069:JR983071 TC983069:TN983071 ACY983069:ADJ983071 AMU983069:ANF983071 AWQ983069:AXB983071 BGM983069:BGX983071 BQI983069:BQT983071 CAE983069:CAP983071 CKA983069:CKL983071 CTW983069:CUH983071 DDS983069:DED983071 DNO983069:DNZ983071 DXK983069:DXV983071 EHG983069:EHR983071 ERC983069:ERN983071 FAY983069:FBJ983071 FKU983069:FLF983071 FUQ983069:FVB983071 GEM983069:GEX983071 GOI983069:GOT983071 GYE983069:GYP983071 HIA983069:HIL983071 HRW983069:HSH983071 IBS983069:ICD983071 ILO983069:ILZ983071 IVK983069:IVV983071 JFG983069:JFR983071 JPC983069:JPN983071 JYY983069:JZJ983071 KIU983069:KJF983071 KSQ983069:KTB983071 LCM983069:LCX983071 LMI983069:LMT983071 LWE983069:LWP983071 MGA983069:MGL983071 MPW983069:MQH983071 MZS983069:NAD983071 NJO983069:NJZ983071 NTK983069:NTV983071 ODG983069:ODR983071 ONC983069:ONN983071 OWY983069:OXJ983071 PGU983069:PHF983071 PQQ983069:PRB983071 QAM983069:QAX983071 QKI983069:QKT983071 QUE983069:QUP983071 REA983069:REL983071 RNW983069:ROH983071 RXS983069:RYD983071 SHO983069:SHZ983071 SRK983069:SRV983071 TBG983069:TBR983071 TLC983069:TLN983071 TUY983069:TVJ983071 UEU983069:UFF983071 UOQ983069:UPB983071 UYM983069:UYX983071 VII983069:VIT983071 VSE983069:VSP983071 WCA983069:WCL983071 WLW983069:WMH983071 Z262168:AJ262170 Z196632:AJ196634 Z131096:AJ131098 Z65560:AJ65562 Z983069:AJ983071 Z917533:AJ917535 Z851997:AJ851999 Z786461:AJ786463 Z720925:AJ720927 Z655389:AJ655391 Z589853:AJ589855 Z524317:AJ524319 Z458781:AJ458783 Z393245:AJ393247 Z327709:AJ327711 Z262173:AJ262175 Z196637:AJ196639 Z131101:AJ131103 Z65565:AJ65567 Z983064:AJ983066 Z917528:AJ917530 Z851992:AJ851994 Z786456:AJ786458 Z720920:AJ720922 Z655384:AJ655386 Z589848:AJ589850 Z524312:AJ524314 Z458776:AJ458778 Z393240:AJ393242 Z327704:AJ327706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dataValidation type="list" allowBlank="1" showInputMessage="1" showErrorMessage="1" sqref="Y8:Z85">
      <formula1>"文字,数値,日付,時間"</formula1>
    </dataValidation>
    <dataValidation type="list" allowBlank="1" showInputMessage="1" showErrorMessage="1" sqref="AA8:AA85">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pageSetUpPr autoPageBreaks="0"/>
  </sheetPr>
  <dimension ref="A1:J813"/>
  <sheetViews>
    <sheetView zoomScaleNormal="100" workbookViewId="0">
      <pane ySplit="3" topLeftCell="A4" activePane="bottomLeft" state="frozen"/>
      <selection activeCell="AM25" sqref="AM25"/>
      <selection pane="bottomLeft"/>
    </sheetView>
  </sheetViews>
  <sheetFormatPr defaultRowHeight="14.4"/>
  <cols>
    <col min="1" max="1" width="4.36328125" customWidth="1"/>
    <col min="2" max="2" width="21.7265625" bestFit="1" customWidth="1"/>
    <col min="3" max="3" width="27.36328125" bestFit="1" customWidth="1"/>
    <col min="4" max="4" width="22" bestFit="1" customWidth="1"/>
    <col min="5" max="5" width="20.7265625" bestFit="1" customWidth="1"/>
    <col min="6" max="6" width="6.08984375" bestFit="1" customWidth="1"/>
    <col min="7" max="7" width="8.90625" bestFit="1" customWidth="1"/>
    <col min="8" max="8" width="6.08984375" bestFit="1" customWidth="1"/>
    <col min="9" max="9" width="6.08984375" style="14" bestFit="1" customWidth="1"/>
    <col min="10" max="10" width="8.08984375" bestFit="1" customWidth="1"/>
  </cols>
  <sheetData>
    <row r="1" spans="1:10" ht="18.600000000000001">
      <c r="A1" s="7" t="str">
        <f ca="1">RIGHT(CELL("filename",A1),LEN(CELL("filename",A1))-FIND("]",CELL("filename",A1)))</f>
        <v>項目一覧</v>
      </c>
      <c r="B1" s="8"/>
      <c r="C1" s="8"/>
      <c r="D1" s="8"/>
      <c r="E1" s="8"/>
      <c r="F1" s="8"/>
      <c r="G1" s="8"/>
      <c r="H1" s="8"/>
      <c r="I1" s="9"/>
      <c r="J1" s="9"/>
    </row>
    <row r="2" spans="1:10">
      <c r="J2" s="14"/>
    </row>
    <row r="3" spans="1:10">
      <c r="A3" s="10" t="s">
        <v>87</v>
      </c>
      <c r="B3" s="10" t="s">
        <v>88</v>
      </c>
      <c r="C3" s="10" t="s">
        <v>89</v>
      </c>
      <c r="D3" s="10" t="s">
        <v>90</v>
      </c>
      <c r="E3" s="10" t="s">
        <v>1582</v>
      </c>
      <c r="F3" s="10" t="s">
        <v>91</v>
      </c>
      <c r="G3" s="10" t="s">
        <v>92</v>
      </c>
      <c r="H3" s="10" t="s">
        <v>93</v>
      </c>
      <c r="I3" s="10" t="s">
        <v>94</v>
      </c>
      <c r="J3" s="11" t="s">
        <v>95</v>
      </c>
    </row>
    <row r="4" spans="1:10">
      <c r="A4" s="12">
        <f>IF(B4="","",COUNTA($B$4:B4))</f>
        <v>1</v>
      </c>
      <c r="B4" s="12" t="s">
        <v>1858</v>
      </c>
      <c r="C4" s="12" t="s">
        <v>1859</v>
      </c>
      <c r="D4" s="12" t="s">
        <v>1860</v>
      </c>
      <c r="E4" s="12" t="s">
        <v>1859</v>
      </c>
      <c r="F4" s="12" t="s">
        <v>1861</v>
      </c>
      <c r="G4" s="12" t="s">
        <v>1862</v>
      </c>
      <c r="H4" s="12">
        <v>6</v>
      </c>
      <c r="I4" s="13" t="s">
        <v>1585</v>
      </c>
      <c r="J4" s="12"/>
    </row>
    <row r="5" spans="1:10">
      <c r="A5" s="12">
        <f>IF(B5="","",COUNTA($B$4:B5))</f>
        <v>2</v>
      </c>
      <c r="B5" s="12" t="s">
        <v>1858</v>
      </c>
      <c r="C5" s="12" t="s">
        <v>1863</v>
      </c>
      <c r="D5" s="12" t="s">
        <v>1864</v>
      </c>
      <c r="E5" s="12" t="s">
        <v>1863</v>
      </c>
      <c r="F5" s="12" t="s">
        <v>1861</v>
      </c>
      <c r="G5" s="12" t="s">
        <v>1862</v>
      </c>
      <c r="H5" s="12">
        <v>3</v>
      </c>
      <c r="I5" s="13"/>
      <c r="J5" s="12"/>
    </row>
    <row r="6" spans="1:10">
      <c r="A6" s="12">
        <f>IF(B6="","",COUNTA($B$4:B6))</f>
        <v>3</v>
      </c>
      <c r="B6" s="12" t="s">
        <v>1858</v>
      </c>
      <c r="C6" s="12" t="s">
        <v>1865</v>
      </c>
      <c r="D6" s="12" t="s">
        <v>1866</v>
      </c>
      <c r="E6" s="12" t="s">
        <v>1865</v>
      </c>
      <c r="F6" s="12" t="s">
        <v>1861</v>
      </c>
      <c r="G6" s="12" t="s">
        <v>1862</v>
      </c>
      <c r="H6" s="12">
        <v>8</v>
      </c>
      <c r="I6" s="13"/>
      <c r="J6" s="12"/>
    </row>
    <row r="7" spans="1:10">
      <c r="A7" s="12">
        <f>IF(B7="","",COUNTA($B$4:B7))</f>
        <v>4</v>
      </c>
      <c r="B7" s="12" t="s">
        <v>1858</v>
      </c>
      <c r="C7" s="12" t="s">
        <v>1867</v>
      </c>
      <c r="D7" s="12" t="s">
        <v>1868</v>
      </c>
      <c r="E7" s="12" t="s">
        <v>1867</v>
      </c>
      <c r="F7" s="12" t="s">
        <v>1861</v>
      </c>
      <c r="G7" s="12" t="s">
        <v>1862</v>
      </c>
      <c r="H7" s="12">
        <v>8</v>
      </c>
      <c r="I7" s="13"/>
      <c r="J7" s="12"/>
    </row>
    <row r="8" spans="1:10">
      <c r="A8" s="12">
        <f>IF(B8="","",COUNTA($B$4:B8))</f>
        <v>5</v>
      </c>
      <c r="B8" s="12" t="s">
        <v>1858</v>
      </c>
      <c r="C8" s="12" t="s">
        <v>1869</v>
      </c>
      <c r="D8" s="12" t="s">
        <v>1870</v>
      </c>
      <c r="E8" s="12" t="s">
        <v>1869</v>
      </c>
      <c r="F8" s="12" t="s">
        <v>1861</v>
      </c>
      <c r="G8" s="12" t="s">
        <v>1862</v>
      </c>
      <c r="H8" s="12">
        <v>8</v>
      </c>
      <c r="I8" s="13"/>
      <c r="J8" s="12"/>
    </row>
    <row r="9" spans="1:10">
      <c r="A9" s="12">
        <f>IF(B9="","",COUNTA($B$4:B9))</f>
        <v>6</v>
      </c>
      <c r="B9" s="12" t="s">
        <v>1858</v>
      </c>
      <c r="C9" s="12" t="s">
        <v>1871</v>
      </c>
      <c r="D9" s="12" t="s">
        <v>1872</v>
      </c>
      <c r="E9" s="12" t="s">
        <v>1871</v>
      </c>
      <c r="F9" s="12" t="s">
        <v>1861</v>
      </c>
      <c r="G9" s="12" t="s">
        <v>1862</v>
      </c>
      <c r="H9" s="12">
        <v>1</v>
      </c>
      <c r="I9" s="13"/>
      <c r="J9" s="12"/>
    </row>
    <row r="10" spans="1:10">
      <c r="A10" s="12">
        <f>IF(B10="","",COUNTA($B$4:B10))</f>
        <v>7</v>
      </c>
      <c r="B10" s="12" t="s">
        <v>1858</v>
      </c>
      <c r="C10" s="12" t="s">
        <v>1873</v>
      </c>
      <c r="D10" s="12" t="s">
        <v>1874</v>
      </c>
      <c r="E10" s="12" t="s">
        <v>1875</v>
      </c>
      <c r="F10" s="12" t="s">
        <v>1861</v>
      </c>
      <c r="G10" s="12" t="s">
        <v>1862</v>
      </c>
      <c r="H10" s="12">
        <v>10</v>
      </c>
      <c r="I10" s="13"/>
      <c r="J10" s="12"/>
    </row>
    <row r="11" spans="1:10">
      <c r="A11" s="12">
        <f>IF(B11="","",COUNTA($B$4:B11))</f>
        <v>8</v>
      </c>
      <c r="B11" s="12" t="s">
        <v>1858</v>
      </c>
      <c r="C11" s="12" t="s">
        <v>1876</v>
      </c>
      <c r="D11" s="12" t="s">
        <v>1874</v>
      </c>
      <c r="E11" s="12" t="s">
        <v>1876</v>
      </c>
      <c r="F11" s="12" t="s">
        <v>1861</v>
      </c>
      <c r="G11" s="12" t="s">
        <v>1862</v>
      </c>
      <c r="H11" s="12">
        <v>10</v>
      </c>
      <c r="I11" s="13"/>
      <c r="J11" s="12"/>
    </row>
    <row r="12" spans="1:10">
      <c r="A12" s="12">
        <f>IF(B12="","",COUNTA($B$4:B12))</f>
        <v>9</v>
      </c>
      <c r="B12" s="12" t="s">
        <v>1858</v>
      </c>
      <c r="C12" s="12" t="s">
        <v>1877</v>
      </c>
      <c r="D12" s="12" t="s">
        <v>1878</v>
      </c>
      <c r="E12" s="12" t="s">
        <v>1877</v>
      </c>
      <c r="F12" s="12" t="s">
        <v>1879</v>
      </c>
      <c r="G12" s="12" t="s">
        <v>1880</v>
      </c>
      <c r="H12" s="12"/>
      <c r="I12" s="13"/>
      <c r="J12" s="12"/>
    </row>
    <row r="13" spans="1:10">
      <c r="A13" s="12">
        <f>IF(B13="","",COUNTA($B$4:B13))</f>
        <v>10</v>
      </c>
      <c r="B13" s="12" t="s">
        <v>1858</v>
      </c>
      <c r="C13" s="12" t="s">
        <v>1881</v>
      </c>
      <c r="D13" s="12" t="s">
        <v>1882</v>
      </c>
      <c r="E13" s="12" t="s">
        <v>1883</v>
      </c>
      <c r="F13" s="12" t="s">
        <v>1861</v>
      </c>
      <c r="G13" s="12" t="s">
        <v>1862</v>
      </c>
      <c r="H13" s="12">
        <v>10</v>
      </c>
      <c r="I13" s="13"/>
      <c r="J13" s="12"/>
    </row>
    <row r="14" spans="1:10">
      <c r="A14" s="12">
        <f>IF(B14="","",COUNTA($B$4:B14))</f>
        <v>11</v>
      </c>
      <c r="B14" s="12" t="s">
        <v>1858</v>
      </c>
      <c r="C14" s="12" t="s">
        <v>1884</v>
      </c>
      <c r="D14" s="12" t="s">
        <v>1885</v>
      </c>
      <c r="E14" s="12" t="s">
        <v>1884</v>
      </c>
      <c r="F14" s="12" t="s">
        <v>1861</v>
      </c>
      <c r="G14" s="12" t="s">
        <v>1862</v>
      </c>
      <c r="H14" s="12">
        <v>10</v>
      </c>
      <c r="I14" s="13" t="s">
        <v>1585</v>
      </c>
      <c r="J14" s="12"/>
    </row>
    <row r="15" spans="1:10">
      <c r="A15" s="12">
        <f>IF(B15="","",COUNTA($B$4:B15))</f>
        <v>12</v>
      </c>
      <c r="B15" s="12" t="s">
        <v>1858</v>
      </c>
      <c r="C15" s="12" t="s">
        <v>1886</v>
      </c>
      <c r="D15" s="12" t="s">
        <v>1887</v>
      </c>
      <c r="E15" s="12" t="s">
        <v>1886</v>
      </c>
      <c r="F15" s="12" t="s">
        <v>1879</v>
      </c>
      <c r="G15" s="12" t="s">
        <v>1880</v>
      </c>
      <c r="H15" s="12"/>
      <c r="I15" s="13" t="s">
        <v>1585</v>
      </c>
      <c r="J15" s="12"/>
    </row>
    <row r="16" spans="1:10">
      <c r="A16" s="12">
        <f>IF(B16="","",COUNTA($B$4:B16))</f>
        <v>13</v>
      </c>
      <c r="B16" s="12" t="s">
        <v>1888</v>
      </c>
      <c r="C16" s="12" t="s">
        <v>1859</v>
      </c>
      <c r="D16" s="12" t="s">
        <v>1860</v>
      </c>
      <c r="E16" s="12" t="s">
        <v>1859</v>
      </c>
      <c r="F16" s="12" t="s">
        <v>1861</v>
      </c>
      <c r="G16" s="12" t="s">
        <v>1862</v>
      </c>
      <c r="H16" s="12">
        <v>6</v>
      </c>
      <c r="I16" s="13" t="s">
        <v>1585</v>
      </c>
      <c r="J16" s="12"/>
    </row>
    <row r="17" spans="1:10">
      <c r="A17" s="12">
        <f>IF(B17="","",COUNTA($B$4:B17))</f>
        <v>14</v>
      </c>
      <c r="B17" s="12" t="s">
        <v>1888</v>
      </c>
      <c r="C17" s="12" t="s">
        <v>1889</v>
      </c>
      <c r="D17" s="12" t="s">
        <v>1890</v>
      </c>
      <c r="E17" s="12" t="s">
        <v>1889</v>
      </c>
      <c r="F17" s="12" t="s">
        <v>1861</v>
      </c>
      <c r="G17" s="12" t="s">
        <v>1862</v>
      </c>
      <c r="H17" s="12">
        <v>15</v>
      </c>
      <c r="I17" s="13" t="s">
        <v>1585</v>
      </c>
      <c r="J17" s="12"/>
    </row>
    <row r="18" spans="1:10">
      <c r="A18" s="12">
        <f>IF(B18="","",COUNTA($B$4:B18))</f>
        <v>15</v>
      </c>
      <c r="B18" s="12" t="s">
        <v>1888</v>
      </c>
      <c r="C18" s="12" t="s">
        <v>1891</v>
      </c>
      <c r="D18" s="12" t="s">
        <v>1892</v>
      </c>
      <c r="E18" s="12" t="s">
        <v>1891</v>
      </c>
      <c r="F18" s="12" t="s">
        <v>1861</v>
      </c>
      <c r="G18" s="12" t="s">
        <v>1862</v>
      </c>
      <c r="H18" s="12">
        <v>2</v>
      </c>
      <c r="I18" s="13"/>
      <c r="J18" s="12"/>
    </row>
    <row r="19" spans="1:10">
      <c r="A19" s="12">
        <f>IF(B19="","",COUNTA($B$4:B19))</f>
        <v>16</v>
      </c>
      <c r="B19" s="12" t="s">
        <v>1888</v>
      </c>
      <c r="C19" s="12" t="s">
        <v>1893</v>
      </c>
      <c r="D19" s="12" t="s">
        <v>1894</v>
      </c>
      <c r="E19" s="12" t="s">
        <v>1893</v>
      </c>
      <c r="F19" s="12" t="s">
        <v>1861</v>
      </c>
      <c r="G19" s="12" t="s">
        <v>1862</v>
      </c>
      <c r="H19" s="12">
        <v>20</v>
      </c>
      <c r="I19" s="13"/>
      <c r="J19" s="12"/>
    </row>
    <row r="20" spans="1:10">
      <c r="A20" s="12">
        <f>IF(B20="","",COUNTA($B$4:B20))</f>
        <v>17</v>
      </c>
      <c r="B20" s="12" t="s">
        <v>1888</v>
      </c>
      <c r="C20" s="12" t="s">
        <v>1895</v>
      </c>
      <c r="D20" s="12" t="s">
        <v>1896</v>
      </c>
      <c r="E20" s="12" t="s">
        <v>1895</v>
      </c>
      <c r="F20" s="12" t="s">
        <v>1861</v>
      </c>
      <c r="G20" s="12" t="s">
        <v>1862</v>
      </c>
      <c r="H20" s="12">
        <v>30</v>
      </c>
      <c r="I20" s="13"/>
      <c r="J20" s="12"/>
    </row>
    <row r="21" spans="1:10">
      <c r="A21" s="12">
        <f>IF(B21="","",COUNTA($B$4:B21))</f>
        <v>18</v>
      </c>
      <c r="B21" s="12" t="s">
        <v>1888</v>
      </c>
      <c r="C21" s="12" t="s">
        <v>1897</v>
      </c>
      <c r="D21" s="12" t="s">
        <v>1898</v>
      </c>
      <c r="E21" s="12" t="s">
        <v>1897</v>
      </c>
      <c r="F21" s="12" t="s">
        <v>1899</v>
      </c>
      <c r="G21" s="12" t="s">
        <v>1900</v>
      </c>
      <c r="H21" s="12">
        <v>2</v>
      </c>
      <c r="I21" s="13"/>
      <c r="J21" s="12"/>
    </row>
    <row r="22" spans="1:10">
      <c r="A22" s="12">
        <f>IF(B22="","",COUNTA($B$4:B22))</f>
        <v>19</v>
      </c>
      <c r="B22" s="12" t="s">
        <v>1888</v>
      </c>
      <c r="C22" s="12" t="s">
        <v>1901</v>
      </c>
      <c r="D22" s="12" t="s">
        <v>1902</v>
      </c>
      <c r="E22" s="12" t="s">
        <v>1901</v>
      </c>
      <c r="F22" s="12" t="s">
        <v>1899</v>
      </c>
      <c r="G22" s="12" t="s">
        <v>1900</v>
      </c>
      <c r="H22" s="12">
        <v>5</v>
      </c>
      <c r="I22" s="13">
        <v>2</v>
      </c>
      <c r="J22" s="12"/>
    </row>
    <row r="23" spans="1:10">
      <c r="A23" s="12">
        <f>IF(B23="","",COUNTA($B$4:B23))</f>
        <v>20</v>
      </c>
      <c r="B23" s="12" t="s">
        <v>1888</v>
      </c>
      <c r="C23" s="12" t="s">
        <v>1903</v>
      </c>
      <c r="D23" s="12" t="s">
        <v>1904</v>
      </c>
      <c r="E23" s="12" t="s">
        <v>1903</v>
      </c>
      <c r="F23" s="12" t="s">
        <v>1899</v>
      </c>
      <c r="G23" s="12" t="s">
        <v>1900</v>
      </c>
      <c r="H23" s="12">
        <v>5</v>
      </c>
      <c r="I23" s="13"/>
      <c r="J23" s="12"/>
    </row>
    <row r="24" spans="1:10">
      <c r="A24" s="12">
        <f>IF(B24="","",COUNTA($B$4:B24))</f>
        <v>21</v>
      </c>
      <c r="B24" s="12" t="s">
        <v>1888</v>
      </c>
      <c r="C24" s="12" t="s">
        <v>1905</v>
      </c>
      <c r="D24" s="12" t="s">
        <v>1906</v>
      </c>
      <c r="E24" s="12" t="s">
        <v>1905</v>
      </c>
      <c r="F24" s="12" t="s">
        <v>1899</v>
      </c>
      <c r="G24" s="12" t="s">
        <v>1900</v>
      </c>
      <c r="H24" s="12">
        <v>5</v>
      </c>
      <c r="I24" s="13"/>
      <c r="J24" s="12"/>
    </row>
    <row r="25" spans="1:10">
      <c r="A25" s="12">
        <f>IF(B25="","",COUNTA($B$4:B25))</f>
        <v>22</v>
      </c>
      <c r="B25" s="12" t="s">
        <v>1888</v>
      </c>
      <c r="C25" s="12" t="s">
        <v>1907</v>
      </c>
      <c r="D25" s="12" t="s">
        <v>1908</v>
      </c>
      <c r="E25" s="12" t="s">
        <v>1907</v>
      </c>
      <c r="F25" s="12" t="s">
        <v>1899</v>
      </c>
      <c r="G25" s="12" t="s">
        <v>1900</v>
      </c>
      <c r="H25" s="12">
        <v>7</v>
      </c>
      <c r="I25" s="13">
        <v>2</v>
      </c>
      <c r="J25" s="12"/>
    </row>
    <row r="26" spans="1:10">
      <c r="A26" s="12">
        <f>IF(B26="","",COUNTA($B$4:B26))</f>
        <v>23</v>
      </c>
      <c r="B26" s="12" t="s">
        <v>1888</v>
      </c>
      <c r="C26" s="12" t="s">
        <v>1909</v>
      </c>
      <c r="D26" s="12" t="s">
        <v>1910</v>
      </c>
      <c r="E26" s="12" t="s">
        <v>1911</v>
      </c>
      <c r="F26" s="12" t="s">
        <v>1899</v>
      </c>
      <c r="G26" s="12" t="s">
        <v>1900</v>
      </c>
      <c r="H26" s="12">
        <v>5</v>
      </c>
      <c r="I26" s="13" t="s">
        <v>1585</v>
      </c>
      <c r="J26" s="12"/>
    </row>
    <row r="27" spans="1:10">
      <c r="A27" s="12">
        <f>IF(B27="","",COUNTA($B$4:B27))</f>
        <v>24</v>
      </c>
      <c r="B27" s="12" t="s">
        <v>1888</v>
      </c>
      <c r="C27" s="12" t="s">
        <v>1912</v>
      </c>
      <c r="D27" s="12" t="s">
        <v>1913</v>
      </c>
      <c r="E27" s="12" t="s">
        <v>1912</v>
      </c>
      <c r="F27" s="12" t="s">
        <v>1861</v>
      </c>
      <c r="G27" s="12" t="s">
        <v>1862</v>
      </c>
      <c r="H27" s="12">
        <v>4</v>
      </c>
      <c r="I27" s="13"/>
      <c r="J27" s="12"/>
    </row>
    <row r="28" spans="1:10">
      <c r="A28" s="12">
        <f>IF(B28="","",COUNTA($B$4:B28))</f>
        <v>25</v>
      </c>
      <c r="B28" s="12" t="s">
        <v>1888</v>
      </c>
      <c r="C28" s="12" t="s">
        <v>1914</v>
      </c>
      <c r="D28" s="12" t="s">
        <v>1915</v>
      </c>
      <c r="E28" s="12" t="s">
        <v>1914</v>
      </c>
      <c r="F28" s="12" t="s">
        <v>1899</v>
      </c>
      <c r="G28" s="12" t="s">
        <v>1900</v>
      </c>
      <c r="H28" s="12">
        <v>7</v>
      </c>
      <c r="I28" s="13">
        <v>2</v>
      </c>
      <c r="J28" s="12"/>
    </row>
    <row r="29" spans="1:10">
      <c r="A29" s="12">
        <f>IF(B29="","",COUNTA($B$4:B29))</f>
        <v>26</v>
      </c>
      <c r="B29" s="12" t="s">
        <v>1888</v>
      </c>
      <c r="C29" s="12" t="s">
        <v>1916</v>
      </c>
      <c r="D29" s="12" t="s">
        <v>1917</v>
      </c>
      <c r="E29" s="12" t="s">
        <v>1916</v>
      </c>
      <c r="F29" s="12" t="s">
        <v>1899</v>
      </c>
      <c r="G29" s="12" t="s">
        <v>1900</v>
      </c>
      <c r="H29" s="12">
        <v>5</v>
      </c>
      <c r="I29" s="13"/>
      <c r="J29" s="12" t="s">
        <v>1918</v>
      </c>
    </row>
    <row r="30" spans="1:10">
      <c r="A30" s="12">
        <f>IF(B30="","",COUNTA($B$4:B30))</f>
        <v>27</v>
      </c>
      <c r="B30" s="12" t="s">
        <v>1888</v>
      </c>
      <c r="C30" s="12" t="s">
        <v>1919</v>
      </c>
      <c r="D30" s="12" t="s">
        <v>1920</v>
      </c>
      <c r="E30" s="12" t="s">
        <v>1919</v>
      </c>
      <c r="F30" s="12" t="s">
        <v>1861</v>
      </c>
      <c r="G30" s="12" t="s">
        <v>1862</v>
      </c>
      <c r="H30" s="12">
        <v>50</v>
      </c>
      <c r="I30" s="13"/>
      <c r="J30" s="12"/>
    </row>
    <row r="31" spans="1:10">
      <c r="A31" s="12">
        <f>IF(B31="","",COUNTA($B$4:B31))</f>
        <v>28</v>
      </c>
      <c r="B31" s="12" t="s">
        <v>1888</v>
      </c>
      <c r="C31" s="12" t="s">
        <v>1921</v>
      </c>
      <c r="D31" s="12" t="s">
        <v>1922</v>
      </c>
      <c r="E31" s="12" t="s">
        <v>1921</v>
      </c>
      <c r="F31" s="12" t="s">
        <v>1861</v>
      </c>
      <c r="G31" s="12" t="s">
        <v>1862</v>
      </c>
      <c r="H31" s="12">
        <v>10</v>
      </c>
      <c r="I31" s="13"/>
      <c r="J31" s="12"/>
    </row>
    <row r="32" spans="1:10">
      <c r="A32" s="12">
        <f>IF(B32="","",COUNTA($B$4:B32))</f>
        <v>29</v>
      </c>
      <c r="B32" s="12" t="s">
        <v>1888</v>
      </c>
      <c r="C32" s="12" t="s">
        <v>1863</v>
      </c>
      <c r="D32" s="12" t="s">
        <v>1864</v>
      </c>
      <c r="E32" s="12" t="s">
        <v>1863</v>
      </c>
      <c r="F32" s="12" t="s">
        <v>1861</v>
      </c>
      <c r="G32" s="12" t="s">
        <v>1862</v>
      </c>
      <c r="H32" s="12">
        <v>3</v>
      </c>
      <c r="I32" s="13"/>
      <c r="J32" s="12"/>
    </row>
    <row r="33" spans="1:10">
      <c r="A33" s="12">
        <f>IF(B33="","",COUNTA($B$4:B33))</f>
        <v>30</v>
      </c>
      <c r="B33" s="12" t="s">
        <v>1888</v>
      </c>
      <c r="C33" s="12" t="s">
        <v>1923</v>
      </c>
      <c r="D33" s="12" t="s">
        <v>1924</v>
      </c>
      <c r="E33" s="12" t="s">
        <v>1923</v>
      </c>
      <c r="F33" s="12" t="s">
        <v>1861</v>
      </c>
      <c r="G33" s="12" t="s">
        <v>1862</v>
      </c>
      <c r="H33" s="12">
        <v>10</v>
      </c>
      <c r="I33" s="13"/>
      <c r="J33" s="12"/>
    </row>
    <row r="34" spans="1:10">
      <c r="A34" s="12">
        <f>IF(B34="","",COUNTA($B$4:B34))</f>
        <v>31</v>
      </c>
      <c r="B34" s="12" t="s">
        <v>1888</v>
      </c>
      <c r="C34" s="12" t="s">
        <v>1925</v>
      </c>
      <c r="D34" s="12" t="s">
        <v>1926</v>
      </c>
      <c r="E34" s="12" t="s">
        <v>1925</v>
      </c>
      <c r="F34" s="12" t="s">
        <v>1861</v>
      </c>
      <c r="G34" s="12" t="s">
        <v>1862</v>
      </c>
      <c r="H34" s="12">
        <v>1</v>
      </c>
      <c r="I34" s="13"/>
      <c r="J34" s="12"/>
    </row>
    <row r="35" spans="1:10">
      <c r="A35" s="12">
        <f>IF(B35="","",COUNTA($B$4:B35))</f>
        <v>32</v>
      </c>
      <c r="B35" s="12" t="s">
        <v>1888</v>
      </c>
      <c r="C35" s="12" t="s">
        <v>1927</v>
      </c>
      <c r="D35" s="12" t="s">
        <v>1928</v>
      </c>
      <c r="E35" s="12" t="s">
        <v>1927</v>
      </c>
      <c r="F35" s="12" t="s">
        <v>1861</v>
      </c>
      <c r="G35" s="12" t="s">
        <v>1862</v>
      </c>
      <c r="H35" s="12">
        <v>1</v>
      </c>
      <c r="I35" s="13"/>
      <c r="J35" s="12"/>
    </row>
    <row r="36" spans="1:10">
      <c r="A36" s="12">
        <f>IF(B36="","",COUNTA($B$4:B36))</f>
        <v>33</v>
      </c>
      <c r="B36" s="12" t="s">
        <v>1888</v>
      </c>
      <c r="C36" s="12" t="s">
        <v>1929</v>
      </c>
      <c r="D36" s="12" t="s">
        <v>1930</v>
      </c>
      <c r="E36" s="12" t="s">
        <v>1929</v>
      </c>
      <c r="F36" s="12" t="s">
        <v>1861</v>
      </c>
      <c r="G36" s="12" t="s">
        <v>1862</v>
      </c>
      <c r="H36" s="12">
        <v>1</v>
      </c>
      <c r="I36" s="13"/>
      <c r="J36" s="12"/>
    </row>
    <row r="37" spans="1:10">
      <c r="A37" s="12">
        <f>IF(B37="","",COUNTA($B$4:B37))</f>
        <v>34</v>
      </c>
      <c r="B37" s="12" t="s">
        <v>1888</v>
      </c>
      <c r="C37" s="12" t="s">
        <v>1873</v>
      </c>
      <c r="D37" s="12" t="s">
        <v>1874</v>
      </c>
      <c r="E37" s="12" t="s">
        <v>1873</v>
      </c>
      <c r="F37" s="12" t="s">
        <v>1861</v>
      </c>
      <c r="G37" s="12" t="s">
        <v>1862</v>
      </c>
      <c r="H37" s="12">
        <v>10</v>
      </c>
      <c r="I37" s="13"/>
      <c r="J37" s="12"/>
    </row>
    <row r="38" spans="1:10">
      <c r="A38" s="12">
        <f>IF(B38="","",COUNTA($B$4:B38))</f>
        <v>35</v>
      </c>
      <c r="B38" s="12" t="s">
        <v>1888</v>
      </c>
      <c r="C38" s="12" t="s">
        <v>1876</v>
      </c>
      <c r="D38" s="12" t="s">
        <v>1874</v>
      </c>
      <c r="E38" s="12" t="s">
        <v>1876</v>
      </c>
      <c r="F38" s="12" t="s">
        <v>1861</v>
      </c>
      <c r="G38" s="12" t="s">
        <v>1862</v>
      </c>
      <c r="H38" s="12">
        <v>10</v>
      </c>
      <c r="I38" s="13"/>
      <c r="J38" s="12"/>
    </row>
    <row r="39" spans="1:10">
      <c r="A39" s="12">
        <f>IF(B39="","",COUNTA($B$4:B39))</f>
        <v>36</v>
      </c>
      <c r="B39" s="12" t="s">
        <v>1888</v>
      </c>
      <c r="C39" s="12" t="s">
        <v>1877</v>
      </c>
      <c r="D39" s="12" t="s">
        <v>1878</v>
      </c>
      <c r="E39" s="12" t="s">
        <v>1877</v>
      </c>
      <c r="F39" s="12" t="s">
        <v>1879</v>
      </c>
      <c r="G39" s="12" t="s">
        <v>1880</v>
      </c>
      <c r="H39" s="12"/>
      <c r="I39" s="13"/>
      <c r="J39" s="12"/>
    </row>
    <row r="40" spans="1:10">
      <c r="A40" s="12">
        <f>IF(B40="","",COUNTA($B$4:B40))</f>
        <v>37</v>
      </c>
      <c r="B40" s="12" t="s">
        <v>1888</v>
      </c>
      <c r="C40" s="12" t="s">
        <v>1881</v>
      </c>
      <c r="D40" s="12" t="s">
        <v>1931</v>
      </c>
      <c r="E40" s="12" t="s">
        <v>1881</v>
      </c>
      <c r="F40" s="12" t="s">
        <v>1861</v>
      </c>
      <c r="G40" s="12" t="s">
        <v>1862</v>
      </c>
      <c r="H40" s="12">
        <v>10</v>
      </c>
      <c r="I40" s="13"/>
      <c r="J40" s="12"/>
    </row>
    <row r="41" spans="1:10">
      <c r="A41" s="12">
        <f>IF(B41="","",COUNTA($B$4:B41))</f>
        <v>38</v>
      </c>
      <c r="B41" s="12" t="s">
        <v>1888</v>
      </c>
      <c r="C41" s="12" t="s">
        <v>1884</v>
      </c>
      <c r="D41" s="12" t="s">
        <v>1885</v>
      </c>
      <c r="E41" s="12" t="s">
        <v>1884</v>
      </c>
      <c r="F41" s="12" t="s">
        <v>1861</v>
      </c>
      <c r="G41" s="12" t="s">
        <v>1862</v>
      </c>
      <c r="H41" s="12">
        <v>10</v>
      </c>
      <c r="I41" s="13" t="s">
        <v>1585</v>
      </c>
      <c r="J41" s="12"/>
    </row>
    <row r="42" spans="1:10">
      <c r="A42" s="12">
        <f>IF(B42="","",COUNTA($B$4:B42))</f>
        <v>39</v>
      </c>
      <c r="B42" s="12" t="s">
        <v>1888</v>
      </c>
      <c r="C42" s="12" t="s">
        <v>1886</v>
      </c>
      <c r="D42" s="12" t="s">
        <v>1887</v>
      </c>
      <c r="E42" s="12" t="s">
        <v>1886</v>
      </c>
      <c r="F42" s="12" t="s">
        <v>1879</v>
      </c>
      <c r="G42" s="12" t="s">
        <v>1880</v>
      </c>
      <c r="H42" s="12"/>
      <c r="I42" s="13" t="s">
        <v>1585</v>
      </c>
      <c r="J42" s="12"/>
    </row>
    <row r="43" spans="1:10">
      <c r="A43" s="12">
        <f>IF(B43="","",COUNTA($B$4:B43))</f>
        <v>40</v>
      </c>
      <c r="B43" s="12" t="s">
        <v>1932</v>
      </c>
      <c r="C43" s="12" t="s">
        <v>1859</v>
      </c>
      <c r="D43" s="12" t="s">
        <v>1860</v>
      </c>
      <c r="E43" s="12" t="s">
        <v>1859</v>
      </c>
      <c r="F43" s="12" t="s">
        <v>1861</v>
      </c>
      <c r="G43" s="12" t="s">
        <v>1862</v>
      </c>
      <c r="H43" s="12">
        <v>6</v>
      </c>
      <c r="I43" s="13" t="s">
        <v>1585</v>
      </c>
      <c r="J43" s="12"/>
    </row>
    <row r="44" spans="1:10">
      <c r="A44" s="12">
        <f>IF(B44="","",COUNTA($B$4:B44))</f>
        <v>41</v>
      </c>
      <c r="B44" s="12" t="s">
        <v>1932</v>
      </c>
      <c r="C44" s="12" t="s">
        <v>1889</v>
      </c>
      <c r="D44" s="12" t="s">
        <v>1890</v>
      </c>
      <c r="E44" s="12" t="s">
        <v>1889</v>
      </c>
      <c r="F44" s="12" t="s">
        <v>1861</v>
      </c>
      <c r="G44" s="12" t="s">
        <v>1862</v>
      </c>
      <c r="H44" s="12">
        <v>15</v>
      </c>
      <c r="I44" s="13" t="s">
        <v>1585</v>
      </c>
      <c r="J44" s="12"/>
    </row>
    <row r="45" spans="1:10">
      <c r="A45" s="12">
        <f>IF(B45="","",COUNTA($B$4:B45))</f>
        <v>42</v>
      </c>
      <c r="B45" s="12" t="s">
        <v>1932</v>
      </c>
      <c r="C45" s="12" t="s">
        <v>1891</v>
      </c>
      <c r="D45" s="12" t="s">
        <v>1892</v>
      </c>
      <c r="E45" s="12" t="s">
        <v>1891</v>
      </c>
      <c r="F45" s="12" t="s">
        <v>1861</v>
      </c>
      <c r="G45" s="12" t="s">
        <v>1862</v>
      </c>
      <c r="H45" s="12">
        <v>2</v>
      </c>
      <c r="I45" s="13"/>
      <c r="J45" s="12"/>
    </row>
    <row r="46" spans="1:10">
      <c r="A46" s="12">
        <f>IF(B46="","",COUNTA($B$4:B46))</f>
        <v>43</v>
      </c>
      <c r="B46" s="12" t="s">
        <v>1932</v>
      </c>
      <c r="C46" s="12" t="s">
        <v>1933</v>
      </c>
      <c r="D46" s="12" t="s">
        <v>1934</v>
      </c>
      <c r="E46" s="12" t="s">
        <v>1933</v>
      </c>
      <c r="F46" s="12" t="s">
        <v>1861</v>
      </c>
      <c r="G46" s="12" t="s">
        <v>1862</v>
      </c>
      <c r="H46" s="12">
        <v>5</v>
      </c>
      <c r="I46" s="13"/>
      <c r="J46" s="12"/>
    </row>
    <row r="47" spans="1:10">
      <c r="A47" s="12">
        <f>IF(B47="","",COUNTA($B$4:B47))</f>
        <v>44</v>
      </c>
      <c r="B47" s="12" t="s">
        <v>1932</v>
      </c>
      <c r="C47" s="12" t="s">
        <v>1893</v>
      </c>
      <c r="D47" s="12" t="s">
        <v>1894</v>
      </c>
      <c r="E47" s="12" t="s">
        <v>1893</v>
      </c>
      <c r="F47" s="12" t="s">
        <v>1861</v>
      </c>
      <c r="G47" s="12" t="s">
        <v>1862</v>
      </c>
      <c r="H47" s="12">
        <v>20</v>
      </c>
      <c r="I47" s="13"/>
      <c r="J47" s="12"/>
    </row>
    <row r="48" spans="1:10">
      <c r="A48" s="12">
        <f>IF(B48="","",COUNTA($B$4:B48))</f>
        <v>45</v>
      </c>
      <c r="B48" s="12" t="s">
        <v>1932</v>
      </c>
      <c r="C48" s="12" t="s">
        <v>1895</v>
      </c>
      <c r="D48" s="12" t="s">
        <v>1896</v>
      </c>
      <c r="E48" s="12" t="s">
        <v>1895</v>
      </c>
      <c r="F48" s="12" t="s">
        <v>1861</v>
      </c>
      <c r="G48" s="12" t="s">
        <v>1862</v>
      </c>
      <c r="H48" s="12">
        <v>30</v>
      </c>
      <c r="I48" s="13"/>
      <c r="J48" s="12"/>
    </row>
    <row r="49" spans="1:10">
      <c r="A49" s="12">
        <f>IF(B49="","",COUNTA($B$4:B49))</f>
        <v>46</v>
      </c>
      <c r="B49" s="12" t="s">
        <v>1932</v>
      </c>
      <c r="C49" s="12" t="s">
        <v>1935</v>
      </c>
      <c r="D49" s="12" t="s">
        <v>1936</v>
      </c>
      <c r="E49" s="12" t="s">
        <v>1935</v>
      </c>
      <c r="F49" s="12" t="s">
        <v>1861</v>
      </c>
      <c r="G49" s="12" t="s">
        <v>1862</v>
      </c>
      <c r="H49" s="12">
        <v>2</v>
      </c>
      <c r="I49" s="13"/>
      <c r="J49" s="12"/>
    </row>
    <row r="50" spans="1:10">
      <c r="A50" s="12">
        <f>IF(B50="","",COUNTA($B$4:B50))</f>
        <v>47</v>
      </c>
      <c r="B50" s="12" t="s">
        <v>1932</v>
      </c>
      <c r="C50" s="12" t="s">
        <v>1937</v>
      </c>
      <c r="D50" s="12" t="s">
        <v>1938</v>
      </c>
      <c r="E50" s="12" t="s">
        <v>1937</v>
      </c>
      <c r="F50" s="12" t="s">
        <v>1861</v>
      </c>
      <c r="G50" s="12" t="s">
        <v>1862</v>
      </c>
      <c r="H50" s="12">
        <v>2</v>
      </c>
      <c r="I50" s="13"/>
      <c r="J50" s="12"/>
    </row>
    <row r="51" spans="1:10">
      <c r="A51" s="12">
        <f>IF(B51="","",COUNTA($B$4:B51))</f>
        <v>48</v>
      </c>
      <c r="B51" s="12" t="s">
        <v>1932</v>
      </c>
      <c r="C51" s="12" t="s">
        <v>1939</v>
      </c>
      <c r="D51" s="12" t="s">
        <v>1940</v>
      </c>
      <c r="E51" s="12" t="s">
        <v>1939</v>
      </c>
      <c r="F51" s="12" t="s">
        <v>1861</v>
      </c>
      <c r="G51" s="12" t="s">
        <v>1862</v>
      </c>
      <c r="H51" s="12">
        <v>2</v>
      </c>
      <c r="I51" s="13"/>
      <c r="J51" s="12"/>
    </row>
    <row r="52" spans="1:10">
      <c r="A52" s="12">
        <f>IF(B52="","",COUNTA($B$4:B52))</f>
        <v>49</v>
      </c>
      <c r="B52" s="12" t="s">
        <v>1932</v>
      </c>
      <c r="C52" s="12" t="s">
        <v>1901</v>
      </c>
      <c r="D52" s="12" t="s">
        <v>1902</v>
      </c>
      <c r="E52" s="12" t="s">
        <v>1901</v>
      </c>
      <c r="F52" s="12" t="s">
        <v>1899</v>
      </c>
      <c r="G52" s="12" t="s">
        <v>1900</v>
      </c>
      <c r="H52" s="12">
        <v>5</v>
      </c>
      <c r="I52" s="13">
        <v>2</v>
      </c>
      <c r="J52" s="12"/>
    </row>
    <row r="53" spans="1:10">
      <c r="A53" s="12">
        <f>IF(B53="","",COUNTA($B$4:B53))</f>
        <v>50</v>
      </c>
      <c r="B53" s="12" t="s">
        <v>1932</v>
      </c>
      <c r="C53" s="12" t="s">
        <v>1903</v>
      </c>
      <c r="D53" s="12" t="s">
        <v>1904</v>
      </c>
      <c r="E53" s="12" t="s">
        <v>1903</v>
      </c>
      <c r="F53" s="12" t="s">
        <v>1899</v>
      </c>
      <c r="G53" s="12" t="s">
        <v>1900</v>
      </c>
      <c r="H53" s="12">
        <v>5</v>
      </c>
      <c r="I53" s="13"/>
      <c r="J53" s="12"/>
    </row>
    <row r="54" spans="1:10">
      <c r="A54" s="12">
        <f>IF(B54="","",COUNTA($B$4:B54))</f>
        <v>51</v>
      </c>
      <c r="B54" s="12" t="s">
        <v>1932</v>
      </c>
      <c r="C54" s="12" t="s">
        <v>1905</v>
      </c>
      <c r="D54" s="12" t="s">
        <v>1906</v>
      </c>
      <c r="E54" s="12" t="s">
        <v>1905</v>
      </c>
      <c r="F54" s="12" t="s">
        <v>1899</v>
      </c>
      <c r="G54" s="12" t="s">
        <v>1900</v>
      </c>
      <c r="H54" s="12">
        <v>5</v>
      </c>
      <c r="I54" s="13"/>
      <c r="J54" s="12"/>
    </row>
    <row r="55" spans="1:10">
      <c r="A55" s="12">
        <f>IF(B55="","",COUNTA($B$4:B55))</f>
        <v>52</v>
      </c>
      <c r="B55" s="12" t="s">
        <v>1932</v>
      </c>
      <c r="C55" s="12" t="s">
        <v>1907</v>
      </c>
      <c r="D55" s="12" t="s">
        <v>1908</v>
      </c>
      <c r="E55" s="12" t="s">
        <v>1907</v>
      </c>
      <c r="F55" s="12" t="s">
        <v>1899</v>
      </c>
      <c r="G55" s="12" t="s">
        <v>1900</v>
      </c>
      <c r="H55" s="12">
        <v>7</v>
      </c>
      <c r="I55" s="13">
        <v>2</v>
      </c>
      <c r="J55" s="12"/>
    </row>
    <row r="56" spans="1:10">
      <c r="A56" s="12">
        <f>IF(B56="","",COUNTA($B$4:B56))</f>
        <v>53</v>
      </c>
      <c r="B56" s="12" t="s">
        <v>1932</v>
      </c>
      <c r="C56" s="12" t="s">
        <v>1909</v>
      </c>
      <c r="D56" s="12" t="s">
        <v>1910</v>
      </c>
      <c r="E56" s="12" t="s">
        <v>1911</v>
      </c>
      <c r="F56" s="12" t="s">
        <v>1899</v>
      </c>
      <c r="G56" s="12" t="s">
        <v>1900</v>
      </c>
      <c r="H56" s="12">
        <v>5</v>
      </c>
      <c r="I56" s="13" t="s">
        <v>1585</v>
      </c>
      <c r="J56" s="12"/>
    </row>
    <row r="57" spans="1:10">
      <c r="A57" s="12">
        <f>IF(B57="","",COUNTA($B$4:B57))</f>
        <v>54</v>
      </c>
      <c r="B57" s="12" t="s">
        <v>1932</v>
      </c>
      <c r="C57" s="12" t="s">
        <v>1912</v>
      </c>
      <c r="D57" s="12" t="s">
        <v>1913</v>
      </c>
      <c r="E57" s="12" t="s">
        <v>1912</v>
      </c>
      <c r="F57" s="12" t="s">
        <v>1861</v>
      </c>
      <c r="G57" s="12" t="s">
        <v>1862</v>
      </c>
      <c r="H57" s="12">
        <v>4</v>
      </c>
      <c r="I57" s="13"/>
      <c r="J57" s="12"/>
    </row>
    <row r="58" spans="1:10">
      <c r="A58" s="12">
        <f>IF(B58="","",COUNTA($B$4:B58))</f>
        <v>55</v>
      </c>
      <c r="B58" s="12" t="s">
        <v>1932</v>
      </c>
      <c r="C58" s="12" t="s">
        <v>1914</v>
      </c>
      <c r="D58" s="12" t="s">
        <v>1915</v>
      </c>
      <c r="E58" s="12" t="s">
        <v>1914</v>
      </c>
      <c r="F58" s="12" t="s">
        <v>1899</v>
      </c>
      <c r="G58" s="12" t="s">
        <v>1900</v>
      </c>
      <c r="H58" s="12">
        <v>7</v>
      </c>
      <c r="I58" s="13">
        <v>2</v>
      </c>
      <c r="J58" s="12" t="s">
        <v>1447</v>
      </c>
    </row>
    <row r="59" spans="1:10">
      <c r="A59" s="12">
        <f>IF(B59="","",COUNTA($B$4:B59))</f>
        <v>56</v>
      </c>
      <c r="B59" s="12" t="s">
        <v>1932</v>
      </c>
      <c r="C59" s="12" t="s">
        <v>1919</v>
      </c>
      <c r="D59" s="12" t="s">
        <v>1920</v>
      </c>
      <c r="E59" s="12" t="s">
        <v>1919</v>
      </c>
      <c r="F59" s="12" t="s">
        <v>1861</v>
      </c>
      <c r="G59" s="12" t="s">
        <v>1862</v>
      </c>
      <c r="H59" s="12">
        <v>50</v>
      </c>
      <c r="I59" s="13"/>
      <c r="J59" s="12"/>
    </row>
    <row r="60" spans="1:10">
      <c r="A60" s="12">
        <f>IF(B60="","",COUNTA($B$4:B60))</f>
        <v>57</v>
      </c>
      <c r="B60" s="12" t="s">
        <v>1932</v>
      </c>
      <c r="C60" s="12" t="s">
        <v>1941</v>
      </c>
      <c r="D60" s="12" t="s">
        <v>1942</v>
      </c>
      <c r="E60" s="12" t="s">
        <v>1941</v>
      </c>
      <c r="F60" s="12" t="s">
        <v>1861</v>
      </c>
      <c r="G60" s="12" t="s">
        <v>1862</v>
      </c>
      <c r="H60" s="12">
        <v>50</v>
      </c>
      <c r="I60" s="13"/>
      <c r="J60" s="12" t="s">
        <v>1447</v>
      </c>
    </row>
    <row r="61" spans="1:10">
      <c r="A61" s="12">
        <f>IF(B61="","",COUNTA($B$4:B61))</f>
        <v>58</v>
      </c>
      <c r="B61" s="12" t="s">
        <v>1932</v>
      </c>
      <c r="C61" s="12" t="s">
        <v>1921</v>
      </c>
      <c r="D61" s="12" t="s">
        <v>1922</v>
      </c>
      <c r="E61" s="12" t="s">
        <v>1921</v>
      </c>
      <c r="F61" s="12" t="s">
        <v>1861</v>
      </c>
      <c r="G61" s="12" t="s">
        <v>1862</v>
      </c>
      <c r="H61" s="12">
        <v>10</v>
      </c>
      <c r="I61" s="13"/>
      <c r="J61" s="12"/>
    </row>
    <row r="62" spans="1:10">
      <c r="A62" s="12">
        <f>IF(B62="","",COUNTA($B$4:B62))</f>
        <v>59</v>
      </c>
      <c r="B62" s="12" t="s">
        <v>1932</v>
      </c>
      <c r="C62" s="12" t="s">
        <v>1863</v>
      </c>
      <c r="D62" s="12" t="s">
        <v>1864</v>
      </c>
      <c r="E62" s="12" t="s">
        <v>1863</v>
      </c>
      <c r="F62" s="12" t="s">
        <v>1861</v>
      </c>
      <c r="G62" s="12" t="s">
        <v>1862</v>
      </c>
      <c r="H62" s="12">
        <v>3</v>
      </c>
      <c r="I62" s="13"/>
      <c r="J62" s="12"/>
    </row>
    <row r="63" spans="1:10">
      <c r="A63" s="12">
        <f>IF(B63="","",COUNTA($B$4:B63))</f>
        <v>60</v>
      </c>
      <c r="B63" s="12" t="s">
        <v>1932</v>
      </c>
      <c r="C63" s="12" t="s">
        <v>1923</v>
      </c>
      <c r="D63" s="12" t="s">
        <v>1924</v>
      </c>
      <c r="E63" s="12" t="s">
        <v>1923</v>
      </c>
      <c r="F63" s="12" t="s">
        <v>1861</v>
      </c>
      <c r="G63" s="12" t="s">
        <v>1862</v>
      </c>
      <c r="H63" s="12">
        <v>10</v>
      </c>
      <c r="I63" s="13"/>
      <c r="J63" s="12"/>
    </row>
    <row r="64" spans="1:10">
      <c r="A64" s="12">
        <f>IF(B64="","",COUNTA($B$4:B64))</f>
        <v>61</v>
      </c>
      <c r="B64" s="12" t="s">
        <v>1932</v>
      </c>
      <c r="C64" s="12" t="s">
        <v>1943</v>
      </c>
      <c r="D64" s="12" t="s">
        <v>1944</v>
      </c>
      <c r="E64" s="12" t="s">
        <v>1943</v>
      </c>
      <c r="F64" s="12" t="s">
        <v>1861</v>
      </c>
      <c r="G64" s="12" t="s">
        <v>1862</v>
      </c>
      <c r="H64" s="12">
        <v>1</v>
      </c>
      <c r="I64" s="13"/>
      <c r="J64" s="12"/>
    </row>
    <row r="65" spans="1:10">
      <c r="A65" s="12">
        <f>IF(B65="","",COUNTA($B$4:B65))</f>
        <v>62</v>
      </c>
      <c r="B65" s="12" t="s">
        <v>1932</v>
      </c>
      <c r="C65" s="12" t="s">
        <v>1945</v>
      </c>
      <c r="D65" s="12" t="s">
        <v>1946</v>
      </c>
      <c r="E65" s="12" t="s">
        <v>1945</v>
      </c>
      <c r="F65" s="12" t="s">
        <v>1861</v>
      </c>
      <c r="G65" s="12" t="s">
        <v>1862</v>
      </c>
      <c r="H65" s="12">
        <v>1</v>
      </c>
      <c r="I65" s="13"/>
      <c r="J65" s="12"/>
    </row>
    <row r="66" spans="1:10">
      <c r="A66" s="12">
        <f>IF(B66="","",COUNTA($B$4:B66))</f>
        <v>63</v>
      </c>
      <c r="B66" s="12" t="s">
        <v>1932</v>
      </c>
      <c r="C66" s="12" t="s">
        <v>1947</v>
      </c>
      <c r="D66" s="12" t="s">
        <v>1948</v>
      </c>
      <c r="E66" s="12" t="s">
        <v>1947</v>
      </c>
      <c r="F66" s="12" t="s">
        <v>1861</v>
      </c>
      <c r="G66" s="12" t="s">
        <v>1862</v>
      </c>
      <c r="H66" s="12">
        <v>1</v>
      </c>
      <c r="I66" s="13"/>
      <c r="J66" s="12"/>
    </row>
    <row r="67" spans="1:10">
      <c r="A67" s="12">
        <f>IF(B67="","",COUNTA($B$4:B67))</f>
        <v>64</v>
      </c>
      <c r="B67" s="12" t="s">
        <v>1932</v>
      </c>
      <c r="C67" s="12" t="s">
        <v>1949</v>
      </c>
      <c r="D67" s="12" t="s">
        <v>1950</v>
      </c>
      <c r="E67" s="12" t="s">
        <v>1949</v>
      </c>
      <c r="F67" s="12" t="s">
        <v>1861</v>
      </c>
      <c r="G67" s="12" t="s">
        <v>1862</v>
      </c>
      <c r="H67" s="12">
        <v>1</v>
      </c>
      <c r="I67" s="13"/>
      <c r="J67" s="12"/>
    </row>
    <row r="68" spans="1:10">
      <c r="A68" s="12">
        <f>IF(B68="","",COUNTA($B$4:B68))</f>
        <v>65</v>
      </c>
      <c r="B68" s="12" t="s">
        <v>1932</v>
      </c>
      <c r="C68" s="12" t="s">
        <v>1951</v>
      </c>
      <c r="D68" s="12" t="s">
        <v>1952</v>
      </c>
      <c r="E68" s="12" t="s">
        <v>1951</v>
      </c>
      <c r="F68" s="12" t="s">
        <v>1861</v>
      </c>
      <c r="G68" s="12" t="s">
        <v>1880</v>
      </c>
      <c r="H68" s="12"/>
      <c r="I68" s="13"/>
      <c r="J68" s="12"/>
    </row>
    <row r="69" spans="1:10">
      <c r="A69" s="12">
        <f>IF(B69="","",COUNTA($B$4:B69))</f>
        <v>66</v>
      </c>
      <c r="B69" s="12" t="s">
        <v>1932</v>
      </c>
      <c r="C69" s="12" t="s">
        <v>1925</v>
      </c>
      <c r="D69" s="12" t="s">
        <v>1926</v>
      </c>
      <c r="E69" s="12" t="s">
        <v>1925</v>
      </c>
      <c r="F69" s="12" t="s">
        <v>1861</v>
      </c>
      <c r="G69" s="12" t="s">
        <v>1862</v>
      </c>
      <c r="H69" s="12">
        <v>1</v>
      </c>
      <c r="I69" s="13"/>
      <c r="J69" s="12"/>
    </row>
    <row r="70" spans="1:10">
      <c r="A70" s="12">
        <f>IF(B70="","",COUNTA($B$4:B70))</f>
        <v>67</v>
      </c>
      <c r="B70" s="12" t="s">
        <v>1932</v>
      </c>
      <c r="C70" s="12" t="s">
        <v>1927</v>
      </c>
      <c r="D70" s="12" t="s">
        <v>1928</v>
      </c>
      <c r="E70" s="12" t="s">
        <v>1927</v>
      </c>
      <c r="F70" s="12" t="s">
        <v>1861</v>
      </c>
      <c r="G70" s="12" t="s">
        <v>1862</v>
      </c>
      <c r="H70" s="12">
        <v>1</v>
      </c>
      <c r="I70" s="13"/>
      <c r="J70" s="12"/>
    </row>
    <row r="71" spans="1:10">
      <c r="A71" s="12">
        <f>IF(B71="","",COUNTA($B$4:B71))</f>
        <v>68</v>
      </c>
      <c r="B71" s="12" t="s">
        <v>1932</v>
      </c>
      <c r="C71" s="12" t="s">
        <v>1929</v>
      </c>
      <c r="D71" s="12" t="s">
        <v>1930</v>
      </c>
      <c r="E71" s="12" t="s">
        <v>1929</v>
      </c>
      <c r="F71" s="12" t="s">
        <v>1861</v>
      </c>
      <c r="G71" s="12" t="s">
        <v>1862</v>
      </c>
      <c r="H71" s="12">
        <v>1</v>
      </c>
      <c r="I71" s="13"/>
      <c r="J71" s="12"/>
    </row>
    <row r="72" spans="1:10">
      <c r="A72" s="12">
        <f>IF(B72="","",COUNTA($B$4:B72))</f>
        <v>69</v>
      </c>
      <c r="B72" s="12" t="s">
        <v>1932</v>
      </c>
      <c r="C72" s="12" t="s">
        <v>1953</v>
      </c>
      <c r="D72" s="12" t="s">
        <v>1954</v>
      </c>
      <c r="E72" s="12" t="s">
        <v>1953</v>
      </c>
      <c r="F72" s="12" t="s">
        <v>1861</v>
      </c>
      <c r="G72" s="12" t="s">
        <v>1862</v>
      </c>
      <c r="H72" s="12">
        <v>50</v>
      </c>
      <c r="I72" s="13"/>
      <c r="J72" s="12"/>
    </row>
    <row r="73" spans="1:10">
      <c r="A73" s="12">
        <f>IF(B73="","",COUNTA($B$4:B73))</f>
        <v>70</v>
      </c>
      <c r="B73" s="12" t="s">
        <v>1932</v>
      </c>
      <c r="C73" s="12" t="s">
        <v>1955</v>
      </c>
      <c r="D73" s="12" t="s">
        <v>1956</v>
      </c>
      <c r="E73" s="12" t="s">
        <v>1955</v>
      </c>
      <c r="F73" s="12" t="s">
        <v>1861</v>
      </c>
      <c r="G73" s="12" t="s">
        <v>1862</v>
      </c>
      <c r="H73" s="12">
        <v>1</v>
      </c>
      <c r="I73" s="13"/>
      <c r="J73" s="12"/>
    </row>
    <row r="74" spans="1:10">
      <c r="A74" s="12">
        <f>IF(B74="","",COUNTA($B$4:B74))</f>
        <v>71</v>
      </c>
      <c r="B74" s="12" t="s">
        <v>1932</v>
      </c>
      <c r="C74" s="12" t="s">
        <v>1873</v>
      </c>
      <c r="D74" s="12" t="s">
        <v>1874</v>
      </c>
      <c r="E74" s="12" t="s">
        <v>1875</v>
      </c>
      <c r="F74" s="12" t="s">
        <v>1861</v>
      </c>
      <c r="G74" s="12" t="s">
        <v>1862</v>
      </c>
      <c r="H74" s="12">
        <v>10</v>
      </c>
      <c r="I74" s="13"/>
      <c r="J74" s="12"/>
    </row>
    <row r="75" spans="1:10">
      <c r="A75" s="12">
        <f>IF(B75="","",COUNTA($B$4:B75))</f>
        <v>72</v>
      </c>
      <c r="B75" s="12" t="s">
        <v>1932</v>
      </c>
      <c r="C75" s="12" t="s">
        <v>1876</v>
      </c>
      <c r="D75" s="12" t="s">
        <v>1874</v>
      </c>
      <c r="E75" s="12" t="s">
        <v>1876</v>
      </c>
      <c r="F75" s="12" t="s">
        <v>1861</v>
      </c>
      <c r="G75" s="12" t="s">
        <v>1862</v>
      </c>
      <c r="H75" s="12">
        <v>10</v>
      </c>
      <c r="I75" s="13"/>
      <c r="J75" s="12"/>
    </row>
    <row r="76" spans="1:10">
      <c r="A76" s="12">
        <f>IF(B76="","",COUNTA($B$4:B76))</f>
        <v>73</v>
      </c>
      <c r="B76" s="12" t="s">
        <v>1932</v>
      </c>
      <c r="C76" s="12" t="s">
        <v>1877</v>
      </c>
      <c r="D76" s="12" t="s">
        <v>1878</v>
      </c>
      <c r="E76" s="12" t="s">
        <v>1877</v>
      </c>
      <c r="F76" s="12" t="s">
        <v>1879</v>
      </c>
      <c r="G76" s="12" t="s">
        <v>1880</v>
      </c>
      <c r="H76" s="12"/>
      <c r="I76" s="13"/>
      <c r="J76" s="12"/>
    </row>
    <row r="77" spans="1:10">
      <c r="A77" s="12">
        <f>IF(B77="","",COUNTA($B$4:B77))</f>
        <v>74</v>
      </c>
      <c r="B77" s="12" t="s">
        <v>1932</v>
      </c>
      <c r="C77" s="12" t="s">
        <v>1881</v>
      </c>
      <c r="D77" s="12" t="s">
        <v>1931</v>
      </c>
      <c r="E77" s="12" t="s">
        <v>1883</v>
      </c>
      <c r="F77" s="12" t="s">
        <v>1861</v>
      </c>
      <c r="G77" s="12" t="s">
        <v>1862</v>
      </c>
      <c r="H77" s="12">
        <v>10</v>
      </c>
      <c r="I77" s="13"/>
      <c r="J77" s="12"/>
    </row>
    <row r="78" spans="1:10">
      <c r="A78" s="12">
        <f>IF(B78="","",COUNTA($B$4:B78))</f>
        <v>75</v>
      </c>
      <c r="B78" s="12" t="s">
        <v>1932</v>
      </c>
      <c r="C78" s="12" t="s">
        <v>1884</v>
      </c>
      <c r="D78" s="12" t="s">
        <v>1885</v>
      </c>
      <c r="E78" s="12" t="s">
        <v>1884</v>
      </c>
      <c r="F78" s="12" t="s">
        <v>1861</v>
      </c>
      <c r="G78" s="12" t="s">
        <v>1862</v>
      </c>
      <c r="H78" s="12">
        <v>10</v>
      </c>
      <c r="I78" s="13" t="s">
        <v>1585</v>
      </c>
      <c r="J78" s="12"/>
    </row>
    <row r="79" spans="1:10">
      <c r="A79" s="12">
        <f>IF(B79="","",COUNTA($B$4:B79))</f>
        <v>76</v>
      </c>
      <c r="B79" s="12" t="s">
        <v>1932</v>
      </c>
      <c r="C79" s="12" t="s">
        <v>1886</v>
      </c>
      <c r="D79" s="12" t="s">
        <v>1887</v>
      </c>
      <c r="E79" s="12" t="s">
        <v>1886</v>
      </c>
      <c r="F79" s="12" t="s">
        <v>1879</v>
      </c>
      <c r="G79" s="12" t="s">
        <v>1880</v>
      </c>
      <c r="H79" s="12"/>
      <c r="I79" s="13" t="s">
        <v>1585</v>
      </c>
      <c r="J79" s="12"/>
    </row>
    <row r="80" spans="1:10">
      <c r="A80" s="12">
        <f>IF(B80="","",COUNTA($B$4:B80))</f>
        <v>77</v>
      </c>
      <c r="B80" s="12" t="s">
        <v>1957</v>
      </c>
      <c r="C80" s="12" t="s">
        <v>1958</v>
      </c>
      <c r="D80" s="12" t="s">
        <v>1959</v>
      </c>
      <c r="E80" s="12" t="s">
        <v>1958</v>
      </c>
      <c r="F80" s="12" t="s">
        <v>1861</v>
      </c>
      <c r="G80" s="12" t="s">
        <v>1862</v>
      </c>
      <c r="H80" s="12">
        <v>15</v>
      </c>
      <c r="I80" s="13" t="s">
        <v>1585</v>
      </c>
      <c r="J80" s="12"/>
    </row>
    <row r="81" spans="1:10">
      <c r="A81" s="12">
        <f>IF(B81="","",COUNTA($B$4:B81))</f>
        <v>78</v>
      </c>
      <c r="B81" s="12" t="s">
        <v>1957</v>
      </c>
      <c r="C81" s="12" t="s">
        <v>1960</v>
      </c>
      <c r="D81" s="12" t="s">
        <v>1961</v>
      </c>
      <c r="E81" s="12" t="s">
        <v>1962</v>
      </c>
      <c r="F81" s="12" t="s">
        <v>1899</v>
      </c>
      <c r="G81" s="12" t="s">
        <v>1900</v>
      </c>
      <c r="H81" s="12">
        <v>3</v>
      </c>
      <c r="I81" s="13"/>
      <c r="J81" s="12"/>
    </row>
    <row r="82" spans="1:10">
      <c r="A82" s="12">
        <f>IF(B82="","",COUNTA($B$4:B82))</f>
        <v>79</v>
      </c>
      <c r="B82" s="12" t="s">
        <v>1957</v>
      </c>
      <c r="C82" s="12" t="s">
        <v>1963</v>
      </c>
      <c r="D82" s="12" t="s">
        <v>1964</v>
      </c>
      <c r="E82" s="12" t="s">
        <v>1963</v>
      </c>
      <c r="F82" s="12" t="s">
        <v>1861</v>
      </c>
      <c r="G82" s="12" t="s">
        <v>1862</v>
      </c>
      <c r="H82" s="12">
        <v>8</v>
      </c>
      <c r="I82" s="13" t="s">
        <v>1585</v>
      </c>
      <c r="J82" s="12"/>
    </row>
    <row r="83" spans="1:10">
      <c r="A83" s="12">
        <f>IF(B83="","",COUNTA($B$4:B83))</f>
        <v>80</v>
      </c>
      <c r="B83" s="12" t="s">
        <v>1957</v>
      </c>
      <c r="C83" s="12" t="s">
        <v>1965</v>
      </c>
      <c r="D83" s="12" t="s">
        <v>1966</v>
      </c>
      <c r="E83" s="12" t="s">
        <v>1965</v>
      </c>
      <c r="F83" s="12" t="s">
        <v>1861</v>
      </c>
      <c r="G83" s="12" t="s">
        <v>1862</v>
      </c>
      <c r="H83" s="12">
        <v>50</v>
      </c>
      <c r="I83" s="13"/>
      <c r="J83" s="12"/>
    </row>
    <row r="84" spans="1:10">
      <c r="A84" s="12">
        <f>IF(B84="","",COUNTA($B$4:B84))</f>
        <v>81</v>
      </c>
      <c r="B84" s="12" t="s">
        <v>1957</v>
      </c>
      <c r="C84" s="12" t="s">
        <v>1967</v>
      </c>
      <c r="D84" s="12" t="s">
        <v>1968</v>
      </c>
      <c r="E84" s="12" t="s">
        <v>1967</v>
      </c>
      <c r="F84" s="12" t="s">
        <v>1861</v>
      </c>
      <c r="G84" s="12" t="s">
        <v>1862</v>
      </c>
      <c r="H84" s="12">
        <v>30</v>
      </c>
      <c r="I84" s="13"/>
      <c r="J84" s="12" t="s">
        <v>1447</v>
      </c>
    </row>
    <row r="85" spans="1:10">
      <c r="A85" s="12">
        <f>IF(B85="","",COUNTA($B$4:B85))</f>
        <v>82</v>
      </c>
      <c r="B85" s="12" t="s">
        <v>1957</v>
      </c>
      <c r="C85" s="12" t="s">
        <v>1969</v>
      </c>
      <c r="D85" s="12" t="s">
        <v>1970</v>
      </c>
      <c r="E85" s="12" t="s">
        <v>1969</v>
      </c>
      <c r="F85" s="12" t="s">
        <v>1861</v>
      </c>
      <c r="G85" s="12" t="s">
        <v>1862</v>
      </c>
      <c r="H85" s="12">
        <v>6</v>
      </c>
      <c r="I85" s="13"/>
      <c r="J85" s="12"/>
    </row>
    <row r="86" spans="1:10">
      <c r="A86" s="12">
        <f>IF(B86="","",COUNTA($B$4:B86))</f>
        <v>83</v>
      </c>
      <c r="B86" s="12" t="s">
        <v>1957</v>
      </c>
      <c r="C86" s="12" t="s">
        <v>1971</v>
      </c>
      <c r="D86" s="12" t="s">
        <v>1972</v>
      </c>
      <c r="E86" s="12" t="s">
        <v>1971</v>
      </c>
      <c r="F86" s="12" t="s">
        <v>1861</v>
      </c>
      <c r="G86" s="12" t="s">
        <v>1862</v>
      </c>
      <c r="H86" s="12">
        <v>4</v>
      </c>
      <c r="I86" s="13"/>
      <c r="J86" s="12"/>
    </row>
    <row r="87" spans="1:10">
      <c r="A87" s="12">
        <f>IF(B87="","",COUNTA($B$4:B87))</f>
        <v>84</v>
      </c>
      <c r="B87" s="12" t="s">
        <v>1957</v>
      </c>
      <c r="C87" s="12" t="s">
        <v>1973</v>
      </c>
      <c r="D87" s="12" t="s">
        <v>1974</v>
      </c>
      <c r="E87" s="12" t="s">
        <v>1973</v>
      </c>
      <c r="F87" s="12" t="s">
        <v>1861</v>
      </c>
      <c r="G87" s="12" t="s">
        <v>1862</v>
      </c>
      <c r="H87" s="12">
        <v>4</v>
      </c>
      <c r="I87" s="13"/>
      <c r="J87" s="12" t="s">
        <v>1447</v>
      </c>
    </row>
    <row r="88" spans="1:10">
      <c r="A88" s="12">
        <f>IF(B88="","",COUNTA($B$4:B88))</f>
        <v>85</v>
      </c>
      <c r="B88" s="12" t="s">
        <v>1957</v>
      </c>
      <c r="C88" s="12" t="s">
        <v>1975</v>
      </c>
      <c r="D88" s="12" t="s">
        <v>1976</v>
      </c>
      <c r="E88" s="12" t="s">
        <v>1975</v>
      </c>
      <c r="F88" s="12" t="s">
        <v>1861</v>
      </c>
      <c r="G88" s="12" t="s">
        <v>1862</v>
      </c>
      <c r="H88" s="12">
        <v>30</v>
      </c>
      <c r="I88" s="13"/>
      <c r="J88" s="12" t="s">
        <v>1447</v>
      </c>
    </row>
    <row r="89" spans="1:10">
      <c r="A89" s="12">
        <f>IF(B89="","",COUNTA($B$4:B89))</f>
        <v>86</v>
      </c>
      <c r="B89" s="12" t="s">
        <v>1957</v>
      </c>
      <c r="C89" s="12" t="s">
        <v>1977</v>
      </c>
      <c r="D89" s="12" t="s">
        <v>1978</v>
      </c>
      <c r="E89" s="12" t="s">
        <v>1977</v>
      </c>
      <c r="F89" s="12" t="s">
        <v>1861</v>
      </c>
      <c r="G89" s="12" t="s">
        <v>1862</v>
      </c>
      <c r="H89" s="12">
        <v>2</v>
      </c>
      <c r="I89" s="13"/>
      <c r="J89" s="12" t="s">
        <v>1447</v>
      </c>
    </row>
    <row r="90" spans="1:10">
      <c r="A90" s="12">
        <f>IF(B90="","",COUNTA($B$4:B90))</f>
        <v>87</v>
      </c>
      <c r="B90" s="12" t="s">
        <v>1957</v>
      </c>
      <c r="C90" s="12" t="s">
        <v>1891</v>
      </c>
      <c r="D90" s="12" t="s">
        <v>1892</v>
      </c>
      <c r="E90" s="12" t="s">
        <v>1891</v>
      </c>
      <c r="F90" s="12" t="s">
        <v>1861</v>
      </c>
      <c r="G90" s="12" t="s">
        <v>1862</v>
      </c>
      <c r="H90" s="12">
        <v>30</v>
      </c>
      <c r="I90" s="13"/>
      <c r="J90" s="12" t="s">
        <v>1447</v>
      </c>
    </row>
    <row r="91" spans="1:10">
      <c r="A91" s="12">
        <f>IF(B91="","",COUNTA($B$4:B91))</f>
        <v>88</v>
      </c>
      <c r="B91" s="12" t="s">
        <v>1957</v>
      </c>
      <c r="C91" s="12" t="s">
        <v>1933</v>
      </c>
      <c r="D91" s="12" t="s">
        <v>1934</v>
      </c>
      <c r="E91" s="12" t="s">
        <v>1933</v>
      </c>
      <c r="F91" s="12" t="s">
        <v>1861</v>
      </c>
      <c r="G91" s="12" t="s">
        <v>1862</v>
      </c>
      <c r="H91" s="12">
        <v>5</v>
      </c>
      <c r="I91" s="13"/>
      <c r="J91" s="12"/>
    </row>
    <row r="92" spans="1:10">
      <c r="A92" s="12">
        <f>IF(B92="","",COUNTA($B$4:B92))</f>
        <v>89</v>
      </c>
      <c r="B92" s="12" t="s">
        <v>1957</v>
      </c>
      <c r="C92" s="12" t="s">
        <v>1893</v>
      </c>
      <c r="D92" s="12" t="s">
        <v>1894</v>
      </c>
      <c r="E92" s="12" t="s">
        <v>1893</v>
      </c>
      <c r="F92" s="12" t="s">
        <v>1861</v>
      </c>
      <c r="G92" s="12" t="s">
        <v>1862</v>
      </c>
      <c r="H92" s="12">
        <v>20</v>
      </c>
      <c r="I92" s="13"/>
      <c r="J92" s="12"/>
    </row>
    <row r="93" spans="1:10">
      <c r="A93" s="12">
        <f>IF(B93="","",COUNTA($B$4:B93))</f>
        <v>90</v>
      </c>
      <c r="B93" s="12" t="s">
        <v>1957</v>
      </c>
      <c r="C93" s="12" t="s">
        <v>1895</v>
      </c>
      <c r="D93" s="12" t="s">
        <v>1896</v>
      </c>
      <c r="E93" s="12" t="s">
        <v>1895</v>
      </c>
      <c r="F93" s="12" t="s">
        <v>1861</v>
      </c>
      <c r="G93" s="12" t="s">
        <v>1862</v>
      </c>
      <c r="H93" s="12">
        <v>30</v>
      </c>
      <c r="I93" s="13"/>
      <c r="J93" s="12"/>
    </row>
    <row r="94" spans="1:10">
      <c r="A94" s="12">
        <f>IF(B94="","",COUNTA($B$4:B94))</f>
        <v>91</v>
      </c>
      <c r="B94" s="12" t="s">
        <v>1957</v>
      </c>
      <c r="C94" s="12" t="s">
        <v>1901</v>
      </c>
      <c r="D94" s="12" t="s">
        <v>1902</v>
      </c>
      <c r="E94" s="12" t="s">
        <v>1901</v>
      </c>
      <c r="F94" s="12" t="s">
        <v>1899</v>
      </c>
      <c r="G94" s="12" t="s">
        <v>1900</v>
      </c>
      <c r="H94" s="12">
        <v>5</v>
      </c>
      <c r="I94" s="13">
        <v>2</v>
      </c>
      <c r="J94" s="12"/>
    </row>
    <row r="95" spans="1:10">
      <c r="A95" s="12">
        <f>IF(B95="","",COUNTA($B$4:B95))</f>
        <v>92</v>
      </c>
      <c r="B95" s="12" t="s">
        <v>1957</v>
      </c>
      <c r="C95" s="12" t="s">
        <v>1903</v>
      </c>
      <c r="D95" s="12" t="s">
        <v>1904</v>
      </c>
      <c r="E95" s="12" t="s">
        <v>1903</v>
      </c>
      <c r="F95" s="12" t="s">
        <v>1899</v>
      </c>
      <c r="G95" s="12" t="s">
        <v>1900</v>
      </c>
      <c r="H95" s="12">
        <v>4</v>
      </c>
      <c r="I95" s="13"/>
      <c r="J95" s="12"/>
    </row>
    <row r="96" spans="1:10">
      <c r="A96" s="12">
        <f>IF(B96="","",COUNTA($B$4:B96))</f>
        <v>93</v>
      </c>
      <c r="B96" s="12" t="s">
        <v>1957</v>
      </c>
      <c r="C96" s="12" t="s">
        <v>1905</v>
      </c>
      <c r="D96" s="12" t="s">
        <v>1906</v>
      </c>
      <c r="E96" s="12" t="s">
        <v>1905</v>
      </c>
      <c r="F96" s="12" t="s">
        <v>1899</v>
      </c>
      <c r="G96" s="12" t="s">
        <v>1900</v>
      </c>
      <c r="H96" s="12">
        <v>5</v>
      </c>
      <c r="I96" s="13"/>
      <c r="J96" s="12"/>
    </row>
    <row r="97" spans="1:10">
      <c r="A97" s="12">
        <f>IF(B97="","",COUNTA($B$4:B97))</f>
        <v>94</v>
      </c>
      <c r="B97" s="12" t="s">
        <v>1957</v>
      </c>
      <c r="C97" s="12" t="s">
        <v>1907</v>
      </c>
      <c r="D97" s="12" t="s">
        <v>1908</v>
      </c>
      <c r="E97" s="12" t="s">
        <v>1907</v>
      </c>
      <c r="F97" s="12" t="s">
        <v>1899</v>
      </c>
      <c r="G97" s="12" t="s">
        <v>1900</v>
      </c>
      <c r="H97" s="12">
        <v>7</v>
      </c>
      <c r="I97" s="13">
        <v>2</v>
      </c>
      <c r="J97" s="12"/>
    </row>
    <row r="98" spans="1:10">
      <c r="A98" s="12">
        <f>IF(B98="","",COUNTA($B$4:B98))</f>
        <v>95</v>
      </c>
      <c r="B98" s="12" t="s">
        <v>1957</v>
      </c>
      <c r="C98" s="12" t="s">
        <v>1909</v>
      </c>
      <c r="D98" s="12" t="s">
        <v>1979</v>
      </c>
      <c r="E98" s="12" t="s">
        <v>1911</v>
      </c>
      <c r="F98" s="12" t="s">
        <v>1899</v>
      </c>
      <c r="G98" s="12" t="s">
        <v>1900</v>
      </c>
      <c r="H98" s="12">
        <v>5</v>
      </c>
      <c r="I98" s="13" t="s">
        <v>1585</v>
      </c>
      <c r="J98" s="12"/>
    </row>
    <row r="99" spans="1:10">
      <c r="A99" s="12">
        <f>IF(B99="","",COUNTA($B$4:B99))</f>
        <v>96</v>
      </c>
      <c r="B99" s="12" t="s">
        <v>1957</v>
      </c>
      <c r="C99" s="12" t="s">
        <v>1912</v>
      </c>
      <c r="D99" s="12" t="s">
        <v>1913</v>
      </c>
      <c r="E99" s="12" t="s">
        <v>1912</v>
      </c>
      <c r="F99" s="12" t="s">
        <v>1861</v>
      </c>
      <c r="G99" s="12" t="s">
        <v>1862</v>
      </c>
      <c r="H99" s="12">
        <v>4</v>
      </c>
      <c r="I99" s="13"/>
      <c r="J99" s="12" t="s">
        <v>1447</v>
      </c>
    </row>
    <row r="100" spans="1:10">
      <c r="A100" s="12">
        <f>IF(B100="","",COUNTA($B$4:B100))</f>
        <v>97</v>
      </c>
      <c r="B100" s="12" t="s">
        <v>1957</v>
      </c>
      <c r="C100" s="12" t="s">
        <v>1914</v>
      </c>
      <c r="D100" s="12" t="s">
        <v>1915</v>
      </c>
      <c r="E100" s="12" t="s">
        <v>1914</v>
      </c>
      <c r="F100" s="12" t="s">
        <v>1899</v>
      </c>
      <c r="G100" s="12" t="s">
        <v>1900</v>
      </c>
      <c r="H100" s="12">
        <v>7</v>
      </c>
      <c r="I100" s="13">
        <v>2</v>
      </c>
      <c r="J100" s="12"/>
    </row>
    <row r="101" spans="1:10">
      <c r="A101" s="12">
        <f>IF(B101="","",COUNTA($B$4:B101))</f>
        <v>98</v>
      </c>
      <c r="B101" s="12" t="s">
        <v>1957</v>
      </c>
      <c r="C101" s="12" t="s">
        <v>1980</v>
      </c>
      <c r="D101" s="12" t="s">
        <v>1981</v>
      </c>
      <c r="E101" s="12" t="s">
        <v>1980</v>
      </c>
      <c r="F101" s="12" t="s">
        <v>1899</v>
      </c>
      <c r="G101" s="12" t="s">
        <v>1900</v>
      </c>
      <c r="H101" s="12">
        <v>5</v>
      </c>
      <c r="I101" s="13"/>
      <c r="J101" s="12"/>
    </row>
    <row r="102" spans="1:10">
      <c r="A102" s="12">
        <f>IF(B102="","",COUNTA($B$4:B102))</f>
        <v>99</v>
      </c>
      <c r="B102" s="12" t="s">
        <v>1957</v>
      </c>
      <c r="C102" s="12" t="s">
        <v>1982</v>
      </c>
      <c r="D102" s="12" t="s">
        <v>1022</v>
      </c>
      <c r="E102" s="12" t="s">
        <v>1982</v>
      </c>
      <c r="F102" s="12" t="s">
        <v>1861</v>
      </c>
      <c r="G102" s="12" t="s">
        <v>1862</v>
      </c>
      <c r="H102" s="12">
        <v>30</v>
      </c>
      <c r="I102" s="13"/>
      <c r="J102" s="12" t="s">
        <v>1447</v>
      </c>
    </row>
    <row r="103" spans="1:10">
      <c r="A103" s="12">
        <f>IF(B103="","",COUNTA($B$4:B103))</f>
        <v>100</v>
      </c>
      <c r="B103" s="12" t="s">
        <v>1957</v>
      </c>
      <c r="C103" s="12" t="s">
        <v>1983</v>
      </c>
      <c r="D103" s="12" t="s">
        <v>1848</v>
      </c>
      <c r="E103" s="12" t="s">
        <v>1983</v>
      </c>
      <c r="F103" s="12" t="s">
        <v>1899</v>
      </c>
      <c r="G103" s="12" t="s">
        <v>1900</v>
      </c>
      <c r="H103" s="12">
        <v>5</v>
      </c>
      <c r="I103" s="13"/>
      <c r="J103" s="12"/>
    </row>
    <row r="104" spans="1:10">
      <c r="A104" s="12">
        <f>IF(B104="","",COUNTA($B$4:B104))</f>
        <v>101</v>
      </c>
      <c r="B104" s="12" t="s">
        <v>1957</v>
      </c>
      <c r="C104" s="289" t="s">
        <v>1984</v>
      </c>
      <c r="D104" s="290" t="s">
        <v>1985</v>
      </c>
      <c r="E104" s="289" t="s">
        <v>1984</v>
      </c>
      <c r="F104" s="12" t="s">
        <v>1899</v>
      </c>
      <c r="G104" s="12" t="s">
        <v>1900</v>
      </c>
      <c r="H104" s="12">
        <v>5</v>
      </c>
      <c r="I104" s="13"/>
      <c r="J104" s="12" t="s">
        <v>1447</v>
      </c>
    </row>
    <row r="105" spans="1:10">
      <c r="A105" s="12">
        <f>IF(B105="","",COUNTA($B$4:B105))</f>
        <v>102</v>
      </c>
      <c r="B105" s="12" t="s">
        <v>1957</v>
      </c>
      <c r="C105" s="12" t="s">
        <v>1986</v>
      </c>
      <c r="D105" s="12" t="s">
        <v>1987</v>
      </c>
      <c r="E105" s="12" t="s">
        <v>1986</v>
      </c>
      <c r="F105" s="12" t="s">
        <v>1899</v>
      </c>
      <c r="G105" s="12" t="s">
        <v>1900</v>
      </c>
      <c r="H105" s="12">
        <v>5</v>
      </c>
      <c r="I105" s="13"/>
      <c r="J105" s="12"/>
    </row>
    <row r="106" spans="1:10">
      <c r="A106" s="12">
        <f>IF(B106="","",COUNTA($B$4:B106))</f>
        <v>103</v>
      </c>
      <c r="B106" s="12" t="s">
        <v>1957</v>
      </c>
      <c r="C106" s="12" t="s">
        <v>1897</v>
      </c>
      <c r="D106" s="12" t="s">
        <v>1898</v>
      </c>
      <c r="E106" s="12" t="s">
        <v>1897</v>
      </c>
      <c r="F106" s="12" t="s">
        <v>1899</v>
      </c>
      <c r="G106" s="12" t="s">
        <v>1900</v>
      </c>
      <c r="H106" s="12">
        <v>2</v>
      </c>
      <c r="I106" s="13"/>
      <c r="J106" s="12"/>
    </row>
    <row r="107" spans="1:10">
      <c r="A107" s="12">
        <f>IF(B107="","",COUNTA($B$4:B107))</f>
        <v>104</v>
      </c>
      <c r="B107" s="12" t="s">
        <v>1957</v>
      </c>
      <c r="C107" s="12" t="s">
        <v>1988</v>
      </c>
      <c r="D107" s="12" t="s">
        <v>1989</v>
      </c>
      <c r="E107" s="12" t="s">
        <v>1988</v>
      </c>
      <c r="F107" s="12" t="s">
        <v>1861</v>
      </c>
      <c r="G107" s="12" t="s">
        <v>1862</v>
      </c>
      <c r="H107" s="12">
        <v>30</v>
      </c>
      <c r="I107" s="13"/>
      <c r="J107" s="12"/>
    </row>
    <row r="108" spans="1:10">
      <c r="A108" s="12">
        <f>IF(B108="","",COUNTA($B$4:B108))</f>
        <v>105</v>
      </c>
      <c r="B108" s="12" t="s">
        <v>1957</v>
      </c>
      <c r="C108" s="12" t="s">
        <v>1990</v>
      </c>
      <c r="D108" s="12" t="s">
        <v>1991</v>
      </c>
      <c r="E108" s="12" t="s">
        <v>1990</v>
      </c>
      <c r="F108" s="12" t="s">
        <v>1861</v>
      </c>
      <c r="G108" s="12" t="s">
        <v>1862</v>
      </c>
      <c r="H108" s="12">
        <v>20</v>
      </c>
      <c r="I108" s="13"/>
      <c r="J108" s="12"/>
    </row>
    <row r="109" spans="1:10">
      <c r="A109" s="12">
        <f>IF(B109="","",COUNTA($B$4:B109))</f>
        <v>106</v>
      </c>
      <c r="B109" s="12" t="s">
        <v>1957</v>
      </c>
      <c r="C109" s="12" t="s">
        <v>1992</v>
      </c>
      <c r="D109" s="12" t="s">
        <v>1993</v>
      </c>
      <c r="E109" s="12" t="s">
        <v>1992</v>
      </c>
      <c r="F109" s="12" t="s">
        <v>1861</v>
      </c>
      <c r="G109" s="12" t="s">
        <v>1862</v>
      </c>
      <c r="H109" s="12">
        <v>15</v>
      </c>
      <c r="I109" s="13"/>
      <c r="J109" s="12"/>
    </row>
    <row r="110" spans="1:10">
      <c r="A110" s="12">
        <f>IF(B110="","",COUNTA($B$4:B110))</f>
        <v>107</v>
      </c>
      <c r="B110" s="12" t="s">
        <v>1957</v>
      </c>
      <c r="C110" s="12" t="s">
        <v>1921</v>
      </c>
      <c r="D110" s="12" t="s">
        <v>1922</v>
      </c>
      <c r="E110" s="12" t="s">
        <v>1921</v>
      </c>
      <c r="F110" s="12" t="s">
        <v>1861</v>
      </c>
      <c r="G110" s="12" t="s">
        <v>1862</v>
      </c>
      <c r="H110" s="12">
        <v>15</v>
      </c>
      <c r="I110" s="13"/>
      <c r="J110" s="12"/>
    </row>
    <row r="111" spans="1:10">
      <c r="A111" s="12">
        <f>IF(B111="","",COUNTA($B$4:B111))</f>
        <v>108</v>
      </c>
      <c r="B111" s="12" t="s">
        <v>1957</v>
      </c>
      <c r="C111" s="12" t="s">
        <v>1994</v>
      </c>
      <c r="D111" s="12" t="s">
        <v>1995</v>
      </c>
      <c r="E111" s="12" t="s">
        <v>1994</v>
      </c>
      <c r="F111" s="12" t="s">
        <v>1879</v>
      </c>
      <c r="G111" s="12" t="s">
        <v>1880</v>
      </c>
      <c r="H111" s="12"/>
      <c r="I111" s="13"/>
      <c r="J111" s="12"/>
    </row>
    <row r="112" spans="1:10">
      <c r="A112" s="12">
        <f>IF(B112="","",COUNTA($B$4:B112))</f>
        <v>109</v>
      </c>
      <c r="B112" s="12" t="s">
        <v>1957</v>
      </c>
      <c r="C112" s="12" t="s">
        <v>1996</v>
      </c>
      <c r="D112" s="12" t="s">
        <v>1997</v>
      </c>
      <c r="E112" s="12" t="s">
        <v>1996</v>
      </c>
      <c r="F112" s="12" t="s">
        <v>1861</v>
      </c>
      <c r="G112" s="12" t="s">
        <v>1862</v>
      </c>
      <c r="H112" s="12">
        <v>3</v>
      </c>
      <c r="I112" s="13"/>
      <c r="J112" s="12"/>
    </row>
    <row r="113" spans="1:10">
      <c r="A113" s="12">
        <f>IF(B113="","",COUNTA($B$4:B113))</f>
        <v>110</v>
      </c>
      <c r="B113" s="12" t="s">
        <v>1957</v>
      </c>
      <c r="C113" s="12" t="s">
        <v>1998</v>
      </c>
      <c r="D113" s="12" t="s">
        <v>1999</v>
      </c>
      <c r="E113" s="12" t="s">
        <v>1998</v>
      </c>
      <c r="F113" s="12" t="s">
        <v>1861</v>
      </c>
      <c r="G113" s="12" t="s">
        <v>1900</v>
      </c>
      <c r="H113" s="12">
        <v>7</v>
      </c>
      <c r="I113" s="13">
        <v>2</v>
      </c>
      <c r="J113" s="12" t="s">
        <v>1447</v>
      </c>
    </row>
    <row r="114" spans="1:10">
      <c r="A114" s="12">
        <f>IF(B114="","",COUNTA($B$4:B114))</f>
        <v>111</v>
      </c>
      <c r="B114" s="12" t="s">
        <v>1957</v>
      </c>
      <c r="C114" s="12" t="s">
        <v>2000</v>
      </c>
      <c r="D114" s="12" t="s">
        <v>2001</v>
      </c>
      <c r="E114" s="12" t="s">
        <v>2000</v>
      </c>
      <c r="F114" s="12" t="s">
        <v>111</v>
      </c>
      <c r="G114" s="12" t="s">
        <v>109</v>
      </c>
      <c r="H114" s="12">
        <v>7</v>
      </c>
      <c r="I114" s="13">
        <v>2</v>
      </c>
      <c r="J114" s="12"/>
    </row>
    <row r="115" spans="1:10">
      <c r="A115" s="12">
        <f>IF(B115="","",COUNTA($B$4:B115))</f>
        <v>112</v>
      </c>
      <c r="B115" s="12" t="s">
        <v>1957</v>
      </c>
      <c r="C115" s="12" t="s">
        <v>2002</v>
      </c>
      <c r="D115" s="12" t="s">
        <v>2003</v>
      </c>
      <c r="E115" s="12" t="s">
        <v>2002</v>
      </c>
      <c r="F115" s="12" t="s">
        <v>111</v>
      </c>
      <c r="G115" s="12" t="s">
        <v>109</v>
      </c>
      <c r="H115" s="12">
        <v>7</v>
      </c>
      <c r="I115" s="13">
        <v>2</v>
      </c>
      <c r="J115" s="12"/>
    </row>
    <row r="116" spans="1:10">
      <c r="A116" s="12">
        <f>IF(B116="","",COUNTA($B$4:B116))</f>
        <v>113</v>
      </c>
      <c r="B116" s="12" t="s">
        <v>1957</v>
      </c>
      <c r="C116" s="12" t="s">
        <v>2004</v>
      </c>
      <c r="D116" s="12" t="s">
        <v>2005</v>
      </c>
      <c r="E116" s="12" t="s">
        <v>2004</v>
      </c>
      <c r="F116" s="12" t="s">
        <v>111</v>
      </c>
      <c r="G116" s="12" t="s">
        <v>109</v>
      </c>
      <c r="H116" s="12">
        <v>7</v>
      </c>
      <c r="I116" s="13">
        <v>2</v>
      </c>
      <c r="J116" s="12"/>
    </row>
    <row r="117" spans="1:10">
      <c r="A117" s="12">
        <f>IF(B117="","",COUNTA($B$4:B117))</f>
        <v>114</v>
      </c>
      <c r="B117" s="12" t="s">
        <v>1957</v>
      </c>
      <c r="C117" s="12" t="s">
        <v>2006</v>
      </c>
      <c r="D117" s="12" t="s">
        <v>2007</v>
      </c>
      <c r="E117" s="12" t="s">
        <v>2006</v>
      </c>
      <c r="F117" s="12" t="s">
        <v>111</v>
      </c>
      <c r="G117" s="12" t="s">
        <v>109</v>
      </c>
      <c r="H117" s="12">
        <v>7</v>
      </c>
      <c r="I117" s="13">
        <v>2</v>
      </c>
      <c r="J117" s="12"/>
    </row>
    <row r="118" spans="1:10">
      <c r="A118" s="12">
        <f>IF(B118="","",COUNTA($B$4:B118))</f>
        <v>115</v>
      </c>
      <c r="B118" s="12" t="s">
        <v>1957</v>
      </c>
      <c r="C118" s="12" t="s">
        <v>2008</v>
      </c>
      <c r="D118" s="12" t="s">
        <v>2009</v>
      </c>
      <c r="E118" s="12" t="s">
        <v>2008</v>
      </c>
      <c r="F118" s="12" t="s">
        <v>111</v>
      </c>
      <c r="G118" s="12" t="s">
        <v>109</v>
      </c>
      <c r="H118" s="12">
        <v>7</v>
      </c>
      <c r="I118" s="13">
        <v>2</v>
      </c>
      <c r="J118" s="12"/>
    </row>
    <row r="119" spans="1:10">
      <c r="A119" s="12">
        <f>IF(B119="","",COUNTA($B$4:B119))</f>
        <v>116</v>
      </c>
      <c r="B119" s="12" t="s">
        <v>1957</v>
      </c>
      <c r="C119" s="12" t="s">
        <v>2010</v>
      </c>
      <c r="D119" s="12" t="s">
        <v>2011</v>
      </c>
      <c r="E119" s="12" t="s">
        <v>2010</v>
      </c>
      <c r="F119" s="12" t="s">
        <v>111</v>
      </c>
      <c r="G119" s="12" t="s">
        <v>106</v>
      </c>
      <c r="H119" s="12">
        <v>3</v>
      </c>
      <c r="I119" s="13"/>
      <c r="J119" s="12"/>
    </row>
    <row r="120" spans="1:10">
      <c r="A120" s="12">
        <f>IF(B120="","",COUNTA($B$4:B120))</f>
        <v>117</v>
      </c>
      <c r="B120" s="12" t="s">
        <v>1957</v>
      </c>
      <c r="C120" s="12" t="s">
        <v>1863</v>
      </c>
      <c r="D120" s="12" t="s">
        <v>1864</v>
      </c>
      <c r="E120" s="12" t="s">
        <v>1863</v>
      </c>
      <c r="F120" s="12" t="s">
        <v>111</v>
      </c>
      <c r="G120" s="12" t="s">
        <v>106</v>
      </c>
      <c r="H120" s="12">
        <v>3</v>
      </c>
      <c r="I120" s="13"/>
      <c r="J120" s="12"/>
    </row>
    <row r="121" spans="1:10">
      <c r="A121" s="12">
        <f>IF(B121="","",COUNTA($B$4:B121))</f>
        <v>118</v>
      </c>
      <c r="B121" s="12" t="s">
        <v>1957</v>
      </c>
      <c r="C121" s="12" t="s">
        <v>1923</v>
      </c>
      <c r="D121" s="12" t="s">
        <v>1924</v>
      </c>
      <c r="E121" s="12" t="s">
        <v>1923</v>
      </c>
      <c r="F121" s="12" t="s">
        <v>111</v>
      </c>
      <c r="G121" s="12" t="s">
        <v>106</v>
      </c>
      <c r="H121" s="12">
        <v>10</v>
      </c>
      <c r="I121" s="13"/>
      <c r="J121" s="12"/>
    </row>
    <row r="122" spans="1:10">
      <c r="A122" s="12">
        <f>IF(B122="","",COUNTA($B$4:B122))</f>
        <v>119</v>
      </c>
      <c r="B122" s="12" t="s">
        <v>1957</v>
      </c>
      <c r="C122" s="12" t="s">
        <v>1873</v>
      </c>
      <c r="D122" s="12" t="s">
        <v>1874</v>
      </c>
      <c r="E122" s="12" t="s">
        <v>1873</v>
      </c>
      <c r="F122" s="12" t="s">
        <v>111</v>
      </c>
      <c r="G122" s="12" t="s">
        <v>106</v>
      </c>
      <c r="H122" s="12">
        <v>10</v>
      </c>
      <c r="I122" s="13"/>
      <c r="J122" s="12"/>
    </row>
    <row r="123" spans="1:10">
      <c r="A123" s="12">
        <f>IF(B123="","",COUNTA($B$4:B123))</f>
        <v>120</v>
      </c>
      <c r="B123" s="12" t="s">
        <v>1957</v>
      </c>
      <c r="C123" s="12" t="s">
        <v>1876</v>
      </c>
      <c r="D123" s="12" t="s">
        <v>624</v>
      </c>
      <c r="E123" s="12" t="s">
        <v>1876</v>
      </c>
      <c r="F123" s="12" t="s">
        <v>111</v>
      </c>
      <c r="G123" s="12" t="s">
        <v>106</v>
      </c>
      <c r="H123" s="12">
        <v>10</v>
      </c>
      <c r="I123" s="13"/>
      <c r="J123" s="12" t="s">
        <v>1447</v>
      </c>
    </row>
    <row r="124" spans="1:10">
      <c r="A124" s="12">
        <f>IF(B124="","",COUNTA($B$4:B124))</f>
        <v>121</v>
      </c>
      <c r="B124" s="12" t="s">
        <v>1957</v>
      </c>
      <c r="C124" s="12" t="s">
        <v>1877</v>
      </c>
      <c r="D124" s="12" t="s">
        <v>1878</v>
      </c>
      <c r="E124" s="12" t="s">
        <v>1877</v>
      </c>
      <c r="F124" s="12" t="s">
        <v>86</v>
      </c>
      <c r="G124" s="12" t="s">
        <v>108</v>
      </c>
      <c r="H124" s="12"/>
      <c r="I124" s="13"/>
      <c r="J124" s="12"/>
    </row>
    <row r="125" spans="1:10">
      <c r="A125" s="12">
        <f>IF(B125="","",COUNTA($B$4:B125))</f>
        <v>122</v>
      </c>
      <c r="B125" s="12" t="s">
        <v>1957</v>
      </c>
      <c r="C125" s="12" t="s">
        <v>1881</v>
      </c>
      <c r="D125" s="12" t="s">
        <v>1931</v>
      </c>
      <c r="E125" s="12" t="s">
        <v>1881</v>
      </c>
      <c r="F125" s="12" t="s">
        <v>111</v>
      </c>
      <c r="G125" s="12" t="s">
        <v>106</v>
      </c>
      <c r="H125" s="12">
        <v>10</v>
      </c>
      <c r="I125" s="13"/>
      <c r="J125" s="12"/>
    </row>
    <row r="126" spans="1:10">
      <c r="A126" s="12">
        <f>IF(B126="","",COUNTA($B$4:B126))</f>
        <v>123</v>
      </c>
      <c r="B126" s="12" t="s">
        <v>1957</v>
      </c>
      <c r="C126" s="12" t="s">
        <v>1884</v>
      </c>
      <c r="D126" s="12" t="s">
        <v>1885</v>
      </c>
      <c r="E126" s="12" t="s">
        <v>1884</v>
      </c>
      <c r="F126" s="12" t="s">
        <v>1861</v>
      </c>
      <c r="G126" s="12" t="s">
        <v>1862</v>
      </c>
      <c r="H126" s="12">
        <v>10</v>
      </c>
      <c r="I126" s="13" t="s">
        <v>1585</v>
      </c>
      <c r="J126" s="12"/>
    </row>
    <row r="127" spans="1:10">
      <c r="A127" s="12">
        <f>IF(B127="","",COUNTA($B$4:B127))</f>
        <v>124</v>
      </c>
      <c r="B127" s="12" t="s">
        <v>1957</v>
      </c>
      <c r="C127" s="12" t="s">
        <v>1886</v>
      </c>
      <c r="D127" s="12" t="s">
        <v>1887</v>
      </c>
      <c r="E127" s="12" t="s">
        <v>1886</v>
      </c>
      <c r="F127" s="12" t="s">
        <v>1879</v>
      </c>
      <c r="G127" s="12" t="s">
        <v>1880</v>
      </c>
      <c r="H127" s="12"/>
      <c r="I127" s="13" t="s">
        <v>1585</v>
      </c>
      <c r="J127" s="12"/>
    </row>
    <row r="128" spans="1:10">
      <c r="A128" s="12">
        <f>IF(B128="","",COUNTA($B$4:B128))</f>
        <v>125</v>
      </c>
      <c r="B128" s="12" t="s">
        <v>2012</v>
      </c>
      <c r="C128" s="12" t="s">
        <v>2013</v>
      </c>
      <c r="D128" s="12" t="e">
        <v>#N/A</v>
      </c>
      <c r="E128" s="12" t="s">
        <v>2013</v>
      </c>
      <c r="F128" s="12" t="s">
        <v>1861</v>
      </c>
      <c r="G128" s="12" t="s">
        <v>1862</v>
      </c>
      <c r="H128" s="12">
        <v>15</v>
      </c>
      <c r="I128" s="13" t="s">
        <v>1585</v>
      </c>
      <c r="J128" s="12" t="s">
        <v>1447</v>
      </c>
    </row>
    <row r="129" spans="1:10">
      <c r="A129" s="12">
        <f>IF(B129="","",COUNTA($B$4:B129))</f>
        <v>126</v>
      </c>
      <c r="B129" s="12" t="s">
        <v>2012</v>
      </c>
      <c r="C129" s="12" t="s">
        <v>2014</v>
      </c>
      <c r="D129" s="12" t="s">
        <v>2015</v>
      </c>
      <c r="E129" s="12" t="s">
        <v>2014</v>
      </c>
      <c r="F129" s="12" t="s">
        <v>1861</v>
      </c>
      <c r="G129" s="12" t="s">
        <v>1862</v>
      </c>
      <c r="H129" s="12">
        <v>15</v>
      </c>
      <c r="I129" s="13" t="s">
        <v>1585</v>
      </c>
      <c r="J129" s="12"/>
    </row>
    <row r="130" spans="1:10">
      <c r="A130" s="12">
        <f>IF(B130="","",COUNTA($B$4:B130))</f>
        <v>127</v>
      </c>
      <c r="B130" s="12" t="s">
        <v>2012</v>
      </c>
      <c r="C130" s="12" t="s">
        <v>2016</v>
      </c>
      <c r="D130" s="12" t="s">
        <v>1993</v>
      </c>
      <c r="E130" s="12" t="s">
        <v>2016</v>
      </c>
      <c r="F130" s="12" t="s">
        <v>1861</v>
      </c>
      <c r="G130" s="12" t="s">
        <v>1862</v>
      </c>
      <c r="H130" s="12">
        <v>15</v>
      </c>
      <c r="I130" s="13" t="s">
        <v>1585</v>
      </c>
      <c r="J130" s="12"/>
    </row>
    <row r="131" spans="1:10">
      <c r="A131" s="12">
        <f>IF(B131="","",COUNTA($B$4:B131))</f>
        <v>128</v>
      </c>
      <c r="B131" s="12" t="s">
        <v>2012</v>
      </c>
      <c r="C131" s="12" t="s">
        <v>2017</v>
      </c>
      <c r="D131" s="12" t="s">
        <v>2018</v>
      </c>
      <c r="E131" s="12" t="s">
        <v>2017</v>
      </c>
      <c r="F131" s="12" t="s">
        <v>1899</v>
      </c>
      <c r="G131" s="12" t="s">
        <v>1900</v>
      </c>
      <c r="H131" s="12">
        <v>3</v>
      </c>
      <c r="I131" s="13" t="s">
        <v>1585</v>
      </c>
      <c r="J131" s="12"/>
    </row>
    <row r="132" spans="1:10">
      <c r="A132" s="12">
        <f>IF(B132="","",COUNTA($B$4:B132))</f>
        <v>129</v>
      </c>
      <c r="B132" s="12" t="s">
        <v>2012</v>
      </c>
      <c r="C132" s="12" t="s">
        <v>2019</v>
      </c>
      <c r="D132" s="12" t="s">
        <v>2020</v>
      </c>
      <c r="E132" s="12" t="s">
        <v>2019</v>
      </c>
      <c r="F132" s="12" t="s">
        <v>1861</v>
      </c>
      <c r="G132" s="12" t="s">
        <v>1862</v>
      </c>
      <c r="H132" s="12">
        <v>15</v>
      </c>
      <c r="I132" s="13" t="s">
        <v>1585</v>
      </c>
      <c r="J132" s="12"/>
    </row>
    <row r="133" spans="1:10">
      <c r="A133" s="12">
        <f>IF(B133="","",COUNTA($B$4:B133))</f>
        <v>130</v>
      </c>
      <c r="B133" s="12" t="s">
        <v>2012</v>
      </c>
      <c r="C133" s="12" t="s">
        <v>2021</v>
      </c>
      <c r="D133" s="12" t="s">
        <v>2022</v>
      </c>
      <c r="E133" s="12" t="s">
        <v>2021</v>
      </c>
      <c r="F133" s="12" t="s">
        <v>1899</v>
      </c>
      <c r="G133" s="12" t="s">
        <v>1900</v>
      </c>
      <c r="H133" s="12">
        <v>3</v>
      </c>
      <c r="I133" s="13" t="s">
        <v>1585</v>
      </c>
      <c r="J133" s="12"/>
    </row>
    <row r="134" spans="1:10">
      <c r="A134" s="12">
        <f>IF(B134="","",COUNTA($B$4:B134))</f>
        <v>131</v>
      </c>
      <c r="B134" s="12" t="s">
        <v>2012</v>
      </c>
      <c r="C134" s="12" t="s">
        <v>2023</v>
      </c>
      <c r="D134" s="12" t="s">
        <v>2024</v>
      </c>
      <c r="E134" s="12" t="s">
        <v>2023</v>
      </c>
      <c r="F134" s="12" t="s">
        <v>1861</v>
      </c>
      <c r="G134" s="12" t="s">
        <v>1862</v>
      </c>
      <c r="H134" s="12">
        <v>15</v>
      </c>
      <c r="I134" s="13" t="s">
        <v>1585</v>
      </c>
      <c r="J134" s="12"/>
    </row>
    <row r="135" spans="1:10">
      <c r="A135" s="12">
        <f>IF(B135="","",COUNTA($B$4:B135))</f>
        <v>132</v>
      </c>
      <c r="B135" s="12" t="s">
        <v>2012</v>
      </c>
      <c r="C135" s="12" t="s">
        <v>2025</v>
      </c>
      <c r="D135" s="12" t="s">
        <v>2026</v>
      </c>
      <c r="E135" s="12" t="s">
        <v>2025</v>
      </c>
      <c r="F135" s="12" t="s">
        <v>1899</v>
      </c>
      <c r="G135" s="12" t="s">
        <v>1900</v>
      </c>
      <c r="H135" s="12">
        <v>3</v>
      </c>
      <c r="I135" s="13" t="s">
        <v>1585</v>
      </c>
      <c r="J135" s="12"/>
    </row>
    <row r="136" spans="1:10">
      <c r="A136" s="12">
        <f>IF(B136="","",COUNTA($B$4:B136))</f>
        <v>133</v>
      </c>
      <c r="B136" s="12" t="s">
        <v>2012</v>
      </c>
      <c r="C136" s="12" t="s">
        <v>2027</v>
      </c>
      <c r="D136" s="12" t="s">
        <v>2028</v>
      </c>
      <c r="E136" s="12" t="s">
        <v>2027</v>
      </c>
      <c r="F136" s="12" t="s">
        <v>1899</v>
      </c>
      <c r="G136" s="12" t="s">
        <v>1900</v>
      </c>
      <c r="H136" s="12">
        <v>3</v>
      </c>
      <c r="I136" s="13" t="s">
        <v>1585</v>
      </c>
      <c r="J136" s="12"/>
    </row>
    <row r="137" spans="1:10">
      <c r="A137" s="12">
        <f>IF(B137="","",COUNTA($B$4:B137))</f>
        <v>134</v>
      </c>
      <c r="B137" s="12" t="s">
        <v>2012</v>
      </c>
      <c r="C137" s="12" t="s">
        <v>2029</v>
      </c>
      <c r="D137" s="12" t="s">
        <v>2030</v>
      </c>
      <c r="E137" s="12" t="s">
        <v>2029</v>
      </c>
      <c r="F137" s="12" t="s">
        <v>1899</v>
      </c>
      <c r="G137" s="12" t="s">
        <v>1900</v>
      </c>
      <c r="H137" s="12">
        <v>3</v>
      </c>
      <c r="I137" s="13" t="s">
        <v>1585</v>
      </c>
      <c r="J137" s="12"/>
    </row>
    <row r="138" spans="1:10">
      <c r="A138" s="12">
        <f>IF(B138="","",COUNTA($B$4:B138))</f>
        <v>135</v>
      </c>
      <c r="B138" s="12" t="s">
        <v>2012</v>
      </c>
      <c r="C138" s="12" t="s">
        <v>2031</v>
      </c>
      <c r="D138" s="12"/>
      <c r="E138" s="12" t="s">
        <v>2031</v>
      </c>
      <c r="F138" s="12"/>
      <c r="G138" s="12"/>
      <c r="H138" s="12"/>
      <c r="I138" s="13" t="s">
        <v>1585</v>
      </c>
      <c r="J138" s="12" t="s">
        <v>1447</v>
      </c>
    </row>
    <row r="139" spans="1:10">
      <c r="A139" s="12">
        <f>IF(B139="","",COUNTA($B$4:B139))</f>
        <v>136</v>
      </c>
      <c r="B139" s="12" t="s">
        <v>2012</v>
      </c>
      <c r="C139" s="12" t="s">
        <v>2032</v>
      </c>
      <c r="D139" s="12" t="s">
        <v>2033</v>
      </c>
      <c r="E139" s="12" t="s">
        <v>2032</v>
      </c>
      <c r="F139" s="12" t="s">
        <v>1861</v>
      </c>
      <c r="G139" s="12" t="s">
        <v>1862</v>
      </c>
      <c r="H139" s="12">
        <v>15</v>
      </c>
      <c r="I139" s="13" t="s">
        <v>1585</v>
      </c>
      <c r="J139" s="12"/>
    </row>
    <row r="140" spans="1:10">
      <c r="A140" s="12">
        <f>IF(B140="","",COUNTA($B$4:B140))</f>
        <v>137</v>
      </c>
      <c r="B140" s="12" t="s">
        <v>2012</v>
      </c>
      <c r="C140" s="12" t="s">
        <v>2034</v>
      </c>
      <c r="D140" s="12" t="s">
        <v>2035</v>
      </c>
      <c r="E140" s="12" t="s">
        <v>2034</v>
      </c>
      <c r="F140" s="12" t="s">
        <v>1899</v>
      </c>
      <c r="G140" s="12" t="s">
        <v>1900</v>
      </c>
      <c r="H140" s="12">
        <v>3</v>
      </c>
      <c r="I140" s="13" t="s">
        <v>1585</v>
      </c>
      <c r="J140" s="12"/>
    </row>
    <row r="141" spans="1:10">
      <c r="A141" s="12">
        <f>IF(B141="","",COUNTA($B$4:B141))</f>
        <v>138</v>
      </c>
      <c r="B141" s="12" t="s">
        <v>2012</v>
      </c>
      <c r="C141" s="12" t="s">
        <v>2036</v>
      </c>
      <c r="D141" s="12" t="s">
        <v>2037</v>
      </c>
      <c r="E141" s="12" t="s">
        <v>2036</v>
      </c>
      <c r="F141" s="12" t="s">
        <v>1899</v>
      </c>
      <c r="G141" s="12" t="s">
        <v>1900</v>
      </c>
      <c r="H141" s="12">
        <v>3</v>
      </c>
      <c r="I141" s="13" t="s">
        <v>1585</v>
      </c>
      <c r="J141" s="12"/>
    </row>
    <row r="142" spans="1:10">
      <c r="A142" s="12">
        <f>IF(B142="","",COUNTA($B$4:B142))</f>
        <v>139</v>
      </c>
      <c r="B142" s="12" t="s">
        <v>2012</v>
      </c>
      <c r="C142" s="12" t="s">
        <v>1967</v>
      </c>
      <c r="D142" s="12" t="s">
        <v>1968</v>
      </c>
      <c r="E142" s="12" t="s">
        <v>1967</v>
      </c>
      <c r="F142" s="12" t="s">
        <v>1861</v>
      </c>
      <c r="G142" s="12" t="s">
        <v>1862</v>
      </c>
      <c r="H142" s="12">
        <v>30</v>
      </c>
      <c r="I142" s="13"/>
      <c r="J142" s="12"/>
    </row>
    <row r="143" spans="1:10">
      <c r="A143" s="12">
        <f>IF(B143="","",COUNTA($B$4:B143))</f>
        <v>140</v>
      </c>
      <c r="B143" s="12" t="s">
        <v>2012</v>
      </c>
      <c r="C143" s="12" t="s">
        <v>1963</v>
      </c>
      <c r="D143" s="12" t="s">
        <v>2038</v>
      </c>
      <c r="E143" s="12" t="s">
        <v>1963</v>
      </c>
      <c r="F143" s="12" t="s">
        <v>1861</v>
      </c>
      <c r="G143" s="12" t="s">
        <v>1862</v>
      </c>
      <c r="H143" s="12">
        <v>8</v>
      </c>
      <c r="I143" s="13" t="s">
        <v>1585</v>
      </c>
      <c r="J143" s="12"/>
    </row>
    <row r="144" spans="1:10">
      <c r="A144" s="12">
        <f>IF(B144="","",COUNTA($B$4:B144))</f>
        <v>141</v>
      </c>
      <c r="B144" s="12" t="s">
        <v>2012</v>
      </c>
      <c r="C144" s="12" t="s">
        <v>1889</v>
      </c>
      <c r="D144" s="12" t="s">
        <v>1890</v>
      </c>
      <c r="E144" s="12" t="s">
        <v>1889</v>
      </c>
      <c r="F144" s="12" t="s">
        <v>1861</v>
      </c>
      <c r="G144" s="12" t="s">
        <v>1862</v>
      </c>
      <c r="H144" s="12">
        <v>15</v>
      </c>
      <c r="I144" s="13" t="s">
        <v>1585</v>
      </c>
      <c r="J144" s="12" t="s">
        <v>1447</v>
      </c>
    </row>
    <row r="145" spans="1:10">
      <c r="A145" s="12">
        <f>IF(B145="","",COUNTA($B$4:B145))</f>
        <v>142</v>
      </c>
      <c r="B145" s="12" t="s">
        <v>2012</v>
      </c>
      <c r="C145" s="12" t="s">
        <v>1958</v>
      </c>
      <c r="D145" s="12" t="s">
        <v>1959</v>
      </c>
      <c r="E145" s="12" t="s">
        <v>1958</v>
      </c>
      <c r="F145" s="12" t="s">
        <v>1861</v>
      </c>
      <c r="G145" s="12" t="s">
        <v>1862</v>
      </c>
      <c r="H145" s="12">
        <v>15</v>
      </c>
      <c r="I145" s="13" t="s">
        <v>1585</v>
      </c>
      <c r="J145" s="12"/>
    </row>
    <row r="146" spans="1:10">
      <c r="A146" s="12">
        <f>IF(B146="","",COUNTA($B$4:B146))</f>
        <v>143</v>
      </c>
      <c r="B146" s="12" t="s">
        <v>2012</v>
      </c>
      <c r="C146" s="12" t="s">
        <v>2039</v>
      </c>
      <c r="D146" s="12" t="s">
        <v>2040</v>
      </c>
      <c r="E146" s="12" t="s">
        <v>2039</v>
      </c>
      <c r="F146" s="12" t="s">
        <v>1861</v>
      </c>
      <c r="G146" s="12" t="s">
        <v>1880</v>
      </c>
      <c r="H146" s="12"/>
      <c r="I146" s="13"/>
      <c r="J146" s="12"/>
    </row>
    <row r="147" spans="1:10">
      <c r="A147" s="12">
        <f>IF(B147="","",COUNTA($B$4:B147))</f>
        <v>144</v>
      </c>
      <c r="B147" s="12" t="s">
        <v>2012</v>
      </c>
      <c r="C147" s="12" t="s">
        <v>2041</v>
      </c>
      <c r="D147" s="12" t="s">
        <v>2042</v>
      </c>
      <c r="E147" s="12" t="s">
        <v>2041</v>
      </c>
      <c r="F147" s="12" t="s">
        <v>1861</v>
      </c>
      <c r="G147" s="12" t="s">
        <v>1862</v>
      </c>
      <c r="H147" s="12">
        <v>3</v>
      </c>
      <c r="I147" s="13"/>
      <c r="J147" s="12"/>
    </row>
    <row r="148" spans="1:10">
      <c r="A148" s="12">
        <f>IF(B148="","",COUNTA($B$4:B148))</f>
        <v>145</v>
      </c>
      <c r="B148" s="12" t="s">
        <v>2012</v>
      </c>
      <c r="C148" s="12" t="s">
        <v>2043</v>
      </c>
      <c r="D148" s="12" t="s">
        <v>2044</v>
      </c>
      <c r="E148" s="12" t="s">
        <v>2043</v>
      </c>
      <c r="F148" s="12" t="s">
        <v>1861</v>
      </c>
      <c r="G148" s="12" t="s">
        <v>1862</v>
      </c>
      <c r="H148" s="12">
        <v>3</v>
      </c>
      <c r="I148" s="13"/>
      <c r="J148" s="12"/>
    </row>
    <row r="149" spans="1:10">
      <c r="A149" s="12">
        <f>IF(B149="","",COUNTA($B$4:B149))</f>
        <v>146</v>
      </c>
      <c r="B149" s="12" t="s">
        <v>2012</v>
      </c>
      <c r="C149" s="12" t="s">
        <v>2045</v>
      </c>
      <c r="D149" s="12" t="s">
        <v>2046</v>
      </c>
      <c r="E149" s="12" t="s">
        <v>2045</v>
      </c>
      <c r="F149" s="12" t="s">
        <v>1861</v>
      </c>
      <c r="G149" s="12" t="s">
        <v>1862</v>
      </c>
      <c r="H149" s="12">
        <v>3</v>
      </c>
      <c r="I149" s="13"/>
      <c r="J149" s="12"/>
    </row>
    <row r="150" spans="1:10">
      <c r="A150" s="12">
        <f>IF(B150="","",COUNTA($B$4:B150))</f>
        <v>147</v>
      </c>
      <c r="B150" s="12" t="s">
        <v>2012</v>
      </c>
      <c r="C150" s="12" t="s">
        <v>2010</v>
      </c>
      <c r="D150" s="12" t="s">
        <v>2011</v>
      </c>
      <c r="E150" s="12" t="s">
        <v>2010</v>
      </c>
      <c r="F150" s="12" t="s">
        <v>1861</v>
      </c>
      <c r="G150" s="12" t="s">
        <v>1862</v>
      </c>
      <c r="H150" s="12">
        <v>3</v>
      </c>
      <c r="I150" s="13"/>
      <c r="J150" s="12"/>
    </row>
    <row r="151" spans="1:10">
      <c r="A151" s="12">
        <f>IF(B151="","",COUNTA($B$4:B151))</f>
        <v>148</v>
      </c>
      <c r="B151" s="12" t="s">
        <v>2012</v>
      </c>
      <c r="C151" s="12" t="s">
        <v>1891</v>
      </c>
      <c r="D151" s="12" t="s">
        <v>1444</v>
      </c>
      <c r="E151" s="12" t="s">
        <v>1891</v>
      </c>
      <c r="F151" s="12" t="s">
        <v>1861</v>
      </c>
      <c r="G151" s="12" t="s">
        <v>1862</v>
      </c>
      <c r="H151" s="12">
        <v>2</v>
      </c>
      <c r="I151" s="13"/>
      <c r="J151" s="12" t="s">
        <v>1447</v>
      </c>
    </row>
    <row r="152" spans="1:10">
      <c r="A152" s="12">
        <f>IF(B152="","",COUNTA($B$4:B152))</f>
        <v>149</v>
      </c>
      <c r="B152" s="12" t="s">
        <v>2012</v>
      </c>
      <c r="C152" s="12" t="s">
        <v>1933</v>
      </c>
      <c r="D152" s="12" t="s">
        <v>1934</v>
      </c>
      <c r="E152" s="12" t="s">
        <v>1933</v>
      </c>
      <c r="F152" s="12" t="s">
        <v>111</v>
      </c>
      <c r="G152" s="12" t="s">
        <v>106</v>
      </c>
      <c r="H152" s="12">
        <v>5</v>
      </c>
      <c r="I152" s="13"/>
      <c r="J152" s="12"/>
    </row>
    <row r="153" spans="1:10">
      <c r="A153" s="12">
        <f>IF(B153="","",COUNTA($B$4:B153))</f>
        <v>150</v>
      </c>
      <c r="B153" s="12" t="s">
        <v>2012</v>
      </c>
      <c r="C153" s="12" t="s">
        <v>1893</v>
      </c>
      <c r="D153" s="12" t="s">
        <v>1894</v>
      </c>
      <c r="E153" s="12" t="s">
        <v>1893</v>
      </c>
      <c r="F153" s="12" t="s">
        <v>111</v>
      </c>
      <c r="G153" s="12" t="s">
        <v>106</v>
      </c>
      <c r="H153" s="12">
        <v>20</v>
      </c>
      <c r="I153" s="13"/>
      <c r="J153" s="12"/>
    </row>
    <row r="154" spans="1:10">
      <c r="A154" s="12">
        <f>IF(B154="","",COUNTA($B$4:B154))</f>
        <v>151</v>
      </c>
      <c r="B154" s="12" t="s">
        <v>2012</v>
      </c>
      <c r="C154" s="12" t="s">
        <v>1901</v>
      </c>
      <c r="D154" s="12" t="s">
        <v>1902</v>
      </c>
      <c r="E154" s="12" t="s">
        <v>1901</v>
      </c>
      <c r="F154" s="12" t="s">
        <v>107</v>
      </c>
      <c r="G154" s="12" t="s">
        <v>109</v>
      </c>
      <c r="H154" s="12">
        <v>5</v>
      </c>
      <c r="I154" s="13">
        <v>2</v>
      </c>
      <c r="J154" s="12"/>
    </row>
    <row r="155" spans="1:10">
      <c r="A155" s="12">
        <f>IF(B155="","",COUNTA($B$4:B155))</f>
        <v>152</v>
      </c>
      <c r="B155" s="12" t="s">
        <v>2012</v>
      </c>
      <c r="C155" s="12" t="s">
        <v>1903</v>
      </c>
      <c r="D155" s="12" t="s">
        <v>1904</v>
      </c>
      <c r="E155" s="12" t="s">
        <v>1903</v>
      </c>
      <c r="F155" s="12" t="s">
        <v>107</v>
      </c>
      <c r="G155" s="12" t="s">
        <v>109</v>
      </c>
      <c r="H155" s="12">
        <v>5</v>
      </c>
      <c r="I155" s="13"/>
      <c r="J155" s="12"/>
    </row>
    <row r="156" spans="1:10">
      <c r="A156" s="12">
        <f>IF(B156="","",COUNTA($B$4:B156))</f>
        <v>153</v>
      </c>
      <c r="B156" s="12" t="s">
        <v>2012</v>
      </c>
      <c r="C156" s="12" t="s">
        <v>1905</v>
      </c>
      <c r="D156" s="12" t="s">
        <v>1906</v>
      </c>
      <c r="E156" s="12" t="s">
        <v>1905</v>
      </c>
      <c r="F156" s="12" t="s">
        <v>107</v>
      </c>
      <c r="G156" s="12" t="s">
        <v>109</v>
      </c>
      <c r="H156" s="12">
        <v>5</v>
      </c>
      <c r="I156" s="13"/>
      <c r="J156" s="12"/>
    </row>
    <row r="157" spans="1:10">
      <c r="A157" s="12">
        <f>IF(B157="","",COUNTA($B$4:B157))</f>
        <v>154</v>
      </c>
      <c r="B157" s="12" t="s">
        <v>2012</v>
      </c>
      <c r="C157" s="12" t="s">
        <v>1907</v>
      </c>
      <c r="D157" s="12" t="s">
        <v>1908</v>
      </c>
      <c r="E157" s="12" t="s">
        <v>1907</v>
      </c>
      <c r="F157" s="12" t="s">
        <v>107</v>
      </c>
      <c r="G157" s="12" t="s">
        <v>109</v>
      </c>
      <c r="H157" s="12">
        <v>7</v>
      </c>
      <c r="I157" s="13">
        <v>2</v>
      </c>
      <c r="J157" s="12"/>
    </row>
    <row r="158" spans="1:10">
      <c r="A158" s="12">
        <f>IF(B158="","",COUNTA($B$4:B158))</f>
        <v>155</v>
      </c>
      <c r="B158" s="12" t="s">
        <v>2012</v>
      </c>
      <c r="C158" s="12" t="s">
        <v>2047</v>
      </c>
      <c r="D158" s="12" t="s">
        <v>2048</v>
      </c>
      <c r="E158" s="12" t="s">
        <v>2047</v>
      </c>
      <c r="F158" s="12" t="s">
        <v>107</v>
      </c>
      <c r="G158" s="12" t="s">
        <v>109</v>
      </c>
      <c r="H158" s="12">
        <v>5</v>
      </c>
      <c r="I158" s="13"/>
      <c r="J158" s="12" t="s">
        <v>1447</v>
      </c>
    </row>
    <row r="159" spans="1:10">
      <c r="A159" s="12">
        <f>IF(B159="","",COUNTA($B$4:B159))</f>
        <v>156</v>
      </c>
      <c r="B159" s="12" t="s">
        <v>2012</v>
      </c>
      <c r="C159" s="12" t="s">
        <v>1914</v>
      </c>
      <c r="D159" s="12" t="s">
        <v>1915</v>
      </c>
      <c r="E159" s="12" t="s">
        <v>1914</v>
      </c>
      <c r="F159" s="12" t="s">
        <v>107</v>
      </c>
      <c r="G159" s="12" t="s">
        <v>109</v>
      </c>
      <c r="H159" s="12">
        <v>7</v>
      </c>
      <c r="I159" s="13">
        <v>2</v>
      </c>
      <c r="J159" s="12"/>
    </row>
    <row r="160" spans="1:10">
      <c r="A160" s="12">
        <f>IF(B160="","",COUNTA($B$4:B160))</f>
        <v>157</v>
      </c>
      <c r="B160" s="12" t="s">
        <v>2012</v>
      </c>
      <c r="C160" s="12" t="s">
        <v>1912</v>
      </c>
      <c r="D160" s="12" t="s">
        <v>1913</v>
      </c>
      <c r="E160" s="12" t="s">
        <v>1912</v>
      </c>
      <c r="F160" s="12" t="s">
        <v>111</v>
      </c>
      <c r="G160" s="12" t="s">
        <v>106</v>
      </c>
      <c r="H160" s="12">
        <v>4</v>
      </c>
      <c r="I160" s="13"/>
      <c r="J160" s="12"/>
    </row>
    <row r="161" spans="1:10">
      <c r="A161" s="12">
        <f>IF(B161="","",COUNTA($B$4:B161))</f>
        <v>158</v>
      </c>
      <c r="B161" s="12" t="s">
        <v>2012</v>
      </c>
      <c r="C161" s="12" t="s">
        <v>1863</v>
      </c>
      <c r="D161" s="12" t="s">
        <v>1395</v>
      </c>
      <c r="E161" s="12" t="s">
        <v>1863</v>
      </c>
      <c r="F161" s="12" t="s">
        <v>111</v>
      </c>
      <c r="G161" s="12" t="s">
        <v>106</v>
      </c>
      <c r="H161" s="12">
        <v>3</v>
      </c>
      <c r="I161" s="13"/>
      <c r="J161" s="12" t="s">
        <v>1447</v>
      </c>
    </row>
    <row r="162" spans="1:10">
      <c r="A162" s="12">
        <f>IF(B162="","",COUNTA($B$4:B162))</f>
        <v>159</v>
      </c>
      <c r="B162" s="12" t="s">
        <v>2012</v>
      </c>
      <c r="C162" s="12" t="s">
        <v>1921</v>
      </c>
      <c r="D162" s="12" t="s">
        <v>1922</v>
      </c>
      <c r="E162" s="12" t="s">
        <v>1921</v>
      </c>
      <c r="F162" s="12" t="s">
        <v>111</v>
      </c>
      <c r="G162" s="12" t="s">
        <v>106</v>
      </c>
      <c r="H162" s="12">
        <v>10</v>
      </c>
      <c r="I162" s="13"/>
      <c r="J162" s="12"/>
    </row>
    <row r="163" spans="1:10">
      <c r="A163" s="12">
        <f>IF(B163="","",COUNTA($B$4:B163))</f>
        <v>160</v>
      </c>
      <c r="B163" s="12" t="s">
        <v>2012</v>
      </c>
      <c r="C163" s="12" t="s">
        <v>2049</v>
      </c>
      <c r="D163" s="12" t="s">
        <v>2050</v>
      </c>
      <c r="E163" s="12" t="s">
        <v>2051</v>
      </c>
      <c r="F163" s="12" t="s">
        <v>111</v>
      </c>
      <c r="G163" s="12" t="s">
        <v>106</v>
      </c>
      <c r="H163" s="12">
        <v>10</v>
      </c>
      <c r="I163" s="13"/>
      <c r="J163" s="12"/>
    </row>
    <row r="164" spans="1:10">
      <c r="A164" s="12">
        <f>IF(B164="","",COUNTA($B$4:B164))</f>
        <v>161</v>
      </c>
      <c r="B164" s="12" t="s">
        <v>2012</v>
      </c>
      <c r="C164" s="12" t="s">
        <v>2052</v>
      </c>
      <c r="D164" s="12" t="s">
        <v>2053</v>
      </c>
      <c r="E164" s="12" t="s">
        <v>2052</v>
      </c>
      <c r="F164" s="12" t="s">
        <v>1861</v>
      </c>
      <c r="G164" s="12" t="s">
        <v>1862</v>
      </c>
      <c r="H164" s="12">
        <v>10</v>
      </c>
      <c r="I164" s="13"/>
      <c r="J164" s="12"/>
    </row>
    <row r="165" spans="1:10">
      <c r="A165" s="12">
        <f>IF(B165="","",COUNTA($B$4:B165))</f>
        <v>162</v>
      </c>
      <c r="B165" s="12" t="s">
        <v>2012</v>
      </c>
      <c r="C165" s="12" t="s">
        <v>1873</v>
      </c>
      <c r="D165" s="12" t="s">
        <v>1874</v>
      </c>
      <c r="E165" s="12" t="s">
        <v>1875</v>
      </c>
      <c r="F165" s="12" t="s">
        <v>1861</v>
      </c>
      <c r="G165" s="12" t="s">
        <v>1862</v>
      </c>
      <c r="H165" s="12">
        <v>10</v>
      </c>
      <c r="I165" s="13"/>
      <c r="J165" s="12"/>
    </row>
    <row r="166" spans="1:10">
      <c r="A166" s="12">
        <f>IF(B166="","",COUNTA($B$4:B166))</f>
        <v>163</v>
      </c>
      <c r="B166" s="12" t="s">
        <v>2012</v>
      </c>
      <c r="C166" s="12" t="s">
        <v>1876</v>
      </c>
      <c r="D166" s="12" t="s">
        <v>1874</v>
      </c>
      <c r="E166" s="12" t="s">
        <v>1876</v>
      </c>
      <c r="F166" s="12" t="s">
        <v>1861</v>
      </c>
      <c r="G166" s="12" t="s">
        <v>1862</v>
      </c>
      <c r="H166" s="12">
        <v>10</v>
      </c>
      <c r="I166" s="13"/>
      <c r="J166" s="12"/>
    </row>
    <row r="167" spans="1:10">
      <c r="A167" s="12">
        <f>IF(B167="","",COUNTA($B$4:B167))</f>
        <v>164</v>
      </c>
      <c r="B167" s="12" t="s">
        <v>2012</v>
      </c>
      <c r="C167" s="12" t="s">
        <v>1877</v>
      </c>
      <c r="D167" s="12" t="s">
        <v>1878</v>
      </c>
      <c r="E167" s="12" t="s">
        <v>1877</v>
      </c>
      <c r="F167" s="12" t="s">
        <v>1879</v>
      </c>
      <c r="G167" s="12" t="s">
        <v>1880</v>
      </c>
      <c r="H167" s="12"/>
      <c r="I167" s="13"/>
      <c r="J167" s="12"/>
    </row>
    <row r="168" spans="1:10">
      <c r="A168" s="12">
        <f>IF(B168="","",COUNTA($B$4:B168))</f>
        <v>165</v>
      </c>
      <c r="B168" s="12" t="s">
        <v>2012</v>
      </c>
      <c r="C168" s="12" t="s">
        <v>1881</v>
      </c>
      <c r="D168" s="12" t="s">
        <v>1931</v>
      </c>
      <c r="E168" s="12" t="s">
        <v>1883</v>
      </c>
      <c r="F168" s="12" t="s">
        <v>1861</v>
      </c>
      <c r="G168" s="12" t="s">
        <v>1862</v>
      </c>
      <c r="H168" s="12">
        <v>10</v>
      </c>
      <c r="I168" s="13"/>
      <c r="J168" s="12"/>
    </row>
    <row r="169" spans="1:10">
      <c r="A169" s="12">
        <f>IF(B169="","",COUNTA($B$4:B169))</f>
        <v>166</v>
      </c>
      <c r="B169" s="12" t="s">
        <v>2012</v>
      </c>
      <c r="C169" s="12" t="s">
        <v>1884</v>
      </c>
      <c r="D169" s="12" t="s">
        <v>1885</v>
      </c>
      <c r="E169" s="12" t="s">
        <v>1884</v>
      </c>
      <c r="F169" s="12" t="s">
        <v>1861</v>
      </c>
      <c r="G169" s="12" t="s">
        <v>1862</v>
      </c>
      <c r="H169" s="12">
        <v>10</v>
      </c>
      <c r="I169" s="13" t="s">
        <v>1585</v>
      </c>
      <c r="J169" s="12"/>
    </row>
    <row r="170" spans="1:10">
      <c r="A170" s="12">
        <f>IF(B170="","",COUNTA($B$4:B170))</f>
        <v>167</v>
      </c>
      <c r="B170" s="12" t="s">
        <v>2012</v>
      </c>
      <c r="C170" s="12" t="s">
        <v>1886</v>
      </c>
      <c r="D170" s="12" t="s">
        <v>1887</v>
      </c>
      <c r="E170" s="12" t="s">
        <v>1886</v>
      </c>
      <c r="F170" s="12" t="s">
        <v>1879</v>
      </c>
      <c r="G170" s="12" t="s">
        <v>1880</v>
      </c>
      <c r="H170" s="12"/>
      <c r="I170" s="13" t="s">
        <v>1585</v>
      </c>
      <c r="J170" s="12"/>
    </row>
    <row r="171" spans="1:10">
      <c r="A171" s="12">
        <f>IF(B171="","",COUNTA($B$4:B171))</f>
        <v>168</v>
      </c>
      <c r="B171" s="12" t="s">
        <v>2054</v>
      </c>
      <c r="C171" s="12" t="s">
        <v>2055</v>
      </c>
      <c r="D171" s="12" t="e">
        <v>#N/A</v>
      </c>
      <c r="E171" s="12" t="s">
        <v>2055</v>
      </c>
      <c r="F171" s="12" t="s">
        <v>1861</v>
      </c>
      <c r="G171" s="12" t="s">
        <v>1862</v>
      </c>
      <c r="H171" s="12">
        <v>15</v>
      </c>
      <c r="I171" s="13" t="s">
        <v>1585</v>
      </c>
      <c r="J171" s="12" t="s">
        <v>1918</v>
      </c>
    </row>
    <row r="172" spans="1:10">
      <c r="A172" s="12">
        <f>IF(B172="","",COUNTA($B$4:B172))</f>
        <v>169</v>
      </c>
      <c r="B172" s="12" t="s">
        <v>2054</v>
      </c>
      <c r="C172" s="12" t="s">
        <v>2014</v>
      </c>
      <c r="D172" s="12" t="s">
        <v>2015</v>
      </c>
      <c r="E172" s="12" t="s">
        <v>2014</v>
      </c>
      <c r="F172" s="12" t="s">
        <v>1861</v>
      </c>
      <c r="G172" s="12" t="s">
        <v>1862</v>
      </c>
      <c r="H172" s="12">
        <v>15</v>
      </c>
      <c r="I172" s="13" t="s">
        <v>1585</v>
      </c>
      <c r="J172" s="12"/>
    </row>
    <row r="173" spans="1:10">
      <c r="A173" s="12">
        <f>IF(B173="","",COUNTA($B$4:B173))</f>
        <v>170</v>
      </c>
      <c r="B173" s="12" t="s">
        <v>2054</v>
      </c>
      <c r="C173" s="12" t="s">
        <v>2016</v>
      </c>
      <c r="D173" s="12" t="s">
        <v>1993</v>
      </c>
      <c r="E173" s="12" t="s">
        <v>2016</v>
      </c>
      <c r="F173" s="12" t="s">
        <v>1861</v>
      </c>
      <c r="G173" s="12" t="s">
        <v>1862</v>
      </c>
      <c r="H173" s="12">
        <v>15</v>
      </c>
      <c r="I173" s="13" t="s">
        <v>1585</v>
      </c>
      <c r="J173" s="12"/>
    </row>
    <row r="174" spans="1:10">
      <c r="A174" s="12">
        <f>IF(B174="","",COUNTA($B$4:B174))</f>
        <v>171</v>
      </c>
      <c r="B174" s="12" t="s">
        <v>2054</v>
      </c>
      <c r="C174" s="12" t="s">
        <v>2017</v>
      </c>
      <c r="D174" s="12" t="s">
        <v>2018</v>
      </c>
      <c r="E174" s="12" t="s">
        <v>2017</v>
      </c>
      <c r="F174" s="12" t="s">
        <v>1899</v>
      </c>
      <c r="G174" s="12" t="s">
        <v>1900</v>
      </c>
      <c r="H174" s="12">
        <v>3</v>
      </c>
      <c r="I174" s="13" t="s">
        <v>1585</v>
      </c>
      <c r="J174" s="12"/>
    </row>
    <row r="175" spans="1:10">
      <c r="A175" s="12">
        <f>IF(B175="","",COUNTA($B$4:B175))</f>
        <v>172</v>
      </c>
      <c r="B175" s="12" t="s">
        <v>2054</v>
      </c>
      <c r="C175" s="12" t="s">
        <v>2019</v>
      </c>
      <c r="D175" s="12" t="s">
        <v>2020</v>
      </c>
      <c r="E175" s="12" t="s">
        <v>2019</v>
      </c>
      <c r="F175" s="12" t="s">
        <v>1861</v>
      </c>
      <c r="G175" s="12" t="s">
        <v>1862</v>
      </c>
      <c r="H175" s="12">
        <v>15</v>
      </c>
      <c r="I175" s="13" t="s">
        <v>1585</v>
      </c>
      <c r="J175" s="12"/>
    </row>
    <row r="176" spans="1:10">
      <c r="A176" s="12">
        <f>IF(B176="","",COUNTA($B$4:B176))</f>
        <v>173</v>
      </c>
      <c r="B176" s="12" t="s">
        <v>2054</v>
      </c>
      <c r="C176" s="12" t="s">
        <v>2021</v>
      </c>
      <c r="D176" s="12" t="s">
        <v>2022</v>
      </c>
      <c r="E176" s="12" t="s">
        <v>2021</v>
      </c>
      <c r="F176" s="12" t="s">
        <v>1899</v>
      </c>
      <c r="G176" s="12" t="s">
        <v>1900</v>
      </c>
      <c r="H176" s="12">
        <v>3</v>
      </c>
      <c r="I176" s="13" t="s">
        <v>1585</v>
      </c>
      <c r="J176" s="12"/>
    </row>
    <row r="177" spans="1:10">
      <c r="A177" s="12">
        <f>IF(B177="","",COUNTA($B$4:B177))</f>
        <v>174</v>
      </c>
      <c r="B177" s="12" t="s">
        <v>2054</v>
      </c>
      <c r="C177" s="12" t="s">
        <v>2023</v>
      </c>
      <c r="D177" s="12" t="s">
        <v>2024</v>
      </c>
      <c r="E177" s="12" t="s">
        <v>2023</v>
      </c>
      <c r="F177" s="12" t="s">
        <v>1861</v>
      </c>
      <c r="G177" s="12" t="s">
        <v>1862</v>
      </c>
      <c r="H177" s="12">
        <v>15</v>
      </c>
      <c r="I177" s="13" t="s">
        <v>1585</v>
      </c>
      <c r="J177" s="12"/>
    </row>
    <row r="178" spans="1:10">
      <c r="A178" s="12">
        <f>IF(B178="","",COUNTA($B$4:B178))</f>
        <v>175</v>
      </c>
      <c r="B178" s="12" t="s">
        <v>2054</v>
      </c>
      <c r="C178" s="12" t="s">
        <v>2025</v>
      </c>
      <c r="D178" s="12" t="s">
        <v>2026</v>
      </c>
      <c r="E178" s="12" t="s">
        <v>2025</v>
      </c>
      <c r="F178" s="12" t="s">
        <v>1899</v>
      </c>
      <c r="G178" s="12" t="s">
        <v>1900</v>
      </c>
      <c r="H178" s="12">
        <v>3</v>
      </c>
      <c r="I178" s="13" t="s">
        <v>1585</v>
      </c>
      <c r="J178" s="12"/>
    </row>
    <row r="179" spans="1:10">
      <c r="A179" s="12">
        <f>IF(B179="","",COUNTA($B$4:B179))</f>
        <v>176</v>
      </c>
      <c r="B179" s="12" t="s">
        <v>2054</v>
      </c>
      <c r="C179" s="12" t="s">
        <v>2027</v>
      </c>
      <c r="D179" s="12" t="s">
        <v>2028</v>
      </c>
      <c r="E179" s="12" t="s">
        <v>2027</v>
      </c>
      <c r="F179" s="12" t="s">
        <v>1899</v>
      </c>
      <c r="G179" s="12" t="s">
        <v>1900</v>
      </c>
      <c r="H179" s="12">
        <v>3</v>
      </c>
      <c r="I179" s="13" t="s">
        <v>1585</v>
      </c>
      <c r="J179" s="12" t="s">
        <v>1447</v>
      </c>
    </row>
    <row r="180" spans="1:10">
      <c r="A180" s="12">
        <f>IF(B180="","",COUNTA($B$4:B180))</f>
        <v>177</v>
      </c>
      <c r="B180" s="12" t="s">
        <v>2054</v>
      </c>
      <c r="C180" s="12" t="s">
        <v>2029</v>
      </c>
      <c r="D180" s="12" t="s">
        <v>2030</v>
      </c>
      <c r="E180" s="12" t="s">
        <v>2029</v>
      </c>
      <c r="F180" s="12" t="s">
        <v>1899</v>
      </c>
      <c r="G180" s="12" t="s">
        <v>1900</v>
      </c>
      <c r="H180" s="12">
        <v>3</v>
      </c>
      <c r="I180" s="13" t="s">
        <v>1585</v>
      </c>
      <c r="J180" s="12"/>
    </row>
    <row r="181" spans="1:10">
      <c r="A181" s="12">
        <f>IF(B181="","",COUNTA($B$4:B181))</f>
        <v>178</v>
      </c>
      <c r="B181" s="12" t="s">
        <v>2054</v>
      </c>
      <c r="C181" s="12" t="s">
        <v>2031</v>
      </c>
      <c r="D181" s="12"/>
      <c r="E181" s="12" t="s">
        <v>2031</v>
      </c>
      <c r="F181" s="12"/>
      <c r="G181" s="12"/>
      <c r="H181" s="12"/>
      <c r="I181" s="13" t="s">
        <v>1585</v>
      </c>
      <c r="J181" s="12" t="s">
        <v>1918</v>
      </c>
    </row>
    <row r="182" spans="1:10">
      <c r="A182" s="12">
        <f>IF(B182="","",COUNTA($B$4:B182))</f>
        <v>179</v>
      </c>
      <c r="B182" s="12" t="s">
        <v>2054</v>
      </c>
      <c r="C182" s="12" t="s">
        <v>2032</v>
      </c>
      <c r="D182" s="12" t="s">
        <v>2033</v>
      </c>
      <c r="E182" s="12" t="s">
        <v>2032</v>
      </c>
      <c r="F182" s="12" t="s">
        <v>1861</v>
      </c>
      <c r="G182" s="12" t="s">
        <v>1862</v>
      </c>
      <c r="H182" s="12">
        <v>15</v>
      </c>
      <c r="I182" s="13" t="s">
        <v>1585</v>
      </c>
      <c r="J182" s="12"/>
    </row>
    <row r="183" spans="1:10">
      <c r="A183" s="12">
        <f>IF(B183="","",COUNTA($B$4:B183))</f>
        <v>180</v>
      </c>
      <c r="B183" s="12" t="s">
        <v>2054</v>
      </c>
      <c r="C183" s="12" t="s">
        <v>2034</v>
      </c>
      <c r="D183" s="12" t="s">
        <v>2035</v>
      </c>
      <c r="E183" s="12" t="s">
        <v>2034</v>
      </c>
      <c r="F183" s="12" t="s">
        <v>1899</v>
      </c>
      <c r="G183" s="12" t="s">
        <v>1900</v>
      </c>
      <c r="H183" s="12">
        <v>3</v>
      </c>
      <c r="I183" s="13" t="s">
        <v>1585</v>
      </c>
      <c r="J183" s="12"/>
    </row>
    <row r="184" spans="1:10">
      <c r="A184" s="12">
        <f>IF(B184="","",COUNTA($B$4:B184))</f>
        <v>181</v>
      </c>
      <c r="B184" s="12" t="s">
        <v>2054</v>
      </c>
      <c r="C184" s="12" t="s">
        <v>1967</v>
      </c>
      <c r="D184" s="12" t="s">
        <v>1968</v>
      </c>
      <c r="E184" s="12" t="s">
        <v>1967</v>
      </c>
      <c r="F184" s="12" t="s">
        <v>1861</v>
      </c>
      <c r="G184" s="12" t="s">
        <v>1862</v>
      </c>
      <c r="H184" s="12">
        <v>30</v>
      </c>
      <c r="I184" s="13"/>
      <c r="J184" s="12"/>
    </row>
    <row r="185" spans="1:10">
      <c r="A185" s="12">
        <f>IF(B185="","",COUNTA($B$4:B185))</f>
        <v>182</v>
      </c>
      <c r="B185" s="12" t="s">
        <v>2054</v>
      </c>
      <c r="C185" s="12" t="s">
        <v>1963</v>
      </c>
      <c r="D185" s="12" t="s">
        <v>2038</v>
      </c>
      <c r="E185" s="12" t="s">
        <v>1963</v>
      </c>
      <c r="F185" s="12" t="s">
        <v>1861</v>
      </c>
      <c r="G185" s="12" t="s">
        <v>1862</v>
      </c>
      <c r="H185" s="12">
        <v>8</v>
      </c>
      <c r="I185" s="13" t="s">
        <v>1585</v>
      </c>
      <c r="J185" s="12" t="s">
        <v>1447</v>
      </c>
    </row>
    <row r="186" spans="1:10">
      <c r="A186" s="12">
        <f>IF(B186="","",COUNTA($B$4:B186))</f>
        <v>183</v>
      </c>
      <c r="B186" s="12" t="s">
        <v>2054</v>
      </c>
      <c r="C186" s="12" t="s">
        <v>1889</v>
      </c>
      <c r="D186" s="12" t="s">
        <v>1890</v>
      </c>
      <c r="E186" s="12" t="s">
        <v>1889</v>
      </c>
      <c r="F186" s="12" t="s">
        <v>1861</v>
      </c>
      <c r="G186" s="12" t="s">
        <v>1862</v>
      </c>
      <c r="H186" s="12">
        <v>15</v>
      </c>
      <c r="I186" s="13" t="s">
        <v>1585</v>
      </c>
      <c r="J186" s="12" t="s">
        <v>1447</v>
      </c>
    </row>
    <row r="187" spans="1:10">
      <c r="A187" s="12">
        <f>IF(B187="","",COUNTA($B$4:B187))</f>
        <v>184</v>
      </c>
      <c r="B187" s="12" t="s">
        <v>2054</v>
      </c>
      <c r="C187" s="12" t="s">
        <v>1958</v>
      </c>
      <c r="D187" s="12" t="s">
        <v>1959</v>
      </c>
      <c r="E187" s="12" t="s">
        <v>1958</v>
      </c>
      <c r="F187" s="12" t="s">
        <v>1861</v>
      </c>
      <c r="G187" s="12" t="s">
        <v>1862</v>
      </c>
      <c r="H187" s="12">
        <v>15</v>
      </c>
      <c r="I187" s="13" t="s">
        <v>1585</v>
      </c>
      <c r="J187" s="12"/>
    </row>
    <row r="188" spans="1:10">
      <c r="A188" s="12">
        <f>IF(B188="","",COUNTA($B$4:B188))</f>
        <v>185</v>
      </c>
      <c r="B188" s="12" t="s">
        <v>2054</v>
      </c>
      <c r="C188" s="12" t="s">
        <v>1889</v>
      </c>
      <c r="D188" s="12" t="s">
        <v>1890</v>
      </c>
      <c r="E188" s="12" t="s">
        <v>1889</v>
      </c>
      <c r="F188" s="12" t="s">
        <v>1861</v>
      </c>
      <c r="G188" s="12" t="s">
        <v>1862</v>
      </c>
      <c r="H188" s="12">
        <v>15</v>
      </c>
      <c r="I188" s="13" t="s">
        <v>1585</v>
      </c>
      <c r="J188" s="12"/>
    </row>
    <row r="189" spans="1:10">
      <c r="A189" s="12">
        <f>IF(B189="","",COUNTA($B$4:B189))</f>
        <v>186</v>
      </c>
      <c r="B189" s="12" t="s">
        <v>2054</v>
      </c>
      <c r="C189" s="12" t="s">
        <v>2056</v>
      </c>
      <c r="D189" s="12" t="s">
        <v>2057</v>
      </c>
      <c r="E189" s="12" t="s">
        <v>2056</v>
      </c>
      <c r="F189" s="12" t="s">
        <v>1879</v>
      </c>
      <c r="G189" s="12" t="s">
        <v>1880</v>
      </c>
      <c r="H189" s="12"/>
      <c r="I189" s="13"/>
      <c r="J189" s="12"/>
    </row>
    <row r="190" spans="1:10">
      <c r="A190" s="12">
        <f>IF(B190="","",COUNTA($B$4:B190))</f>
        <v>187</v>
      </c>
      <c r="B190" s="12" t="s">
        <v>2054</v>
      </c>
      <c r="C190" s="12" t="s">
        <v>2058</v>
      </c>
      <c r="D190" s="12" t="s">
        <v>2059</v>
      </c>
      <c r="E190" s="12" t="s">
        <v>2058</v>
      </c>
      <c r="F190" s="12" t="s">
        <v>1861</v>
      </c>
      <c r="G190" s="12" t="s">
        <v>1862</v>
      </c>
      <c r="H190" s="12">
        <v>3</v>
      </c>
      <c r="I190" s="13"/>
      <c r="J190" s="12"/>
    </row>
    <row r="191" spans="1:10">
      <c r="A191" s="12">
        <f>IF(B191="","",COUNTA($B$4:B191))</f>
        <v>188</v>
      </c>
      <c r="B191" s="12" t="s">
        <v>2054</v>
      </c>
      <c r="C191" s="12" t="s">
        <v>2060</v>
      </c>
      <c r="D191" s="12" t="s">
        <v>2061</v>
      </c>
      <c r="E191" s="12" t="s">
        <v>2060</v>
      </c>
      <c r="F191" s="12" t="s">
        <v>1861</v>
      </c>
      <c r="G191" s="12" t="s">
        <v>1862</v>
      </c>
      <c r="H191" s="12">
        <v>3</v>
      </c>
      <c r="I191" s="13"/>
      <c r="J191" s="12"/>
    </row>
    <row r="192" spans="1:10">
      <c r="A192" s="12">
        <f>IF(B192="","",COUNTA($B$4:B192))</f>
        <v>189</v>
      </c>
      <c r="B192" s="12" t="s">
        <v>2054</v>
      </c>
      <c r="C192" s="12" t="s">
        <v>2045</v>
      </c>
      <c r="D192" s="12" t="s">
        <v>2046</v>
      </c>
      <c r="E192" s="12" t="s">
        <v>2045</v>
      </c>
      <c r="F192" s="12" t="s">
        <v>1861</v>
      </c>
      <c r="G192" s="12" t="s">
        <v>1862</v>
      </c>
      <c r="H192" s="12">
        <v>3</v>
      </c>
      <c r="I192" s="13"/>
      <c r="J192" s="12"/>
    </row>
    <row r="193" spans="1:10">
      <c r="A193" s="12">
        <f>IF(B193="","",COUNTA($B$4:B193))</f>
        <v>190</v>
      </c>
      <c r="B193" s="12" t="s">
        <v>2054</v>
      </c>
      <c r="C193" s="12" t="s">
        <v>1891</v>
      </c>
      <c r="D193" s="12" t="s">
        <v>1892</v>
      </c>
      <c r="E193" s="12" t="s">
        <v>1891</v>
      </c>
      <c r="F193" s="12" t="s">
        <v>1861</v>
      </c>
      <c r="G193" s="12" t="s">
        <v>1862</v>
      </c>
      <c r="H193" s="12">
        <v>2</v>
      </c>
      <c r="I193" s="13"/>
      <c r="J193" s="12"/>
    </row>
    <row r="194" spans="1:10">
      <c r="A194" s="12">
        <f>IF(B194="","",COUNTA($B$4:B194))</f>
        <v>191</v>
      </c>
      <c r="B194" s="12" t="s">
        <v>2054</v>
      </c>
      <c r="C194" s="12" t="s">
        <v>1933</v>
      </c>
      <c r="D194" s="12" t="s">
        <v>1934</v>
      </c>
      <c r="E194" s="12" t="s">
        <v>1933</v>
      </c>
      <c r="F194" s="12" t="s">
        <v>1861</v>
      </c>
      <c r="G194" s="12" t="s">
        <v>1862</v>
      </c>
      <c r="H194" s="12">
        <v>5</v>
      </c>
      <c r="I194" s="13"/>
      <c r="J194" s="12" t="s">
        <v>1447</v>
      </c>
    </row>
    <row r="195" spans="1:10">
      <c r="A195" s="12">
        <f>IF(B195="","",COUNTA($B$4:B195))</f>
        <v>192</v>
      </c>
      <c r="B195" s="12" t="s">
        <v>2054</v>
      </c>
      <c r="C195" s="12" t="s">
        <v>1893</v>
      </c>
      <c r="D195" s="12" t="s">
        <v>1894</v>
      </c>
      <c r="E195" s="12" t="s">
        <v>1893</v>
      </c>
      <c r="F195" s="12" t="s">
        <v>1861</v>
      </c>
      <c r="G195" s="12" t="s">
        <v>1862</v>
      </c>
      <c r="H195" s="12">
        <v>20</v>
      </c>
      <c r="I195" s="13"/>
      <c r="J195" s="12"/>
    </row>
    <row r="196" spans="1:10">
      <c r="A196" s="12">
        <f>IF(B196="","",COUNTA($B$4:B196))</f>
        <v>193</v>
      </c>
      <c r="B196" s="12" t="s">
        <v>2054</v>
      </c>
      <c r="C196" s="12" t="s">
        <v>1895</v>
      </c>
      <c r="D196" s="12" t="s">
        <v>1896</v>
      </c>
      <c r="E196" s="12" t="s">
        <v>1895</v>
      </c>
      <c r="F196" s="12" t="s">
        <v>1861</v>
      </c>
      <c r="G196" s="12" t="s">
        <v>1862</v>
      </c>
      <c r="H196" s="12">
        <v>30</v>
      </c>
      <c r="I196" s="13"/>
      <c r="J196" s="12"/>
    </row>
    <row r="197" spans="1:10">
      <c r="A197" s="12">
        <f>IF(B197="","",COUNTA($B$4:B197))</f>
        <v>194</v>
      </c>
      <c r="B197" s="12" t="s">
        <v>2054</v>
      </c>
      <c r="C197" s="12" t="s">
        <v>1901</v>
      </c>
      <c r="D197" s="12" t="s">
        <v>1902</v>
      </c>
      <c r="E197" s="12" t="s">
        <v>1901</v>
      </c>
      <c r="F197" s="12" t="s">
        <v>1899</v>
      </c>
      <c r="G197" s="12" t="s">
        <v>1900</v>
      </c>
      <c r="H197" s="12">
        <v>5</v>
      </c>
      <c r="I197" s="13">
        <v>2</v>
      </c>
      <c r="J197" s="12"/>
    </row>
    <row r="198" spans="1:10">
      <c r="A198" s="12">
        <f>IF(B198="","",COUNTA($B$4:B198))</f>
        <v>195</v>
      </c>
      <c r="B198" s="12" t="s">
        <v>2054</v>
      </c>
      <c r="C198" s="12" t="s">
        <v>1903</v>
      </c>
      <c r="D198" s="12" t="s">
        <v>1904</v>
      </c>
      <c r="E198" s="12" t="s">
        <v>1903</v>
      </c>
      <c r="F198" s="12" t="s">
        <v>1899</v>
      </c>
      <c r="G198" s="12" t="s">
        <v>1900</v>
      </c>
      <c r="H198" s="12">
        <v>5</v>
      </c>
      <c r="I198" s="13"/>
      <c r="J198" s="12"/>
    </row>
    <row r="199" spans="1:10">
      <c r="A199" s="12">
        <f>IF(B199="","",COUNTA($B$4:B199))</f>
        <v>196</v>
      </c>
      <c r="B199" s="12" t="s">
        <v>2054</v>
      </c>
      <c r="C199" s="12" t="s">
        <v>1905</v>
      </c>
      <c r="D199" s="12" t="s">
        <v>1906</v>
      </c>
      <c r="E199" s="12" t="s">
        <v>1905</v>
      </c>
      <c r="F199" s="12" t="s">
        <v>1899</v>
      </c>
      <c r="G199" s="12" t="s">
        <v>1900</v>
      </c>
      <c r="H199" s="12">
        <v>5</v>
      </c>
      <c r="I199" s="13"/>
      <c r="J199" s="12"/>
    </row>
    <row r="200" spans="1:10">
      <c r="A200" s="12">
        <f>IF(B200="","",COUNTA($B$4:B200))</f>
        <v>197</v>
      </c>
      <c r="B200" s="12" t="s">
        <v>2054</v>
      </c>
      <c r="C200" s="12" t="s">
        <v>1907</v>
      </c>
      <c r="D200" s="12" t="s">
        <v>1908</v>
      </c>
      <c r="E200" s="12" t="s">
        <v>1907</v>
      </c>
      <c r="F200" s="12" t="s">
        <v>1899</v>
      </c>
      <c r="G200" s="12" t="s">
        <v>1900</v>
      </c>
      <c r="H200" s="12">
        <v>7</v>
      </c>
      <c r="I200" s="13">
        <v>2</v>
      </c>
      <c r="J200" s="12"/>
    </row>
    <row r="201" spans="1:10">
      <c r="A201" s="12">
        <f>IF(B201="","",COUNTA($B$4:B201))</f>
        <v>198</v>
      </c>
      <c r="B201" s="12" t="s">
        <v>2054</v>
      </c>
      <c r="C201" s="12" t="s">
        <v>1912</v>
      </c>
      <c r="D201" s="12" t="s">
        <v>1913</v>
      </c>
      <c r="E201" s="12" t="s">
        <v>1912</v>
      </c>
      <c r="F201" s="12" t="s">
        <v>1861</v>
      </c>
      <c r="G201" s="12" t="s">
        <v>1862</v>
      </c>
      <c r="H201" s="12">
        <v>4</v>
      </c>
      <c r="I201" s="13"/>
      <c r="J201" s="12"/>
    </row>
    <row r="202" spans="1:10">
      <c r="A202" s="12">
        <f>IF(B202="","",COUNTA($B$4:B202))</f>
        <v>199</v>
      </c>
      <c r="B202" s="12" t="s">
        <v>2054</v>
      </c>
      <c r="C202" s="12" t="s">
        <v>2062</v>
      </c>
      <c r="D202" s="12" t="s">
        <v>1913</v>
      </c>
      <c r="E202" s="12" t="s">
        <v>2062</v>
      </c>
      <c r="F202" s="12" t="s">
        <v>1861</v>
      </c>
      <c r="G202" s="12" t="s">
        <v>1862</v>
      </c>
      <c r="H202" s="12">
        <v>4</v>
      </c>
      <c r="I202" s="13"/>
      <c r="J202" s="12" t="s">
        <v>1447</v>
      </c>
    </row>
    <row r="203" spans="1:10">
      <c r="A203" s="12">
        <f>IF(B203="","",COUNTA($B$4:B203))</f>
        <v>200</v>
      </c>
      <c r="B203" s="12" t="s">
        <v>2054</v>
      </c>
      <c r="C203" s="12" t="s">
        <v>1914</v>
      </c>
      <c r="D203" s="12" t="s">
        <v>1915</v>
      </c>
      <c r="E203" s="12" t="s">
        <v>2063</v>
      </c>
      <c r="F203" s="12" t="s">
        <v>1899</v>
      </c>
      <c r="G203" s="12" t="s">
        <v>1900</v>
      </c>
      <c r="H203" s="12">
        <v>7</v>
      </c>
      <c r="I203" s="13">
        <v>2</v>
      </c>
      <c r="J203" s="12"/>
    </row>
    <row r="204" spans="1:10">
      <c r="A204" s="12">
        <f>IF(B204="","",COUNTA($B$4:B204))</f>
        <v>201</v>
      </c>
      <c r="B204" s="12" t="s">
        <v>2054</v>
      </c>
      <c r="C204" s="12" t="s">
        <v>1916</v>
      </c>
      <c r="D204" s="12" t="s">
        <v>1917</v>
      </c>
      <c r="E204" s="12" t="s">
        <v>1916</v>
      </c>
      <c r="F204" s="12" t="s">
        <v>1899</v>
      </c>
      <c r="G204" s="12" t="s">
        <v>1900</v>
      </c>
      <c r="H204" s="12">
        <v>5</v>
      </c>
      <c r="I204" s="13"/>
      <c r="J204" s="12" t="s">
        <v>1447</v>
      </c>
    </row>
    <row r="205" spans="1:10">
      <c r="A205" s="12">
        <f>IF(B205="","",COUNTA($B$4:B205))</f>
        <v>202</v>
      </c>
      <c r="B205" s="12" t="s">
        <v>2054</v>
      </c>
      <c r="C205" s="12" t="s">
        <v>2064</v>
      </c>
      <c r="D205" s="12" t="s">
        <v>2065</v>
      </c>
      <c r="E205" s="12" t="s">
        <v>2064</v>
      </c>
      <c r="F205" s="12" t="s">
        <v>1861</v>
      </c>
      <c r="G205" s="12" t="s">
        <v>1862</v>
      </c>
      <c r="H205" s="12">
        <v>10</v>
      </c>
      <c r="I205" s="13"/>
      <c r="J205" s="12"/>
    </row>
    <row r="206" spans="1:10">
      <c r="A206" s="12">
        <f>IF(B206="","",COUNTA($B$4:B206))</f>
        <v>203</v>
      </c>
      <c r="B206" s="12" t="s">
        <v>2054</v>
      </c>
      <c r="C206" s="12" t="s">
        <v>1863</v>
      </c>
      <c r="D206" s="12" t="s">
        <v>1864</v>
      </c>
      <c r="E206" s="12" t="s">
        <v>1863</v>
      </c>
      <c r="F206" s="12" t="s">
        <v>1861</v>
      </c>
      <c r="G206" s="12" t="s">
        <v>1862</v>
      </c>
      <c r="H206" s="12">
        <v>3</v>
      </c>
      <c r="I206" s="13"/>
      <c r="J206" s="12"/>
    </row>
    <row r="207" spans="1:10">
      <c r="A207" s="12">
        <f>IF(B207="","",COUNTA($B$4:B207))</f>
        <v>204</v>
      </c>
      <c r="B207" s="12" t="s">
        <v>2054</v>
      </c>
      <c r="C207" s="12" t="s">
        <v>1921</v>
      </c>
      <c r="D207" s="12" t="s">
        <v>1922</v>
      </c>
      <c r="E207" s="12" t="s">
        <v>1921</v>
      </c>
      <c r="F207" s="12" t="s">
        <v>1861</v>
      </c>
      <c r="G207" s="12" t="s">
        <v>1862</v>
      </c>
      <c r="H207" s="12">
        <v>10</v>
      </c>
      <c r="I207" s="13"/>
      <c r="J207" s="12"/>
    </row>
    <row r="208" spans="1:10">
      <c r="A208" s="12">
        <f>IF(B208="","",COUNTA($B$4:B208))</f>
        <v>205</v>
      </c>
      <c r="B208" s="12" t="s">
        <v>2054</v>
      </c>
      <c r="C208" s="12" t="s">
        <v>2052</v>
      </c>
      <c r="D208" s="12" t="s">
        <v>2053</v>
      </c>
      <c r="E208" s="12" t="s">
        <v>2052</v>
      </c>
      <c r="F208" s="12" t="s">
        <v>1861</v>
      </c>
      <c r="G208" s="12" t="s">
        <v>1862</v>
      </c>
      <c r="H208" s="12">
        <v>10</v>
      </c>
      <c r="I208" s="13"/>
      <c r="J208" s="12" t="s">
        <v>1447</v>
      </c>
    </row>
    <row r="209" spans="1:10">
      <c r="A209" s="12">
        <f>IF(B209="","",COUNTA($B$4:B209))</f>
        <v>206</v>
      </c>
      <c r="B209" s="12" t="s">
        <v>2054</v>
      </c>
      <c r="C209" s="12" t="s">
        <v>1873</v>
      </c>
      <c r="D209" s="12" t="s">
        <v>1874</v>
      </c>
      <c r="E209" s="12" t="s">
        <v>1875</v>
      </c>
      <c r="F209" s="12" t="s">
        <v>1861</v>
      </c>
      <c r="G209" s="12" t="s">
        <v>1862</v>
      </c>
      <c r="H209" s="12">
        <v>10</v>
      </c>
      <c r="I209" s="13"/>
      <c r="J209" s="12"/>
    </row>
    <row r="210" spans="1:10">
      <c r="A210" s="12">
        <f>IF(B210="","",COUNTA($B$4:B210))</f>
        <v>207</v>
      </c>
      <c r="B210" s="12" t="s">
        <v>2054</v>
      </c>
      <c r="C210" s="12" t="s">
        <v>1876</v>
      </c>
      <c r="D210" s="12" t="s">
        <v>1874</v>
      </c>
      <c r="E210" s="12" t="s">
        <v>1876</v>
      </c>
      <c r="F210" s="12" t="s">
        <v>1861</v>
      </c>
      <c r="G210" s="12" t="s">
        <v>1862</v>
      </c>
      <c r="H210" s="12">
        <v>10</v>
      </c>
      <c r="I210" s="13"/>
      <c r="J210" s="12"/>
    </row>
    <row r="211" spans="1:10">
      <c r="A211" s="12">
        <f>IF(B211="","",COUNTA($B$4:B211))</f>
        <v>208</v>
      </c>
      <c r="B211" s="12" t="s">
        <v>2054</v>
      </c>
      <c r="C211" s="12" t="s">
        <v>1877</v>
      </c>
      <c r="D211" s="12" t="s">
        <v>1878</v>
      </c>
      <c r="E211" s="12" t="s">
        <v>1877</v>
      </c>
      <c r="F211" s="12" t="s">
        <v>1879</v>
      </c>
      <c r="G211" s="12" t="s">
        <v>1880</v>
      </c>
      <c r="H211" s="12"/>
      <c r="I211" s="13"/>
      <c r="J211" s="12"/>
    </row>
    <row r="212" spans="1:10">
      <c r="A212" s="12">
        <f>IF(B212="","",COUNTA($B$4:B212))</f>
        <v>209</v>
      </c>
      <c r="B212" s="12" t="s">
        <v>2054</v>
      </c>
      <c r="C212" s="12" t="s">
        <v>1881</v>
      </c>
      <c r="D212" s="12" t="s">
        <v>1931</v>
      </c>
      <c r="E212" s="12" t="s">
        <v>1883</v>
      </c>
      <c r="F212" s="12" t="s">
        <v>1861</v>
      </c>
      <c r="G212" s="12" t="s">
        <v>1862</v>
      </c>
      <c r="H212" s="12">
        <v>10</v>
      </c>
      <c r="I212" s="13"/>
      <c r="J212" s="12"/>
    </row>
    <row r="213" spans="1:10">
      <c r="A213" s="12">
        <f>IF(B213="","",COUNTA($B$4:B213))</f>
        <v>210</v>
      </c>
      <c r="B213" s="12" t="s">
        <v>2054</v>
      </c>
      <c r="C213" s="12" t="s">
        <v>1884</v>
      </c>
      <c r="D213" s="12" t="s">
        <v>1885</v>
      </c>
      <c r="E213" s="12" t="s">
        <v>1884</v>
      </c>
      <c r="F213" s="12" t="s">
        <v>1861</v>
      </c>
      <c r="G213" s="12" t="s">
        <v>1862</v>
      </c>
      <c r="H213" s="12">
        <v>10</v>
      </c>
      <c r="I213" s="13" t="s">
        <v>1585</v>
      </c>
      <c r="J213" s="12"/>
    </row>
    <row r="214" spans="1:10">
      <c r="A214" s="12">
        <f>IF(B214="","",COUNTA($B$4:B214))</f>
        <v>211</v>
      </c>
      <c r="B214" s="12" t="s">
        <v>2054</v>
      </c>
      <c r="C214" s="12" t="s">
        <v>1886</v>
      </c>
      <c r="D214" s="12" t="s">
        <v>1887</v>
      </c>
      <c r="E214" s="12" t="s">
        <v>1886</v>
      </c>
      <c r="F214" s="12" t="s">
        <v>1879</v>
      </c>
      <c r="G214" s="12" t="s">
        <v>1880</v>
      </c>
      <c r="H214" s="12"/>
      <c r="I214" s="13" t="s">
        <v>1585</v>
      </c>
      <c r="J214" s="12"/>
    </row>
    <row r="215" spans="1:10">
      <c r="A215" s="12">
        <f>IF(B215="","",COUNTA($B$4:B215))</f>
        <v>212</v>
      </c>
      <c r="B215" s="12" t="s">
        <v>2066</v>
      </c>
      <c r="C215" s="12" t="s">
        <v>2067</v>
      </c>
      <c r="D215" s="12" t="s">
        <v>2068</v>
      </c>
      <c r="E215" s="12" t="s">
        <v>2067</v>
      </c>
      <c r="F215" s="12" t="s">
        <v>1861</v>
      </c>
      <c r="G215" s="12" t="s">
        <v>1862</v>
      </c>
      <c r="H215" s="12">
        <v>12</v>
      </c>
      <c r="I215" s="13"/>
      <c r="J215" s="12"/>
    </row>
    <row r="216" spans="1:10">
      <c r="A216" s="12">
        <f>IF(B216="","",COUNTA($B$4:B216))</f>
        <v>213</v>
      </c>
      <c r="B216" s="12" t="s">
        <v>2066</v>
      </c>
      <c r="C216" s="12" t="s">
        <v>1889</v>
      </c>
      <c r="D216" s="12" t="s">
        <v>1890</v>
      </c>
      <c r="E216" s="12" t="s">
        <v>1889</v>
      </c>
      <c r="F216" s="12" t="s">
        <v>1861</v>
      </c>
      <c r="G216" s="12" t="s">
        <v>1862</v>
      </c>
      <c r="H216" s="12">
        <v>15</v>
      </c>
      <c r="I216" s="13"/>
      <c r="J216" s="12" t="s">
        <v>1447</v>
      </c>
    </row>
    <row r="217" spans="1:10">
      <c r="A217" s="12">
        <f>IF(B217="","",COUNTA($B$4:B217))</f>
        <v>214</v>
      </c>
      <c r="B217" s="12" t="s">
        <v>2066</v>
      </c>
      <c r="C217" s="12" t="s">
        <v>1958</v>
      </c>
      <c r="D217" s="12" t="s">
        <v>1959</v>
      </c>
      <c r="E217" s="12" t="s">
        <v>1958</v>
      </c>
      <c r="F217" s="12" t="s">
        <v>1861</v>
      </c>
      <c r="G217" s="12" t="s">
        <v>1862</v>
      </c>
      <c r="H217" s="12">
        <v>15</v>
      </c>
      <c r="I217" s="13" t="s">
        <v>1585</v>
      </c>
      <c r="J217" s="12"/>
    </row>
    <row r="218" spans="1:10">
      <c r="A218" s="12">
        <f>IF(B218="","",COUNTA($B$4:B218))</f>
        <v>215</v>
      </c>
      <c r="B218" s="12" t="s">
        <v>2066</v>
      </c>
      <c r="C218" s="12" t="s">
        <v>1963</v>
      </c>
      <c r="D218" s="12" t="s">
        <v>2038</v>
      </c>
      <c r="E218" s="12" t="s">
        <v>1963</v>
      </c>
      <c r="F218" s="12" t="s">
        <v>1861</v>
      </c>
      <c r="G218" s="12" t="s">
        <v>1862</v>
      </c>
      <c r="H218" s="12">
        <v>2</v>
      </c>
      <c r="I218" s="13"/>
      <c r="J218" s="12"/>
    </row>
    <row r="219" spans="1:10">
      <c r="A219" s="12">
        <f>IF(B219="","",COUNTA($B$4:B219))</f>
        <v>216</v>
      </c>
      <c r="B219" s="12" t="s">
        <v>2066</v>
      </c>
      <c r="C219" s="12" t="s">
        <v>1891</v>
      </c>
      <c r="D219" s="12" t="s">
        <v>1892</v>
      </c>
      <c r="E219" s="12" t="s">
        <v>1891</v>
      </c>
      <c r="F219" s="12" t="s">
        <v>1861</v>
      </c>
      <c r="G219" s="12" t="s">
        <v>1862</v>
      </c>
      <c r="H219" s="12">
        <v>2</v>
      </c>
      <c r="I219" s="13"/>
      <c r="J219" s="12"/>
    </row>
    <row r="220" spans="1:10">
      <c r="A220" s="12">
        <f>IF(B220="","",COUNTA($B$4:B220))</f>
        <v>217</v>
      </c>
      <c r="B220" s="12" t="s">
        <v>2066</v>
      </c>
      <c r="C220" s="12" t="s">
        <v>1893</v>
      </c>
      <c r="D220" s="12" t="s">
        <v>1894</v>
      </c>
      <c r="E220" s="12" t="s">
        <v>1893</v>
      </c>
      <c r="F220" s="12" t="s">
        <v>1861</v>
      </c>
      <c r="G220" s="12" t="s">
        <v>1862</v>
      </c>
      <c r="H220" s="12">
        <v>20</v>
      </c>
      <c r="I220" s="13"/>
      <c r="J220" s="12"/>
    </row>
    <row r="221" spans="1:10">
      <c r="A221" s="12">
        <f>IF(B221="","",COUNTA($B$4:B221))</f>
        <v>218</v>
      </c>
      <c r="B221" s="12" t="s">
        <v>2066</v>
      </c>
      <c r="C221" s="12" t="s">
        <v>1895</v>
      </c>
      <c r="D221" s="12" t="s">
        <v>1896</v>
      </c>
      <c r="E221" s="12" t="s">
        <v>1895</v>
      </c>
      <c r="F221" s="12" t="s">
        <v>1861</v>
      </c>
      <c r="G221" s="12" t="s">
        <v>1862</v>
      </c>
      <c r="H221" s="12">
        <v>30</v>
      </c>
      <c r="I221" s="13"/>
      <c r="J221" s="12"/>
    </row>
    <row r="222" spans="1:10">
      <c r="A222" s="12">
        <f>IF(B222="","",COUNTA($B$4:B222))</f>
        <v>219</v>
      </c>
      <c r="B222" s="12" t="s">
        <v>2066</v>
      </c>
      <c r="C222" s="12" t="s">
        <v>1901</v>
      </c>
      <c r="D222" s="12" t="s">
        <v>1902</v>
      </c>
      <c r="E222" s="12" t="s">
        <v>1901</v>
      </c>
      <c r="F222" s="12" t="s">
        <v>1899</v>
      </c>
      <c r="G222" s="12" t="s">
        <v>1900</v>
      </c>
      <c r="H222" s="12">
        <v>5</v>
      </c>
      <c r="I222" s="13">
        <v>2</v>
      </c>
      <c r="J222" s="12"/>
    </row>
    <row r="223" spans="1:10">
      <c r="A223" s="12">
        <f>IF(B223="","",COUNTA($B$4:B223))</f>
        <v>220</v>
      </c>
      <c r="B223" s="12" t="s">
        <v>2066</v>
      </c>
      <c r="C223" s="12" t="s">
        <v>1903</v>
      </c>
      <c r="D223" s="12" t="s">
        <v>1904</v>
      </c>
      <c r="E223" s="12" t="s">
        <v>1903</v>
      </c>
      <c r="F223" s="12" t="s">
        <v>1899</v>
      </c>
      <c r="G223" s="12" t="s">
        <v>1900</v>
      </c>
      <c r="H223" s="12">
        <v>5</v>
      </c>
      <c r="I223" s="13"/>
      <c r="J223" s="12"/>
    </row>
    <row r="224" spans="1:10">
      <c r="A224" s="12">
        <f>IF(B224="","",COUNTA($B$4:B224))</f>
        <v>221</v>
      </c>
      <c r="B224" s="12" t="s">
        <v>2066</v>
      </c>
      <c r="C224" s="12" t="s">
        <v>1905</v>
      </c>
      <c r="D224" s="12" t="s">
        <v>1906</v>
      </c>
      <c r="E224" s="12" t="s">
        <v>1905</v>
      </c>
      <c r="F224" s="12" t="s">
        <v>1899</v>
      </c>
      <c r="G224" s="12" t="s">
        <v>1900</v>
      </c>
      <c r="H224" s="12">
        <v>5</v>
      </c>
      <c r="I224" s="13"/>
      <c r="J224" s="12"/>
    </row>
    <row r="225" spans="1:10">
      <c r="A225" s="12">
        <f>IF(B225="","",COUNTA($B$4:B225))</f>
        <v>222</v>
      </c>
      <c r="B225" s="12" t="s">
        <v>2066</v>
      </c>
      <c r="C225" s="12" t="s">
        <v>1907</v>
      </c>
      <c r="D225" s="12" t="s">
        <v>1908</v>
      </c>
      <c r="E225" s="12" t="s">
        <v>1907</v>
      </c>
      <c r="F225" s="12" t="s">
        <v>1899</v>
      </c>
      <c r="G225" s="12" t="s">
        <v>1900</v>
      </c>
      <c r="H225" s="12">
        <v>7</v>
      </c>
      <c r="I225" s="13">
        <v>2</v>
      </c>
      <c r="J225" s="12"/>
    </row>
    <row r="226" spans="1:10">
      <c r="A226" s="12">
        <f>IF(B226="","",COUNTA($B$4:B226))</f>
        <v>223</v>
      </c>
      <c r="B226" s="12" t="s">
        <v>2066</v>
      </c>
      <c r="C226" s="12" t="s">
        <v>1911</v>
      </c>
      <c r="D226" s="12" t="s">
        <v>1910</v>
      </c>
      <c r="E226" s="12" t="s">
        <v>1911</v>
      </c>
      <c r="F226" s="12" t="s">
        <v>1899</v>
      </c>
      <c r="G226" s="12" t="s">
        <v>1900</v>
      </c>
      <c r="H226" s="12">
        <v>5</v>
      </c>
      <c r="I226" s="13" t="s">
        <v>1585</v>
      </c>
      <c r="J226" s="12"/>
    </row>
    <row r="227" spans="1:10">
      <c r="A227" s="12">
        <f>IF(B227="","",COUNTA($B$4:B227))</f>
        <v>224</v>
      </c>
      <c r="B227" s="12" t="s">
        <v>2066</v>
      </c>
      <c r="C227" s="12" t="s">
        <v>1912</v>
      </c>
      <c r="D227" s="12" t="s">
        <v>1913</v>
      </c>
      <c r="E227" s="12" t="s">
        <v>1912</v>
      </c>
      <c r="F227" s="12" t="s">
        <v>1861</v>
      </c>
      <c r="G227" s="12" t="s">
        <v>1862</v>
      </c>
      <c r="H227" s="12">
        <v>4</v>
      </c>
      <c r="I227" s="13"/>
      <c r="J227" s="12"/>
    </row>
    <row r="228" spans="1:10">
      <c r="A228" s="12">
        <f>IF(B228="","",COUNTA($B$4:B228))</f>
        <v>225</v>
      </c>
      <c r="B228" s="12" t="s">
        <v>2066</v>
      </c>
      <c r="C228" s="12" t="s">
        <v>1914</v>
      </c>
      <c r="D228" s="12" t="s">
        <v>1915</v>
      </c>
      <c r="E228" s="12" t="s">
        <v>1914</v>
      </c>
      <c r="F228" s="12" t="s">
        <v>1899</v>
      </c>
      <c r="G228" s="12" t="s">
        <v>1900</v>
      </c>
      <c r="H228" s="12">
        <v>7</v>
      </c>
      <c r="I228" s="13">
        <v>2</v>
      </c>
      <c r="J228" s="12"/>
    </row>
    <row r="229" spans="1:10">
      <c r="A229" s="12">
        <f>IF(B229="","",COUNTA($B$4:B229))</f>
        <v>226</v>
      </c>
      <c r="B229" s="12" t="s">
        <v>2066</v>
      </c>
      <c r="C229" s="12" t="s">
        <v>1919</v>
      </c>
      <c r="D229" s="12" t="s">
        <v>1920</v>
      </c>
      <c r="E229" s="12" t="s">
        <v>1919</v>
      </c>
      <c r="F229" s="12" t="s">
        <v>1861</v>
      </c>
      <c r="G229" s="12" t="s">
        <v>1862</v>
      </c>
      <c r="H229" s="12">
        <v>50</v>
      </c>
      <c r="I229" s="13"/>
      <c r="J229" s="12"/>
    </row>
    <row r="230" spans="1:10">
      <c r="A230" s="12">
        <f>IF(B230="","",COUNTA($B$4:B230))</f>
        <v>227</v>
      </c>
      <c r="B230" s="12" t="s">
        <v>2066</v>
      </c>
      <c r="C230" s="12" t="s">
        <v>1941</v>
      </c>
      <c r="D230" s="12" t="s">
        <v>1942</v>
      </c>
      <c r="E230" s="12" t="s">
        <v>1941</v>
      </c>
      <c r="F230" s="12" t="s">
        <v>1861</v>
      </c>
      <c r="G230" s="12" t="s">
        <v>1862</v>
      </c>
      <c r="H230" s="12">
        <v>50</v>
      </c>
      <c r="I230" s="13"/>
      <c r="J230" s="12"/>
    </row>
    <row r="231" spans="1:10">
      <c r="A231" s="12">
        <f>IF(B231="","",COUNTA($B$4:B231))</f>
        <v>228</v>
      </c>
      <c r="B231" s="12" t="s">
        <v>2066</v>
      </c>
      <c r="C231" s="12" t="s">
        <v>1921</v>
      </c>
      <c r="D231" s="12" t="s">
        <v>1922</v>
      </c>
      <c r="E231" s="12" t="s">
        <v>1921</v>
      </c>
      <c r="F231" s="12" t="s">
        <v>1861</v>
      </c>
      <c r="G231" s="12" t="s">
        <v>1862</v>
      </c>
      <c r="H231" s="12">
        <v>10</v>
      </c>
      <c r="I231" s="13"/>
      <c r="J231" s="12"/>
    </row>
    <row r="232" spans="1:10">
      <c r="A232" s="12">
        <f>IF(B232="","",COUNTA($B$4:B232))</f>
        <v>229</v>
      </c>
      <c r="B232" s="12" t="s">
        <v>2066</v>
      </c>
      <c r="C232" s="12" t="s">
        <v>1863</v>
      </c>
      <c r="D232" s="12" t="s">
        <v>1864</v>
      </c>
      <c r="E232" s="12" t="s">
        <v>1863</v>
      </c>
      <c r="F232" s="12" t="s">
        <v>1861</v>
      </c>
      <c r="G232" s="12" t="s">
        <v>1862</v>
      </c>
      <c r="H232" s="12">
        <v>3</v>
      </c>
      <c r="I232" s="13"/>
      <c r="J232" s="12"/>
    </row>
    <row r="233" spans="1:10">
      <c r="A233" s="12">
        <f>IF(B233="","",COUNTA($B$4:B233))</f>
        <v>230</v>
      </c>
      <c r="B233" s="12" t="s">
        <v>2066</v>
      </c>
      <c r="C233" s="12" t="s">
        <v>1923</v>
      </c>
      <c r="D233" s="12" t="s">
        <v>1924</v>
      </c>
      <c r="E233" s="12" t="s">
        <v>1923</v>
      </c>
      <c r="F233" s="12" t="s">
        <v>1861</v>
      </c>
      <c r="G233" s="12" t="s">
        <v>1862</v>
      </c>
      <c r="H233" s="12">
        <v>10</v>
      </c>
      <c r="I233" s="13"/>
      <c r="J233" s="12"/>
    </row>
    <row r="234" spans="1:10">
      <c r="A234" s="12">
        <f>IF(B234="","",COUNTA($B$4:B234))</f>
        <v>231</v>
      </c>
      <c r="B234" s="12" t="s">
        <v>2066</v>
      </c>
      <c r="C234" s="12" t="s">
        <v>1873</v>
      </c>
      <c r="D234" s="12" t="s">
        <v>624</v>
      </c>
      <c r="E234" s="12" t="s">
        <v>1440</v>
      </c>
      <c r="F234" s="12" t="s">
        <v>1861</v>
      </c>
      <c r="G234" s="12" t="s">
        <v>1862</v>
      </c>
      <c r="H234" s="12">
        <v>10</v>
      </c>
      <c r="I234" s="13"/>
      <c r="J234" s="12"/>
    </row>
    <row r="235" spans="1:10">
      <c r="A235" s="12">
        <f>IF(B235="","",COUNTA($B$4:B235))</f>
        <v>232</v>
      </c>
      <c r="B235" s="12" t="s">
        <v>2066</v>
      </c>
      <c r="C235" s="12" t="s">
        <v>1876</v>
      </c>
      <c r="D235" s="12" t="s">
        <v>624</v>
      </c>
      <c r="E235" s="12" t="s">
        <v>112</v>
      </c>
      <c r="F235" s="12" t="s">
        <v>111</v>
      </c>
      <c r="G235" s="12" t="s">
        <v>106</v>
      </c>
      <c r="H235" s="12">
        <v>10</v>
      </c>
      <c r="I235" s="13"/>
      <c r="J235" s="12"/>
    </row>
    <row r="236" spans="1:10">
      <c r="A236" s="12">
        <f>IF(B236="","",COUNTA($B$4:B236))</f>
        <v>233</v>
      </c>
      <c r="B236" s="12" t="s">
        <v>2066</v>
      </c>
      <c r="C236" s="12" t="s">
        <v>1877</v>
      </c>
      <c r="D236" s="12" t="s">
        <v>548</v>
      </c>
      <c r="E236" s="12" t="s">
        <v>113</v>
      </c>
      <c r="F236" s="12" t="s">
        <v>86</v>
      </c>
      <c r="G236" s="12" t="s">
        <v>108</v>
      </c>
      <c r="H236" s="12"/>
      <c r="I236" s="13"/>
      <c r="J236" s="12"/>
    </row>
    <row r="237" spans="1:10">
      <c r="A237" s="12">
        <f>IF(B237="","",COUNTA($B$4:B237))</f>
        <v>234</v>
      </c>
      <c r="B237" s="12" t="s">
        <v>2066</v>
      </c>
      <c r="C237" s="12" t="s">
        <v>1881</v>
      </c>
      <c r="D237" s="12" t="s">
        <v>626</v>
      </c>
      <c r="E237" s="12" t="s">
        <v>1442</v>
      </c>
      <c r="F237" s="12" t="s">
        <v>111</v>
      </c>
      <c r="G237" s="12" t="s">
        <v>106</v>
      </c>
      <c r="H237" s="12">
        <v>10</v>
      </c>
      <c r="I237" s="13"/>
      <c r="J237" s="12"/>
    </row>
    <row r="238" spans="1:10">
      <c r="A238" s="12">
        <f>IF(B238="","",COUNTA($B$4:B238))</f>
        <v>235</v>
      </c>
      <c r="B238" s="12" t="s">
        <v>2066</v>
      </c>
      <c r="C238" s="12" t="s">
        <v>1884</v>
      </c>
      <c r="D238" s="12" t="s">
        <v>390</v>
      </c>
      <c r="E238" s="12" t="s">
        <v>114</v>
      </c>
      <c r="F238" s="12" t="s">
        <v>111</v>
      </c>
      <c r="G238" s="12" t="s">
        <v>106</v>
      </c>
      <c r="H238" s="12">
        <v>10</v>
      </c>
      <c r="I238" s="13" t="s">
        <v>1585</v>
      </c>
      <c r="J238" s="12"/>
    </row>
    <row r="239" spans="1:10">
      <c r="A239" s="12">
        <f>IF(B239="","",COUNTA($B$4:B239))</f>
        <v>236</v>
      </c>
      <c r="B239" s="12" t="s">
        <v>2066</v>
      </c>
      <c r="C239" s="12" t="s">
        <v>1886</v>
      </c>
      <c r="D239" s="12" t="s">
        <v>394</v>
      </c>
      <c r="E239" s="12" t="s">
        <v>115</v>
      </c>
      <c r="F239" s="12" t="s">
        <v>86</v>
      </c>
      <c r="G239" s="12" t="s">
        <v>108</v>
      </c>
      <c r="H239" s="12"/>
      <c r="I239" s="13" t="s">
        <v>1585</v>
      </c>
      <c r="J239" s="12"/>
    </row>
    <row r="240" spans="1:10">
      <c r="A240" s="12">
        <f>IF(B240="","",COUNTA($B$4:B240))</f>
        <v>237</v>
      </c>
      <c r="B240" s="12" t="s">
        <v>2069</v>
      </c>
      <c r="C240" s="12" t="s">
        <v>1921</v>
      </c>
      <c r="D240" s="12" t="s">
        <v>1449</v>
      </c>
      <c r="E240" s="12" t="s">
        <v>117</v>
      </c>
      <c r="F240" s="12" t="s">
        <v>111</v>
      </c>
      <c r="G240" s="12" t="s">
        <v>106</v>
      </c>
      <c r="H240" s="12">
        <v>15</v>
      </c>
      <c r="I240" s="13"/>
      <c r="J240" s="12"/>
    </row>
    <row r="241" spans="1:10">
      <c r="A241" s="12">
        <f>IF(B241="","",COUNTA($B$4:B241))</f>
        <v>238</v>
      </c>
      <c r="B241" s="12" t="s">
        <v>2069</v>
      </c>
      <c r="C241" s="12" t="s">
        <v>2070</v>
      </c>
      <c r="D241" s="12" t="s">
        <v>1020</v>
      </c>
      <c r="E241" s="12" t="s">
        <v>1466</v>
      </c>
      <c r="F241" s="12" t="s">
        <v>86</v>
      </c>
      <c r="G241" s="12" t="s">
        <v>108</v>
      </c>
      <c r="H241" s="12"/>
      <c r="I241" s="13"/>
      <c r="J241" s="12"/>
    </row>
    <row r="242" spans="1:10">
      <c r="A242" s="12">
        <f>IF(B242="","",COUNTA($B$4:B242))</f>
        <v>239</v>
      </c>
      <c r="B242" s="12" t="s">
        <v>2069</v>
      </c>
      <c r="C242" s="12" t="s">
        <v>1933</v>
      </c>
      <c r="D242" s="12" t="s">
        <v>457</v>
      </c>
      <c r="E242" s="12" t="s">
        <v>121</v>
      </c>
      <c r="F242" s="12" t="s">
        <v>111</v>
      </c>
      <c r="G242" s="12" t="s">
        <v>106</v>
      </c>
      <c r="H242" s="12">
        <v>5</v>
      </c>
      <c r="I242" s="13"/>
      <c r="J242" s="12"/>
    </row>
    <row r="243" spans="1:10">
      <c r="A243" s="12">
        <f>IF(B243="","",COUNTA($B$4:B243))</f>
        <v>240</v>
      </c>
      <c r="B243" s="12" t="s">
        <v>2069</v>
      </c>
      <c r="C243" s="12" t="s">
        <v>1893</v>
      </c>
      <c r="D243" s="12" t="s">
        <v>568</v>
      </c>
      <c r="E243" s="12" t="s">
        <v>122</v>
      </c>
      <c r="F243" s="12" t="s">
        <v>111</v>
      </c>
      <c r="G243" s="12" t="s">
        <v>106</v>
      </c>
      <c r="H243" s="12">
        <v>20</v>
      </c>
      <c r="I243" s="13"/>
      <c r="J243" s="12"/>
    </row>
    <row r="244" spans="1:10">
      <c r="A244" s="12">
        <f>IF(B244="","",COUNTA($B$4:B244))</f>
        <v>241</v>
      </c>
      <c r="B244" s="12" t="s">
        <v>2069</v>
      </c>
      <c r="C244" s="12" t="s">
        <v>1895</v>
      </c>
      <c r="D244" s="12" t="s">
        <v>657</v>
      </c>
      <c r="E244" s="12" t="s">
        <v>123</v>
      </c>
      <c r="F244" s="12" t="s">
        <v>111</v>
      </c>
      <c r="G244" s="12" t="s">
        <v>106</v>
      </c>
      <c r="H244" s="12">
        <v>30</v>
      </c>
      <c r="I244" s="13"/>
      <c r="J244" s="12"/>
    </row>
    <row r="245" spans="1:10">
      <c r="A245" s="12">
        <f>IF(B245="","",COUNTA($B$4:B245))</f>
        <v>242</v>
      </c>
      <c r="B245" s="12" t="s">
        <v>2069</v>
      </c>
      <c r="C245" s="12" t="s">
        <v>1982</v>
      </c>
      <c r="D245" s="12" t="s">
        <v>1022</v>
      </c>
      <c r="E245" s="12" t="s">
        <v>1467</v>
      </c>
      <c r="F245" s="12" t="s">
        <v>111</v>
      </c>
      <c r="G245" s="12" t="s">
        <v>106</v>
      </c>
      <c r="H245" s="12">
        <v>30</v>
      </c>
      <c r="I245" s="13"/>
      <c r="J245" s="12"/>
    </row>
    <row r="246" spans="1:10">
      <c r="A246" s="12">
        <f>IF(B246="","",COUNTA($B$4:B246))</f>
        <v>243</v>
      </c>
      <c r="B246" s="12" t="s">
        <v>2069</v>
      </c>
      <c r="C246" s="12" t="s">
        <v>2071</v>
      </c>
      <c r="D246" s="12" t="s">
        <v>774</v>
      </c>
      <c r="E246" s="12" t="s">
        <v>1310</v>
      </c>
      <c r="F246" s="12" t="s">
        <v>107</v>
      </c>
      <c r="G246" s="12" t="s">
        <v>109</v>
      </c>
      <c r="H246" s="12">
        <v>5</v>
      </c>
      <c r="I246" s="13" t="s">
        <v>1585</v>
      </c>
      <c r="J246" s="12"/>
    </row>
    <row r="247" spans="1:10">
      <c r="A247" s="12">
        <f>IF(B247="","",COUNTA($B$4:B247))</f>
        <v>244</v>
      </c>
      <c r="B247" s="12" t="s">
        <v>2069</v>
      </c>
      <c r="C247" s="12" t="s">
        <v>2072</v>
      </c>
      <c r="D247" s="12" t="s">
        <v>1024</v>
      </c>
      <c r="E247" s="12" t="s">
        <v>1468</v>
      </c>
      <c r="F247" s="12" t="s">
        <v>107</v>
      </c>
      <c r="G247" s="12" t="s">
        <v>109</v>
      </c>
      <c r="H247" s="12">
        <v>5</v>
      </c>
      <c r="I247" s="13"/>
      <c r="J247" s="12"/>
    </row>
    <row r="248" spans="1:10">
      <c r="A248" s="12">
        <f>IF(B248="","",COUNTA($B$4:B248))</f>
        <v>245</v>
      </c>
      <c r="B248" s="12" t="s">
        <v>2069</v>
      </c>
      <c r="C248" s="12" t="s">
        <v>2073</v>
      </c>
      <c r="D248" s="12" t="s">
        <v>1028</v>
      </c>
      <c r="E248" s="12" t="s">
        <v>1469</v>
      </c>
      <c r="F248" s="12" t="s">
        <v>107</v>
      </c>
      <c r="G248" s="12" t="s">
        <v>109</v>
      </c>
      <c r="H248" s="12">
        <v>5</v>
      </c>
      <c r="I248" s="13"/>
      <c r="J248" s="12"/>
    </row>
    <row r="249" spans="1:10">
      <c r="A249" s="12">
        <f>IF(B249="","",COUNTA($B$4:B249))</f>
        <v>246</v>
      </c>
      <c r="B249" s="12" t="s">
        <v>2069</v>
      </c>
      <c r="C249" s="12" t="s">
        <v>1863</v>
      </c>
      <c r="D249" s="12" t="s">
        <v>1395</v>
      </c>
      <c r="E249" s="12" t="s">
        <v>125</v>
      </c>
      <c r="F249" s="12" t="s">
        <v>111</v>
      </c>
      <c r="G249" s="12" t="s">
        <v>106</v>
      </c>
      <c r="H249" s="12">
        <v>3</v>
      </c>
      <c r="I249" s="13"/>
      <c r="J249" s="12"/>
    </row>
    <row r="250" spans="1:10">
      <c r="A250" s="12">
        <f>IF(B250="","",COUNTA($B$4:B250))</f>
        <v>247</v>
      </c>
      <c r="B250" s="12" t="s">
        <v>2069</v>
      </c>
      <c r="C250" s="12" t="s">
        <v>2074</v>
      </c>
      <c r="D250" s="12" t="s">
        <v>426</v>
      </c>
      <c r="E250" s="12" t="s">
        <v>1470</v>
      </c>
      <c r="F250" s="12" t="s">
        <v>111</v>
      </c>
      <c r="G250" s="12" t="s">
        <v>106</v>
      </c>
      <c r="H250" s="12">
        <v>4</v>
      </c>
      <c r="I250" s="13"/>
      <c r="J250" s="12"/>
    </row>
    <row r="251" spans="1:10">
      <c r="A251" s="12">
        <f>IF(B251="","",COUNTA($B$4:B251))</f>
        <v>248</v>
      </c>
      <c r="B251" s="12" t="s">
        <v>2069</v>
      </c>
      <c r="C251" s="12" t="s">
        <v>2075</v>
      </c>
      <c r="D251" s="12" t="s">
        <v>424</v>
      </c>
      <c r="E251" s="12" t="s">
        <v>1471</v>
      </c>
      <c r="F251" s="12" t="s">
        <v>111</v>
      </c>
      <c r="G251" s="12" t="s">
        <v>106</v>
      </c>
      <c r="H251" s="12">
        <v>4</v>
      </c>
      <c r="I251" s="13"/>
      <c r="J251" s="12"/>
    </row>
    <row r="252" spans="1:10">
      <c r="A252" s="12">
        <f>IF(B252="","",COUNTA($B$4:B252))</f>
        <v>249</v>
      </c>
      <c r="B252" s="12" t="s">
        <v>2069</v>
      </c>
      <c r="C252" s="12" t="s">
        <v>1873</v>
      </c>
      <c r="D252" s="12" t="s">
        <v>624</v>
      </c>
      <c r="E252" s="12" t="s">
        <v>1440</v>
      </c>
      <c r="F252" s="12" t="s">
        <v>111</v>
      </c>
      <c r="G252" s="12" t="s">
        <v>106</v>
      </c>
      <c r="H252" s="12">
        <v>10</v>
      </c>
      <c r="I252" s="13"/>
      <c r="J252" s="12"/>
    </row>
    <row r="253" spans="1:10">
      <c r="A253" s="12">
        <f>IF(B253="","",COUNTA($B$4:B253))</f>
        <v>250</v>
      </c>
      <c r="B253" s="12" t="s">
        <v>2069</v>
      </c>
      <c r="C253" s="12" t="s">
        <v>1876</v>
      </c>
      <c r="D253" s="12" t="s">
        <v>624</v>
      </c>
      <c r="E253" s="12" t="s">
        <v>112</v>
      </c>
      <c r="F253" s="12" t="s">
        <v>111</v>
      </c>
      <c r="G253" s="12" t="s">
        <v>106</v>
      </c>
      <c r="H253" s="12">
        <v>10</v>
      </c>
      <c r="I253" s="13"/>
      <c r="J253" s="12"/>
    </row>
    <row r="254" spans="1:10">
      <c r="A254" s="12">
        <f>IF(B254="","",COUNTA($B$4:B254))</f>
        <v>251</v>
      </c>
      <c r="B254" s="12" t="s">
        <v>2069</v>
      </c>
      <c r="C254" s="12" t="s">
        <v>1877</v>
      </c>
      <c r="D254" s="12" t="s">
        <v>548</v>
      </c>
      <c r="E254" s="12" t="s">
        <v>113</v>
      </c>
      <c r="F254" s="12" t="s">
        <v>86</v>
      </c>
      <c r="G254" s="12" t="s">
        <v>1472</v>
      </c>
      <c r="H254" s="12"/>
      <c r="I254" s="13"/>
      <c r="J254" s="12"/>
    </row>
    <row r="255" spans="1:10">
      <c r="A255" s="12">
        <f>IF(B255="","",COUNTA($B$4:B255))</f>
        <v>252</v>
      </c>
      <c r="B255" s="12" t="s">
        <v>2069</v>
      </c>
      <c r="C255" s="12" t="s">
        <v>1881</v>
      </c>
      <c r="D255" s="12" t="s">
        <v>626</v>
      </c>
      <c r="E255" s="12" t="s">
        <v>1442</v>
      </c>
      <c r="F255" s="12" t="s">
        <v>111</v>
      </c>
      <c r="G255" s="12" t="s">
        <v>106</v>
      </c>
      <c r="H255" s="12">
        <v>10</v>
      </c>
      <c r="I255" s="13"/>
      <c r="J255" s="12"/>
    </row>
    <row r="256" spans="1:10">
      <c r="A256" s="12">
        <f>IF(B256="","",COUNTA($B$4:B256))</f>
        <v>253</v>
      </c>
      <c r="B256" s="12" t="s">
        <v>2069</v>
      </c>
      <c r="C256" s="12" t="s">
        <v>1884</v>
      </c>
      <c r="D256" s="12" t="s">
        <v>390</v>
      </c>
      <c r="E256" s="12" t="s">
        <v>114</v>
      </c>
      <c r="F256" s="12" t="s">
        <v>111</v>
      </c>
      <c r="G256" s="12" t="s">
        <v>106</v>
      </c>
      <c r="H256" s="12">
        <v>10</v>
      </c>
      <c r="I256" s="13"/>
      <c r="J256" s="12"/>
    </row>
    <row r="257" spans="1:10">
      <c r="A257" s="12">
        <f>IF(B257="","",COUNTA($B$4:B257))</f>
        <v>254</v>
      </c>
      <c r="B257" s="12" t="s">
        <v>2069</v>
      </c>
      <c r="C257" s="12" t="s">
        <v>1886</v>
      </c>
      <c r="D257" s="12" t="s">
        <v>394</v>
      </c>
      <c r="E257" s="12" t="s">
        <v>115</v>
      </c>
      <c r="F257" s="12" t="s">
        <v>86</v>
      </c>
      <c r="G257" s="12" t="s">
        <v>1472</v>
      </c>
      <c r="H257" s="12"/>
      <c r="I257" s="13"/>
      <c r="J257" s="12"/>
    </row>
    <row r="258" spans="1:10">
      <c r="A258" s="12">
        <f>IF(B258="","",COUNTA($B$4:B258))</f>
        <v>255</v>
      </c>
      <c r="B258" s="12" t="s">
        <v>2076</v>
      </c>
      <c r="C258" s="12" t="s">
        <v>2077</v>
      </c>
      <c r="D258" s="12"/>
      <c r="E258" s="12"/>
      <c r="F258" s="12" t="s">
        <v>111</v>
      </c>
      <c r="G258" s="12" t="s">
        <v>106</v>
      </c>
      <c r="H258" s="12">
        <v>10</v>
      </c>
      <c r="I258" s="13" t="s">
        <v>1585</v>
      </c>
      <c r="J258" s="12"/>
    </row>
    <row r="259" spans="1:10">
      <c r="A259" s="12">
        <f>IF(B259="","",COUNTA($B$4:B259))</f>
        <v>256</v>
      </c>
      <c r="B259" s="12" t="s">
        <v>2076</v>
      </c>
      <c r="C259" s="12" t="s">
        <v>2045</v>
      </c>
      <c r="D259" s="12" t="s">
        <v>1392</v>
      </c>
      <c r="E259" s="12" t="s">
        <v>1464</v>
      </c>
      <c r="F259" s="12" t="s">
        <v>111</v>
      </c>
      <c r="G259" s="12" t="s">
        <v>106</v>
      </c>
      <c r="H259" s="12">
        <v>3</v>
      </c>
      <c r="I259" s="13"/>
      <c r="J259" s="12"/>
    </row>
    <row r="260" spans="1:10">
      <c r="A260" s="12">
        <f>IF(B260="","",COUNTA($B$4:B260))</f>
        <v>257</v>
      </c>
      <c r="B260" s="12" t="s">
        <v>2076</v>
      </c>
      <c r="C260" s="12" t="s">
        <v>2078</v>
      </c>
      <c r="D260" s="12"/>
      <c r="E260" s="12"/>
      <c r="F260" s="12"/>
      <c r="G260" s="12"/>
      <c r="H260" s="12"/>
      <c r="I260" s="13"/>
      <c r="J260" s="12"/>
    </row>
    <row r="261" spans="1:10">
      <c r="A261" s="12">
        <f>IF(B261="","",COUNTA($B$4:B261))</f>
        <v>258</v>
      </c>
      <c r="B261" s="12" t="s">
        <v>2076</v>
      </c>
      <c r="C261" s="12" t="s">
        <v>2079</v>
      </c>
      <c r="D261" s="12"/>
      <c r="E261" s="12"/>
      <c r="F261" s="12"/>
      <c r="G261" s="12"/>
      <c r="H261" s="12"/>
      <c r="I261" s="13"/>
      <c r="J261" s="12"/>
    </row>
    <row r="262" spans="1:10">
      <c r="A262" s="12">
        <f>IF(B262="","",COUNTA($B$4:B262))</f>
        <v>259</v>
      </c>
      <c r="B262" s="12" t="s">
        <v>2076</v>
      </c>
      <c r="C262" s="12" t="s">
        <v>2080</v>
      </c>
      <c r="D262" s="12"/>
      <c r="E262" s="12"/>
      <c r="F262" s="12"/>
      <c r="G262" s="12"/>
      <c r="H262" s="12"/>
      <c r="I262" s="13"/>
      <c r="J262" s="12"/>
    </row>
    <row r="263" spans="1:10">
      <c r="A263" s="12">
        <f>IF(B263="","",COUNTA($B$4:B263))</f>
        <v>260</v>
      </c>
      <c r="B263" s="12" t="s">
        <v>2076</v>
      </c>
      <c r="C263" s="12" t="s">
        <v>2081</v>
      </c>
      <c r="D263" s="12"/>
      <c r="E263" s="12"/>
      <c r="F263" s="12" t="s">
        <v>111</v>
      </c>
      <c r="G263" s="12" t="s">
        <v>106</v>
      </c>
      <c r="H263" s="12">
        <v>15</v>
      </c>
      <c r="I263" s="13"/>
      <c r="J263" s="12"/>
    </row>
    <row r="264" spans="1:10">
      <c r="A264" s="12">
        <f>IF(B264="","",COUNTA($B$4:B264))</f>
        <v>261</v>
      </c>
      <c r="B264" s="12" t="s">
        <v>2076</v>
      </c>
      <c r="C264" s="12" t="s">
        <v>1958</v>
      </c>
      <c r="D264" s="12"/>
      <c r="E264" s="12"/>
      <c r="F264" s="12" t="s">
        <v>111</v>
      </c>
      <c r="G264" s="12" t="s">
        <v>106</v>
      </c>
      <c r="H264" s="12">
        <v>15</v>
      </c>
      <c r="I264" s="13"/>
      <c r="J264" s="12"/>
    </row>
    <row r="265" spans="1:10">
      <c r="A265" s="12">
        <f>IF(B265="","",COUNTA($B$4:B265))</f>
        <v>262</v>
      </c>
      <c r="B265" s="12" t="s">
        <v>2076</v>
      </c>
      <c r="C265" s="12" t="s">
        <v>1889</v>
      </c>
      <c r="D265" s="12"/>
      <c r="E265" s="12"/>
      <c r="F265" s="12" t="s">
        <v>111</v>
      </c>
      <c r="G265" s="12" t="s">
        <v>106</v>
      </c>
      <c r="H265" s="12">
        <v>15</v>
      </c>
      <c r="I265" s="13"/>
      <c r="J265" s="12"/>
    </row>
    <row r="266" spans="1:10">
      <c r="A266" s="12">
        <f>IF(B266="","",COUNTA($B$4:B266))</f>
        <v>263</v>
      </c>
      <c r="B266" s="12" t="s">
        <v>2076</v>
      </c>
      <c r="C266" s="12" t="s">
        <v>2082</v>
      </c>
      <c r="D266" s="12"/>
      <c r="E266" s="12"/>
      <c r="F266" s="12"/>
      <c r="G266" s="12"/>
      <c r="H266" s="12"/>
      <c r="I266" s="13"/>
      <c r="J266" s="12"/>
    </row>
    <row r="267" spans="1:10">
      <c r="A267" s="12">
        <f>IF(B267="","",COUNTA($B$4:B267))</f>
        <v>264</v>
      </c>
      <c r="B267" s="12" t="s">
        <v>2076</v>
      </c>
      <c r="C267" s="12" t="s">
        <v>2083</v>
      </c>
      <c r="D267" s="12"/>
      <c r="E267" s="12"/>
      <c r="F267" s="12"/>
      <c r="G267" s="12"/>
      <c r="H267" s="12"/>
      <c r="I267" s="13"/>
      <c r="J267" s="12"/>
    </row>
    <row r="268" spans="1:10">
      <c r="A268" s="12">
        <f>IF(B268="","",COUNTA($B$4:B268))</f>
        <v>265</v>
      </c>
      <c r="B268" s="12" t="s">
        <v>2076</v>
      </c>
      <c r="C268" s="12" t="s">
        <v>2084</v>
      </c>
      <c r="D268" s="12"/>
      <c r="E268" s="12"/>
      <c r="F268" s="12" t="s">
        <v>111</v>
      </c>
      <c r="G268" s="12" t="s">
        <v>106</v>
      </c>
      <c r="H268" s="12">
        <v>15</v>
      </c>
      <c r="I268" s="13"/>
      <c r="J268" s="12"/>
    </row>
    <row r="269" spans="1:10">
      <c r="A269" s="12">
        <f>IF(B269="","",COUNTA($B$4:B269))</f>
        <v>266</v>
      </c>
      <c r="B269" s="12" t="s">
        <v>2076</v>
      </c>
      <c r="C269" s="12" t="s">
        <v>2085</v>
      </c>
      <c r="D269" s="12"/>
      <c r="E269" s="12"/>
      <c r="F269" s="12" t="s">
        <v>111</v>
      </c>
      <c r="G269" s="12" t="s">
        <v>106</v>
      </c>
      <c r="H269" s="12">
        <v>15</v>
      </c>
      <c r="I269" s="13"/>
      <c r="J269" s="12"/>
    </row>
    <row r="270" spans="1:10">
      <c r="A270" s="12">
        <f>IF(B270="","",COUNTA($B$4:B270))</f>
        <v>267</v>
      </c>
      <c r="B270" s="12" t="s">
        <v>2076</v>
      </c>
      <c r="C270" s="12" t="s">
        <v>2086</v>
      </c>
      <c r="D270" s="12" t="s">
        <v>649</v>
      </c>
      <c r="E270" s="12" t="s">
        <v>1473</v>
      </c>
      <c r="F270" s="12" t="s">
        <v>111</v>
      </c>
      <c r="G270" s="12" t="s">
        <v>106</v>
      </c>
      <c r="H270" s="12">
        <v>15</v>
      </c>
      <c r="I270" s="13"/>
      <c r="J270" s="12"/>
    </row>
    <row r="271" spans="1:10">
      <c r="A271" s="12">
        <f>IF(B271="","",COUNTA($B$4:B271))</f>
        <v>268</v>
      </c>
      <c r="B271" s="12" t="s">
        <v>2076</v>
      </c>
      <c r="C271" s="12" t="s">
        <v>2087</v>
      </c>
      <c r="D271" s="12" t="s">
        <v>1463</v>
      </c>
      <c r="E271" s="12"/>
      <c r="F271" s="12" t="s">
        <v>111</v>
      </c>
      <c r="G271" s="12" t="s">
        <v>106</v>
      </c>
      <c r="H271" s="12">
        <v>15</v>
      </c>
      <c r="I271" s="13"/>
      <c r="J271" s="12"/>
    </row>
    <row r="272" spans="1:10">
      <c r="A272" s="12">
        <f>IF(B272="","",COUNTA($B$4:B272))</f>
        <v>269</v>
      </c>
      <c r="B272" s="12" t="s">
        <v>2076</v>
      </c>
      <c r="C272" s="12" t="s">
        <v>2088</v>
      </c>
      <c r="D272" s="12" t="s">
        <v>1106</v>
      </c>
      <c r="E272" s="12"/>
      <c r="F272" s="12" t="s">
        <v>111</v>
      </c>
      <c r="G272" s="12" t="s">
        <v>106</v>
      </c>
      <c r="H272" s="12">
        <v>15</v>
      </c>
      <c r="I272" s="13"/>
      <c r="J272" s="12"/>
    </row>
    <row r="273" spans="1:10">
      <c r="A273" s="12">
        <f>IF(B273="","",COUNTA($B$4:B273))</f>
        <v>270</v>
      </c>
      <c r="B273" s="12" t="s">
        <v>2076</v>
      </c>
      <c r="C273" s="12" t="s">
        <v>2089</v>
      </c>
      <c r="D273" s="12" t="s">
        <v>1114</v>
      </c>
      <c r="E273" s="12" t="s">
        <v>1474</v>
      </c>
      <c r="F273" s="12" t="s">
        <v>111</v>
      </c>
      <c r="G273" s="12" t="s">
        <v>106</v>
      </c>
      <c r="H273" s="12">
        <v>15</v>
      </c>
      <c r="I273" s="13"/>
      <c r="J273" s="12"/>
    </row>
    <row r="274" spans="1:10">
      <c r="A274" s="12">
        <f>IF(B274="","",COUNTA($B$4:B274))</f>
        <v>271</v>
      </c>
      <c r="B274" s="12" t="s">
        <v>2076</v>
      </c>
      <c r="C274" s="12" t="s">
        <v>2090</v>
      </c>
      <c r="D274" s="12" t="s">
        <v>1627</v>
      </c>
      <c r="E274" s="12" t="s">
        <v>1475</v>
      </c>
      <c r="F274" s="12" t="s">
        <v>111</v>
      </c>
      <c r="G274" s="12" t="s">
        <v>106</v>
      </c>
      <c r="H274" s="12">
        <v>15</v>
      </c>
      <c r="I274" s="13"/>
      <c r="J274" s="12"/>
    </row>
    <row r="275" spans="1:10">
      <c r="A275" s="12">
        <f>IF(B275="","",COUNTA($B$4:B275))</f>
        <v>272</v>
      </c>
      <c r="B275" s="12" t="s">
        <v>2076</v>
      </c>
      <c r="C275" s="12" t="s">
        <v>2091</v>
      </c>
      <c r="D275" s="12"/>
      <c r="E275" s="12"/>
      <c r="F275" s="12" t="s">
        <v>111</v>
      </c>
      <c r="G275" s="12" t="s">
        <v>106</v>
      </c>
      <c r="H275" s="12">
        <v>15</v>
      </c>
      <c r="I275" s="13"/>
      <c r="J275" s="12"/>
    </row>
    <row r="276" spans="1:10">
      <c r="A276" s="12">
        <f>IF(B276="","",COUNTA($B$4:B276))</f>
        <v>273</v>
      </c>
      <c r="B276" s="12" t="s">
        <v>2076</v>
      </c>
      <c r="C276" s="12" t="s">
        <v>2092</v>
      </c>
      <c r="D276" s="12"/>
      <c r="E276" s="12"/>
      <c r="F276" s="12" t="s">
        <v>111</v>
      </c>
      <c r="G276" s="12" t="s">
        <v>106</v>
      </c>
      <c r="H276" s="12">
        <v>15</v>
      </c>
      <c r="I276" s="13"/>
      <c r="J276" s="12"/>
    </row>
    <row r="277" spans="1:10">
      <c r="A277" s="12">
        <f>IF(B277="","",COUNTA($B$4:B277))</f>
        <v>274</v>
      </c>
      <c r="B277" s="12" t="s">
        <v>2076</v>
      </c>
      <c r="C277" s="12" t="s">
        <v>2093</v>
      </c>
      <c r="D277" s="12"/>
      <c r="E277" s="12"/>
      <c r="F277" s="12" t="s">
        <v>111</v>
      </c>
      <c r="G277" s="12" t="s">
        <v>106</v>
      </c>
      <c r="H277" s="12">
        <v>15</v>
      </c>
      <c r="I277" s="13"/>
      <c r="J277" s="12"/>
    </row>
    <row r="278" spans="1:10">
      <c r="A278" s="12">
        <f>IF(B278="","",COUNTA($B$4:B278))</f>
        <v>275</v>
      </c>
      <c r="B278" s="12" t="s">
        <v>2076</v>
      </c>
      <c r="C278" s="12" t="s">
        <v>2094</v>
      </c>
      <c r="D278" s="12"/>
      <c r="E278" s="12"/>
      <c r="F278" s="12" t="s">
        <v>1861</v>
      </c>
      <c r="G278" s="12" t="s">
        <v>1862</v>
      </c>
      <c r="H278" s="12">
        <v>15</v>
      </c>
      <c r="I278" s="13"/>
      <c r="J278" s="12"/>
    </row>
    <row r="279" spans="1:10">
      <c r="A279" s="12">
        <f>IF(B279="","",COUNTA($B$4:B279))</f>
        <v>276</v>
      </c>
      <c r="B279" s="12" t="s">
        <v>2076</v>
      </c>
      <c r="C279" s="12" t="s">
        <v>2095</v>
      </c>
      <c r="D279" s="12"/>
      <c r="E279" s="12"/>
      <c r="F279" s="12" t="s">
        <v>1861</v>
      </c>
      <c r="G279" s="12" t="s">
        <v>1862</v>
      </c>
      <c r="H279" s="12">
        <v>15</v>
      </c>
      <c r="I279" s="13" t="s">
        <v>1585</v>
      </c>
      <c r="J279" s="12"/>
    </row>
    <row r="280" spans="1:10">
      <c r="A280" s="12">
        <f>IF(B280="","",COUNTA($B$4:B280))</f>
        <v>277</v>
      </c>
      <c r="B280" s="12" t="s">
        <v>2076</v>
      </c>
      <c r="C280" s="12" t="s">
        <v>2096</v>
      </c>
      <c r="D280" s="12"/>
      <c r="E280" s="12"/>
      <c r="F280" s="12" t="s">
        <v>1861</v>
      </c>
      <c r="G280" s="12" t="s">
        <v>1862</v>
      </c>
      <c r="H280" s="12">
        <v>15</v>
      </c>
      <c r="I280" s="13"/>
      <c r="J280" s="12"/>
    </row>
    <row r="281" spans="1:10">
      <c r="A281" s="12">
        <f>IF(B281="","",COUNTA($B$4:B281))</f>
        <v>278</v>
      </c>
      <c r="B281" s="12" t="s">
        <v>2076</v>
      </c>
      <c r="C281" s="12" t="s">
        <v>2097</v>
      </c>
      <c r="D281" s="12"/>
      <c r="E281" s="12"/>
      <c r="F281" s="12" t="s">
        <v>1861</v>
      </c>
      <c r="G281" s="12" t="s">
        <v>1862</v>
      </c>
      <c r="H281" s="12">
        <v>15</v>
      </c>
      <c r="I281" s="13"/>
      <c r="J281" s="12"/>
    </row>
    <row r="282" spans="1:10">
      <c r="A282" s="12">
        <f>IF(B282="","",COUNTA($B$4:B282))</f>
        <v>279</v>
      </c>
      <c r="B282" s="12" t="s">
        <v>2076</v>
      </c>
      <c r="C282" s="12" t="s">
        <v>2098</v>
      </c>
      <c r="D282" s="12"/>
      <c r="E282" s="12"/>
      <c r="F282" s="12" t="s">
        <v>1861</v>
      </c>
      <c r="G282" s="12" t="s">
        <v>1862</v>
      </c>
      <c r="H282" s="12">
        <v>15</v>
      </c>
      <c r="I282" s="13"/>
      <c r="J282" s="12"/>
    </row>
    <row r="283" spans="1:10">
      <c r="A283" s="12">
        <f>IF(B283="","",COUNTA($B$4:B283))</f>
        <v>280</v>
      </c>
      <c r="B283" s="12" t="s">
        <v>2076</v>
      </c>
      <c r="C283" s="12" t="s">
        <v>2099</v>
      </c>
      <c r="D283" s="12"/>
      <c r="E283" s="12"/>
      <c r="F283" s="12" t="s">
        <v>1861</v>
      </c>
      <c r="G283" s="12" t="s">
        <v>1862</v>
      </c>
      <c r="H283" s="12">
        <v>15</v>
      </c>
      <c r="I283" s="13"/>
      <c r="J283" s="12"/>
    </row>
    <row r="284" spans="1:10">
      <c r="A284" s="12">
        <f>IF(B284="","",COUNTA($B$4:B284))</f>
        <v>281</v>
      </c>
      <c r="B284" s="12" t="s">
        <v>2076</v>
      </c>
      <c r="C284" s="12" t="s">
        <v>2100</v>
      </c>
      <c r="D284" s="12"/>
      <c r="E284" s="12"/>
      <c r="F284" s="12" t="s">
        <v>1861</v>
      </c>
      <c r="G284" s="12" t="s">
        <v>1862</v>
      </c>
      <c r="H284" s="12">
        <v>15</v>
      </c>
      <c r="I284" s="13"/>
      <c r="J284" s="12"/>
    </row>
    <row r="285" spans="1:10">
      <c r="A285" s="12">
        <f>IF(B285="","",COUNTA($B$4:B285))</f>
        <v>282</v>
      </c>
      <c r="B285" s="12" t="s">
        <v>2076</v>
      </c>
      <c r="C285" s="12" t="s">
        <v>2101</v>
      </c>
      <c r="D285" s="12"/>
      <c r="E285" s="12"/>
      <c r="F285" s="12" t="s">
        <v>1861</v>
      </c>
      <c r="G285" s="12" t="s">
        <v>1862</v>
      </c>
      <c r="H285" s="12">
        <v>15</v>
      </c>
      <c r="I285" s="13"/>
      <c r="J285" s="12"/>
    </row>
    <row r="286" spans="1:10">
      <c r="A286" s="12">
        <f>IF(B286="","",COUNTA($B$4:B286))</f>
        <v>283</v>
      </c>
      <c r="B286" s="12" t="s">
        <v>2076</v>
      </c>
      <c r="C286" s="12" t="s">
        <v>2102</v>
      </c>
      <c r="D286" s="12"/>
      <c r="E286" s="12"/>
      <c r="F286" s="12" t="s">
        <v>1861</v>
      </c>
      <c r="G286" s="12" t="s">
        <v>1862</v>
      </c>
      <c r="H286" s="12">
        <v>15</v>
      </c>
      <c r="I286" s="13"/>
      <c r="J286" s="12"/>
    </row>
    <row r="287" spans="1:10">
      <c r="A287" s="12">
        <f>IF(B287="","",COUNTA($B$4:B287))</f>
        <v>284</v>
      </c>
      <c r="B287" s="12" t="s">
        <v>2076</v>
      </c>
      <c r="C287" s="12" t="s">
        <v>2103</v>
      </c>
      <c r="D287" s="12"/>
      <c r="E287" s="12"/>
      <c r="F287" s="12" t="s">
        <v>1861</v>
      </c>
      <c r="G287" s="12" t="s">
        <v>1862</v>
      </c>
      <c r="H287" s="12">
        <v>15</v>
      </c>
      <c r="I287" s="13"/>
      <c r="J287" s="12"/>
    </row>
    <row r="288" spans="1:10">
      <c r="A288" s="12">
        <f>IF(B288="","",COUNTA($B$4:B288))</f>
        <v>285</v>
      </c>
      <c r="B288" s="12" t="s">
        <v>2076</v>
      </c>
      <c r="C288" s="12" t="s">
        <v>2104</v>
      </c>
      <c r="D288" s="12"/>
      <c r="E288" s="12"/>
      <c r="F288" s="12" t="s">
        <v>1861</v>
      </c>
      <c r="G288" s="12" t="s">
        <v>1862</v>
      </c>
      <c r="H288" s="12">
        <v>15</v>
      </c>
      <c r="I288" s="13"/>
      <c r="J288" s="12"/>
    </row>
    <row r="289" spans="1:10">
      <c r="A289" s="12">
        <f>IF(B289="","",COUNTA($B$4:B289))</f>
        <v>286</v>
      </c>
      <c r="B289" s="12" t="s">
        <v>2076</v>
      </c>
      <c r="C289" s="12" t="s">
        <v>2105</v>
      </c>
      <c r="D289" s="12"/>
      <c r="E289" s="12"/>
      <c r="F289" s="12" t="s">
        <v>1861</v>
      </c>
      <c r="G289" s="12" t="s">
        <v>1862</v>
      </c>
      <c r="H289" s="12">
        <v>15</v>
      </c>
      <c r="I289" s="13"/>
      <c r="J289" s="12"/>
    </row>
    <row r="290" spans="1:10">
      <c r="A290" s="12">
        <f>IF(B290="","",COUNTA($B$4:B290))</f>
        <v>287</v>
      </c>
      <c r="B290" s="12" t="s">
        <v>2076</v>
      </c>
      <c r="C290" s="12" t="s">
        <v>2106</v>
      </c>
      <c r="D290" s="12"/>
      <c r="E290" s="12"/>
      <c r="F290" s="12" t="s">
        <v>1861</v>
      </c>
      <c r="G290" s="12" t="s">
        <v>1862</v>
      </c>
      <c r="H290" s="12">
        <v>15</v>
      </c>
      <c r="I290" s="13"/>
      <c r="J290" s="12"/>
    </row>
    <row r="291" spans="1:10">
      <c r="A291" s="12">
        <f>IF(B291="","",COUNTA($B$4:B291))</f>
        <v>288</v>
      </c>
      <c r="B291" s="12" t="s">
        <v>2076</v>
      </c>
      <c r="C291" s="12" t="s">
        <v>2107</v>
      </c>
      <c r="D291" s="12"/>
      <c r="E291" s="12"/>
      <c r="F291" s="12" t="s">
        <v>1861</v>
      </c>
      <c r="G291" s="12" t="s">
        <v>1862</v>
      </c>
      <c r="H291" s="12">
        <v>15</v>
      </c>
      <c r="I291" s="13"/>
      <c r="J291" s="12"/>
    </row>
    <row r="292" spans="1:10">
      <c r="A292" s="12">
        <f>IF(B292="","",COUNTA($B$4:B292))</f>
        <v>289</v>
      </c>
      <c r="B292" s="12" t="s">
        <v>2076</v>
      </c>
      <c r="C292" s="12" t="s">
        <v>2108</v>
      </c>
      <c r="D292" s="12"/>
      <c r="E292" s="12"/>
      <c r="F292" s="12" t="s">
        <v>1861</v>
      </c>
      <c r="G292" s="12" t="s">
        <v>1862</v>
      </c>
      <c r="H292" s="12">
        <v>15</v>
      </c>
      <c r="I292" s="13"/>
      <c r="J292" s="12"/>
    </row>
    <row r="293" spans="1:10">
      <c r="A293" s="12">
        <f>IF(B293="","",COUNTA($B$4:B293))</f>
        <v>290</v>
      </c>
      <c r="B293" s="12" t="s">
        <v>2076</v>
      </c>
      <c r="C293" s="12" t="s">
        <v>2109</v>
      </c>
      <c r="D293" s="12"/>
      <c r="E293" s="12"/>
      <c r="F293" s="12" t="s">
        <v>1861</v>
      </c>
      <c r="G293" s="12" t="s">
        <v>1862</v>
      </c>
      <c r="H293" s="12">
        <v>15</v>
      </c>
      <c r="I293" s="13"/>
      <c r="J293" s="12"/>
    </row>
    <row r="294" spans="1:10">
      <c r="A294" s="12">
        <f>IF(B294="","",COUNTA($B$4:B294))</f>
        <v>291</v>
      </c>
      <c r="B294" s="12" t="s">
        <v>2076</v>
      </c>
      <c r="C294" s="12" t="s">
        <v>2110</v>
      </c>
      <c r="D294" s="12"/>
      <c r="E294" s="12"/>
      <c r="F294" s="12" t="s">
        <v>1861</v>
      </c>
      <c r="G294" s="12" t="s">
        <v>1862</v>
      </c>
      <c r="H294" s="12">
        <v>15</v>
      </c>
      <c r="I294" s="13"/>
      <c r="J294" s="12"/>
    </row>
    <row r="295" spans="1:10">
      <c r="A295" s="12">
        <f>IF(B295="","",COUNTA($B$4:B295))</f>
        <v>292</v>
      </c>
      <c r="B295" s="12" t="s">
        <v>2076</v>
      </c>
      <c r="C295" s="12" t="s">
        <v>2111</v>
      </c>
      <c r="D295" s="12" t="s">
        <v>1422</v>
      </c>
      <c r="E295" s="12" t="s">
        <v>2111</v>
      </c>
      <c r="F295" s="12" t="s">
        <v>1861</v>
      </c>
      <c r="G295" s="12" t="s">
        <v>1862</v>
      </c>
      <c r="H295" s="12">
        <v>15</v>
      </c>
      <c r="I295" s="13"/>
      <c r="J295" s="12"/>
    </row>
    <row r="296" spans="1:10">
      <c r="A296" s="12">
        <f>IF(B296="","",COUNTA($B$4:B296))</f>
        <v>293</v>
      </c>
      <c r="B296" s="12" t="s">
        <v>2076</v>
      </c>
      <c r="C296" s="12" t="s">
        <v>2112</v>
      </c>
      <c r="D296" s="12" t="s">
        <v>1583</v>
      </c>
      <c r="E296" s="12" t="s">
        <v>2112</v>
      </c>
      <c r="F296" s="12" t="s">
        <v>1861</v>
      </c>
      <c r="G296" s="12" t="s">
        <v>1862</v>
      </c>
      <c r="H296" s="12">
        <v>15</v>
      </c>
      <c r="I296" s="13"/>
      <c r="J296" s="12"/>
    </row>
    <row r="297" spans="1:10">
      <c r="A297" s="12">
        <f>IF(B297="","",COUNTA($B$4:B297))</f>
        <v>294</v>
      </c>
      <c r="B297" s="12" t="s">
        <v>2076</v>
      </c>
      <c r="C297" s="12" t="s">
        <v>2113</v>
      </c>
      <c r="D297" s="12"/>
      <c r="E297" s="12"/>
      <c r="F297" s="12" t="s">
        <v>1861</v>
      </c>
      <c r="G297" s="12" t="s">
        <v>1862</v>
      </c>
      <c r="H297" s="12">
        <v>15</v>
      </c>
      <c r="I297" s="13"/>
      <c r="J297" s="12"/>
    </row>
    <row r="298" spans="1:10">
      <c r="A298" s="12">
        <f>IF(B298="","",COUNTA($B$4:B298))</f>
        <v>295</v>
      </c>
      <c r="B298" s="12" t="s">
        <v>2076</v>
      </c>
      <c r="C298" s="12" t="s">
        <v>2114</v>
      </c>
      <c r="D298" s="12"/>
      <c r="E298" s="12"/>
      <c r="F298" s="12" t="s">
        <v>1861</v>
      </c>
      <c r="G298" s="12" t="s">
        <v>1862</v>
      </c>
      <c r="H298" s="12">
        <v>15</v>
      </c>
      <c r="I298" s="13"/>
      <c r="J298" s="12"/>
    </row>
    <row r="299" spans="1:10">
      <c r="A299" s="12">
        <f>IF(B299="","",COUNTA($B$4:B299))</f>
        <v>296</v>
      </c>
      <c r="B299" s="12" t="s">
        <v>2076</v>
      </c>
      <c r="C299" s="12" t="s">
        <v>2115</v>
      </c>
      <c r="D299" s="12"/>
      <c r="E299" s="12"/>
      <c r="F299" s="12" t="s">
        <v>1861</v>
      </c>
      <c r="G299" s="12" t="s">
        <v>1862</v>
      </c>
      <c r="H299" s="12">
        <v>15</v>
      </c>
      <c r="I299" s="13"/>
      <c r="J299" s="12"/>
    </row>
    <row r="300" spans="1:10">
      <c r="A300" s="12">
        <f>IF(B300="","",COUNTA($B$4:B300))</f>
        <v>297</v>
      </c>
      <c r="B300" s="12" t="s">
        <v>2076</v>
      </c>
      <c r="C300" s="12" t="s">
        <v>2116</v>
      </c>
      <c r="D300" s="12"/>
      <c r="E300" s="12"/>
      <c r="F300" s="12" t="s">
        <v>1861</v>
      </c>
      <c r="G300" s="12" t="s">
        <v>1862</v>
      </c>
      <c r="H300" s="12">
        <v>15</v>
      </c>
      <c r="I300" s="13" t="s">
        <v>1585</v>
      </c>
      <c r="J300" s="12"/>
    </row>
    <row r="301" spans="1:10">
      <c r="A301" s="12">
        <f>IF(B301="","",COUNTA($B$4:B301))</f>
        <v>298</v>
      </c>
      <c r="B301" s="12" t="s">
        <v>2076</v>
      </c>
      <c r="C301" s="12" t="s">
        <v>2117</v>
      </c>
      <c r="D301" s="12"/>
      <c r="E301" s="12"/>
      <c r="F301" s="12" t="s">
        <v>1861</v>
      </c>
      <c r="G301" s="12" t="s">
        <v>1862</v>
      </c>
      <c r="H301" s="12">
        <v>15</v>
      </c>
      <c r="I301" s="13" t="s">
        <v>1585</v>
      </c>
      <c r="J301" s="12"/>
    </row>
    <row r="302" spans="1:10">
      <c r="A302" s="12">
        <f>IF(B302="","",COUNTA($B$4:B302))</f>
        <v>299</v>
      </c>
      <c r="B302" s="12" t="s">
        <v>2118</v>
      </c>
      <c r="C302" s="12" t="s">
        <v>1893</v>
      </c>
      <c r="D302" s="12" t="s">
        <v>568</v>
      </c>
      <c r="E302" s="12" t="s">
        <v>1893</v>
      </c>
      <c r="F302" s="12" t="s">
        <v>1861</v>
      </c>
      <c r="G302" s="12" t="s">
        <v>1862</v>
      </c>
      <c r="H302" s="12">
        <v>20</v>
      </c>
      <c r="I302" s="13"/>
      <c r="J302" s="12"/>
    </row>
    <row r="303" spans="1:10">
      <c r="A303" s="12">
        <f>IF(B303="","",COUNTA($B$4:B303))</f>
        <v>300</v>
      </c>
      <c r="B303" s="12" t="s">
        <v>2118</v>
      </c>
      <c r="C303" s="12" t="s">
        <v>1863</v>
      </c>
      <c r="D303" s="12" t="s">
        <v>1395</v>
      </c>
      <c r="E303" s="12" t="s">
        <v>1863</v>
      </c>
      <c r="F303" s="12" t="s">
        <v>1861</v>
      </c>
      <c r="G303" s="12" t="s">
        <v>1862</v>
      </c>
      <c r="H303" s="12">
        <v>3</v>
      </c>
      <c r="I303" s="13"/>
      <c r="J303" s="12"/>
    </row>
    <row r="304" spans="1:10">
      <c r="A304" s="12">
        <f>IF(B304="","",COUNTA($B$4:B304))</f>
        <v>301</v>
      </c>
      <c r="B304" s="12" t="s">
        <v>2118</v>
      </c>
      <c r="C304" s="12" t="s">
        <v>1933</v>
      </c>
      <c r="D304" s="12" t="s">
        <v>457</v>
      </c>
      <c r="E304" s="12" t="s">
        <v>1933</v>
      </c>
      <c r="F304" s="12" t="s">
        <v>1861</v>
      </c>
      <c r="G304" s="12" t="s">
        <v>1862</v>
      </c>
      <c r="H304" s="12">
        <v>5</v>
      </c>
      <c r="I304" s="13"/>
      <c r="J304" s="12"/>
    </row>
    <row r="305" spans="1:10">
      <c r="A305" s="12">
        <f>IF(B305="","",COUNTA($B$4:B305))</f>
        <v>302</v>
      </c>
      <c r="B305" s="12" t="s">
        <v>2118</v>
      </c>
      <c r="C305" s="12" t="s">
        <v>1891</v>
      </c>
      <c r="D305" s="12" t="s">
        <v>1444</v>
      </c>
      <c r="E305" s="12" t="s">
        <v>1891</v>
      </c>
      <c r="F305" s="12" t="s">
        <v>1861</v>
      </c>
      <c r="G305" s="12" t="s">
        <v>1862</v>
      </c>
      <c r="H305" s="12">
        <v>4</v>
      </c>
      <c r="I305" s="13"/>
      <c r="J305" s="12"/>
    </row>
    <row r="306" spans="1:10">
      <c r="A306" s="12">
        <f>IF(B306="","",COUNTA($B$4:B306))</f>
        <v>303</v>
      </c>
      <c r="B306" s="12" t="s">
        <v>2118</v>
      </c>
      <c r="C306" s="12" t="s">
        <v>1935</v>
      </c>
      <c r="D306" s="12" t="s">
        <v>570</v>
      </c>
      <c r="E306" s="12" t="s">
        <v>1935</v>
      </c>
      <c r="F306" s="12" t="s">
        <v>1861</v>
      </c>
      <c r="G306" s="12" t="s">
        <v>1862</v>
      </c>
      <c r="H306" s="12">
        <v>2</v>
      </c>
      <c r="I306" s="13"/>
      <c r="J306" s="12"/>
    </row>
    <row r="307" spans="1:10">
      <c r="A307" s="12">
        <f>IF(B307="","",COUNTA($B$4:B307))</f>
        <v>304</v>
      </c>
      <c r="B307" s="12" t="s">
        <v>2118</v>
      </c>
      <c r="C307" s="12" t="s">
        <v>1937</v>
      </c>
      <c r="D307" s="12" t="s">
        <v>572</v>
      </c>
      <c r="E307" s="12" t="s">
        <v>1937</v>
      </c>
      <c r="F307" s="12" t="s">
        <v>1861</v>
      </c>
      <c r="G307" s="12" t="s">
        <v>1862</v>
      </c>
      <c r="H307" s="12">
        <v>2</v>
      </c>
      <c r="I307" s="13"/>
      <c r="J307" s="12"/>
    </row>
    <row r="308" spans="1:10">
      <c r="A308" s="12">
        <f>IF(B308="","",COUNTA($B$4:B308))</f>
        <v>305</v>
      </c>
      <c r="B308" s="12" t="s">
        <v>2118</v>
      </c>
      <c r="C308" s="12" t="s">
        <v>1916</v>
      </c>
      <c r="D308" s="12" t="s">
        <v>432</v>
      </c>
      <c r="E308" s="12" t="s">
        <v>1916</v>
      </c>
      <c r="F308" s="12" t="s">
        <v>1899</v>
      </c>
      <c r="G308" s="12" t="s">
        <v>1900</v>
      </c>
      <c r="H308" s="12">
        <v>7</v>
      </c>
      <c r="I308" s="13">
        <v>3</v>
      </c>
      <c r="J308" s="12"/>
    </row>
    <row r="309" spans="1:10">
      <c r="A309" s="12">
        <f>IF(B309="","",COUNTA($B$4:B309))</f>
        <v>306</v>
      </c>
      <c r="B309" s="12" t="s">
        <v>2118</v>
      </c>
      <c r="C309" s="12" t="s">
        <v>2119</v>
      </c>
      <c r="D309" s="12" t="s">
        <v>1478</v>
      </c>
      <c r="E309" s="12" t="s">
        <v>2119</v>
      </c>
      <c r="F309" s="12" t="s">
        <v>1879</v>
      </c>
      <c r="G309" s="12" t="s">
        <v>1880</v>
      </c>
      <c r="H309" s="12"/>
      <c r="I309" s="13"/>
      <c r="J309" s="12"/>
    </row>
    <row r="310" spans="1:10">
      <c r="A310" s="12">
        <f>IF(B310="","",COUNTA($B$4:B310))</f>
        <v>307</v>
      </c>
      <c r="B310" s="12" t="s">
        <v>2118</v>
      </c>
      <c r="C310" s="12" t="s">
        <v>1873</v>
      </c>
      <c r="D310" s="12" t="s">
        <v>624</v>
      </c>
      <c r="E310" s="12" t="s">
        <v>1875</v>
      </c>
      <c r="F310" s="12" t="s">
        <v>1861</v>
      </c>
      <c r="G310" s="12" t="s">
        <v>1862</v>
      </c>
      <c r="H310" s="12">
        <v>10</v>
      </c>
      <c r="I310" s="13"/>
      <c r="J310" s="12"/>
    </row>
    <row r="311" spans="1:10">
      <c r="A311" s="12">
        <f>IF(B311="","",COUNTA($B$4:B311))</f>
        <v>308</v>
      </c>
      <c r="B311" s="12" t="s">
        <v>2118</v>
      </c>
      <c r="C311" s="12" t="s">
        <v>1876</v>
      </c>
      <c r="D311" s="12" t="s">
        <v>624</v>
      </c>
      <c r="E311" s="12" t="s">
        <v>1876</v>
      </c>
      <c r="F311" s="12" t="s">
        <v>1861</v>
      </c>
      <c r="G311" s="12" t="s">
        <v>1862</v>
      </c>
      <c r="H311" s="12">
        <v>10</v>
      </c>
      <c r="I311" s="13"/>
      <c r="J311" s="12"/>
    </row>
    <row r="312" spans="1:10">
      <c r="A312" s="12">
        <f>IF(B312="","",COUNTA($B$4:B312))</f>
        <v>309</v>
      </c>
      <c r="B312" s="12" t="s">
        <v>2118</v>
      </c>
      <c r="C312" s="12" t="s">
        <v>1877</v>
      </c>
      <c r="D312" s="12" t="s">
        <v>548</v>
      </c>
      <c r="E312" s="12" t="s">
        <v>1877</v>
      </c>
      <c r="F312" s="12" t="s">
        <v>1879</v>
      </c>
      <c r="G312" s="12" t="s">
        <v>1880</v>
      </c>
      <c r="H312" s="12"/>
      <c r="I312" s="13"/>
      <c r="J312" s="12"/>
    </row>
    <row r="313" spans="1:10">
      <c r="A313" s="12">
        <f>IF(B313="","",COUNTA($B$4:B313))</f>
        <v>310</v>
      </c>
      <c r="B313" s="12" t="s">
        <v>2118</v>
      </c>
      <c r="C313" s="12" t="s">
        <v>1881</v>
      </c>
      <c r="D313" s="12" t="s">
        <v>626</v>
      </c>
      <c r="E313" s="12" t="s">
        <v>1883</v>
      </c>
      <c r="F313" s="12" t="s">
        <v>1861</v>
      </c>
      <c r="G313" s="12" t="s">
        <v>1862</v>
      </c>
      <c r="H313" s="12">
        <v>10</v>
      </c>
      <c r="I313" s="13"/>
      <c r="J313" s="12"/>
    </row>
    <row r="314" spans="1:10">
      <c r="A314" s="12">
        <f>IF(B314="","",COUNTA($B$4:B314))</f>
        <v>311</v>
      </c>
      <c r="B314" s="12" t="s">
        <v>2118</v>
      </c>
      <c r="C314" s="12" t="s">
        <v>1884</v>
      </c>
      <c r="D314" s="12" t="s">
        <v>390</v>
      </c>
      <c r="E314" s="12" t="s">
        <v>1884</v>
      </c>
      <c r="F314" s="12" t="s">
        <v>1861</v>
      </c>
      <c r="G314" s="12" t="s">
        <v>1862</v>
      </c>
      <c r="H314" s="12">
        <v>10</v>
      </c>
      <c r="I314" s="13" t="s">
        <v>1585</v>
      </c>
      <c r="J314" s="12"/>
    </row>
    <row r="315" spans="1:10">
      <c r="A315" s="12">
        <f>IF(B315="","",COUNTA($B$4:B315))</f>
        <v>312</v>
      </c>
      <c r="B315" s="12" t="s">
        <v>2118</v>
      </c>
      <c r="C315" s="12" t="s">
        <v>1886</v>
      </c>
      <c r="D315" s="12" t="s">
        <v>394</v>
      </c>
      <c r="E315" s="12" t="s">
        <v>1886</v>
      </c>
      <c r="F315" s="12" t="s">
        <v>1879</v>
      </c>
      <c r="G315" s="12" t="s">
        <v>1880</v>
      </c>
      <c r="H315" s="12"/>
      <c r="I315" s="13" t="s">
        <v>1585</v>
      </c>
      <c r="J315" s="12"/>
    </row>
    <row r="316" spans="1:10">
      <c r="A316" s="12">
        <f>IF(B316="","",COUNTA($B$4:B316))</f>
        <v>313</v>
      </c>
      <c r="B316" s="12" t="s">
        <v>2120</v>
      </c>
      <c r="C316" s="12" t="s">
        <v>2067</v>
      </c>
      <c r="D316" s="12" t="s">
        <v>1429</v>
      </c>
      <c r="E316" s="12" t="s">
        <v>2067</v>
      </c>
      <c r="F316" s="12" t="s">
        <v>1861</v>
      </c>
      <c r="G316" s="12" t="s">
        <v>1862</v>
      </c>
      <c r="H316" s="12">
        <v>12</v>
      </c>
      <c r="I316" s="13"/>
      <c r="J316" s="12"/>
    </row>
    <row r="317" spans="1:10">
      <c r="A317" s="12">
        <f>IF(B317="","",COUNTA($B$4:B317))</f>
        <v>314</v>
      </c>
      <c r="B317" s="12" t="s">
        <v>2120</v>
      </c>
      <c r="C317" s="12" t="s">
        <v>1893</v>
      </c>
      <c r="D317" s="12" t="s">
        <v>568</v>
      </c>
      <c r="E317" s="12" t="s">
        <v>1893</v>
      </c>
      <c r="F317" s="12" t="s">
        <v>1861</v>
      </c>
      <c r="G317" s="12" t="s">
        <v>1862</v>
      </c>
      <c r="H317" s="12">
        <v>20</v>
      </c>
      <c r="I317" s="13"/>
      <c r="J317" s="12"/>
    </row>
    <row r="318" spans="1:10">
      <c r="A318" s="12">
        <f>IF(B318="","",COUNTA($B$4:B318))</f>
        <v>315</v>
      </c>
      <c r="B318" s="12" t="s">
        <v>2120</v>
      </c>
      <c r="C318" s="12" t="s">
        <v>1863</v>
      </c>
      <c r="D318" s="12" t="s">
        <v>1395</v>
      </c>
      <c r="E318" s="12" t="s">
        <v>1863</v>
      </c>
      <c r="F318" s="12" t="s">
        <v>1861</v>
      </c>
      <c r="G318" s="12" t="s">
        <v>1862</v>
      </c>
      <c r="H318" s="12">
        <v>3</v>
      </c>
      <c r="I318" s="13"/>
      <c r="J318" s="12"/>
    </row>
    <row r="319" spans="1:10">
      <c r="A319" s="12">
        <f>IF(B319="","",COUNTA($B$4:B319))</f>
        <v>316</v>
      </c>
      <c r="B319" s="12" t="s">
        <v>2120</v>
      </c>
      <c r="C319" s="12" t="s">
        <v>1933</v>
      </c>
      <c r="D319" s="12" t="s">
        <v>457</v>
      </c>
      <c r="E319" s="12" t="s">
        <v>1933</v>
      </c>
      <c r="F319" s="12" t="s">
        <v>1861</v>
      </c>
      <c r="G319" s="12" t="s">
        <v>1862</v>
      </c>
      <c r="H319" s="12">
        <v>5</v>
      </c>
      <c r="I319" s="13"/>
      <c r="J319" s="12"/>
    </row>
    <row r="320" spans="1:10">
      <c r="A320" s="12">
        <f>IF(B320="","",COUNTA($B$4:B320))</f>
        <v>317</v>
      </c>
      <c r="B320" s="12" t="s">
        <v>2120</v>
      </c>
      <c r="C320" s="12" t="s">
        <v>1895</v>
      </c>
      <c r="D320" s="12" t="s">
        <v>657</v>
      </c>
      <c r="E320" s="12" t="s">
        <v>1895</v>
      </c>
      <c r="F320" s="12" t="s">
        <v>1861</v>
      </c>
      <c r="G320" s="12" t="s">
        <v>1862</v>
      </c>
      <c r="H320" s="12">
        <v>30</v>
      </c>
      <c r="I320" s="13"/>
      <c r="J320" s="12"/>
    </row>
    <row r="321" spans="1:10">
      <c r="A321" s="12">
        <f>IF(B321="","",COUNTA($B$4:B321))</f>
        <v>318</v>
      </c>
      <c r="B321" s="12" t="s">
        <v>2120</v>
      </c>
      <c r="C321" s="12" t="s">
        <v>2121</v>
      </c>
      <c r="D321" s="12"/>
      <c r="E321" s="12" t="s">
        <v>2121</v>
      </c>
      <c r="F321" s="12" t="s">
        <v>1861</v>
      </c>
      <c r="G321" s="12" t="s">
        <v>1862</v>
      </c>
      <c r="H321" s="12">
        <v>30</v>
      </c>
      <c r="I321" s="13"/>
      <c r="J321" s="12"/>
    </row>
    <row r="322" spans="1:10">
      <c r="A322" s="12">
        <f>IF(B322="","",COUNTA($B$4:B322))</f>
        <v>319</v>
      </c>
      <c r="B322" s="12" t="s">
        <v>2120</v>
      </c>
      <c r="C322" s="12" t="s">
        <v>1891</v>
      </c>
      <c r="D322" s="12" t="s">
        <v>1444</v>
      </c>
      <c r="E322" s="12" t="s">
        <v>1891</v>
      </c>
      <c r="F322" s="12" t="s">
        <v>1861</v>
      </c>
      <c r="G322" s="12" t="s">
        <v>1862</v>
      </c>
      <c r="H322" s="12">
        <v>4</v>
      </c>
      <c r="I322" s="13"/>
      <c r="J322" s="12"/>
    </row>
    <row r="323" spans="1:10">
      <c r="A323" s="12">
        <f>IF(B323="","",COUNTA($B$4:B323))</f>
        <v>320</v>
      </c>
      <c r="B323" s="12" t="s">
        <v>2120</v>
      </c>
      <c r="C323" s="12" t="s">
        <v>2122</v>
      </c>
      <c r="D323" s="12"/>
      <c r="E323" s="12" t="s">
        <v>2122</v>
      </c>
      <c r="F323" s="12" t="s">
        <v>1861</v>
      </c>
      <c r="G323" s="12" t="s">
        <v>1862</v>
      </c>
      <c r="H323" s="12">
        <v>3</v>
      </c>
      <c r="I323" s="13"/>
      <c r="J323" s="12"/>
    </row>
    <row r="324" spans="1:10">
      <c r="A324" s="12">
        <f>IF(B324="","",COUNTA($B$4:B324))</f>
        <v>321</v>
      </c>
      <c r="B324" s="12" t="s">
        <v>2120</v>
      </c>
      <c r="C324" s="12" t="s">
        <v>1935</v>
      </c>
      <c r="D324" s="12" t="s">
        <v>570</v>
      </c>
      <c r="E324" s="12" t="s">
        <v>1935</v>
      </c>
      <c r="F324" s="12" t="s">
        <v>1861</v>
      </c>
      <c r="G324" s="12" t="s">
        <v>1862</v>
      </c>
      <c r="H324" s="12">
        <v>2</v>
      </c>
      <c r="I324" s="13"/>
      <c r="J324" s="12"/>
    </row>
    <row r="325" spans="1:10">
      <c r="A325" s="12">
        <f>IF(B325="","",COUNTA($B$4:B325))</f>
        <v>322</v>
      </c>
      <c r="B325" s="12" t="s">
        <v>2120</v>
      </c>
      <c r="C325" s="12" t="s">
        <v>1937</v>
      </c>
      <c r="D325" s="12" t="s">
        <v>572</v>
      </c>
      <c r="E325" s="12" t="s">
        <v>1937</v>
      </c>
      <c r="F325" s="12" t="s">
        <v>1861</v>
      </c>
      <c r="G325" s="12" t="s">
        <v>1862</v>
      </c>
      <c r="H325" s="12">
        <v>2</v>
      </c>
      <c r="I325" s="13"/>
      <c r="J325" s="12"/>
    </row>
    <row r="326" spans="1:10">
      <c r="A326" s="12">
        <f>IF(B326="","",COUNTA($B$4:B326))</f>
        <v>323</v>
      </c>
      <c r="B326" s="12" t="s">
        <v>2120</v>
      </c>
      <c r="C326" s="12" t="s">
        <v>1939</v>
      </c>
      <c r="D326" s="12" t="s">
        <v>459</v>
      </c>
      <c r="E326" s="12" t="s">
        <v>1939</v>
      </c>
      <c r="F326" s="12" t="s">
        <v>1861</v>
      </c>
      <c r="G326" s="12" t="s">
        <v>1862</v>
      </c>
      <c r="H326" s="12">
        <v>2</v>
      </c>
      <c r="I326" s="13"/>
      <c r="J326" s="12"/>
    </row>
    <row r="327" spans="1:10">
      <c r="A327" s="12">
        <f>IF(B327="","",COUNTA($B$4:B327))</f>
        <v>324</v>
      </c>
      <c r="B327" s="12" t="s">
        <v>2120</v>
      </c>
      <c r="C327" s="12" t="s">
        <v>1916</v>
      </c>
      <c r="D327" s="12" t="s">
        <v>432</v>
      </c>
      <c r="E327" s="12" t="s">
        <v>1916</v>
      </c>
      <c r="F327" s="12" t="s">
        <v>1899</v>
      </c>
      <c r="G327" s="12" t="s">
        <v>1900</v>
      </c>
      <c r="H327" s="12">
        <v>7</v>
      </c>
      <c r="I327" s="13">
        <v>3</v>
      </c>
      <c r="J327" s="12"/>
    </row>
    <row r="328" spans="1:10">
      <c r="A328" s="12">
        <f>IF(B328="","",COUNTA($B$4:B328))</f>
        <v>325</v>
      </c>
      <c r="B328" s="12" t="s">
        <v>2120</v>
      </c>
      <c r="C328" s="12" t="s">
        <v>2123</v>
      </c>
      <c r="D328" s="12" t="s">
        <v>1414</v>
      </c>
      <c r="E328" s="12" t="s">
        <v>2123</v>
      </c>
      <c r="F328" s="12" t="s">
        <v>1899</v>
      </c>
      <c r="G328" s="12" t="s">
        <v>1900</v>
      </c>
      <c r="H328" s="12">
        <v>7</v>
      </c>
      <c r="I328" s="13">
        <v>1</v>
      </c>
      <c r="J328" s="12"/>
    </row>
    <row r="329" spans="1:10">
      <c r="A329" s="12">
        <f>IF(B329="","",COUNTA($B$4:B329))</f>
        <v>326</v>
      </c>
      <c r="B329" s="12" t="s">
        <v>2120</v>
      </c>
      <c r="C329" s="12" t="s">
        <v>1873</v>
      </c>
      <c r="D329" s="12" t="s">
        <v>624</v>
      </c>
      <c r="E329" s="12" t="s">
        <v>1875</v>
      </c>
      <c r="F329" s="12" t="s">
        <v>1861</v>
      </c>
      <c r="G329" s="12" t="s">
        <v>1862</v>
      </c>
      <c r="H329" s="12">
        <v>10</v>
      </c>
      <c r="I329" s="13"/>
      <c r="J329" s="12"/>
    </row>
    <row r="330" spans="1:10">
      <c r="A330" s="12">
        <f>IF(B330="","",COUNTA($B$4:B330))</f>
        <v>327</v>
      </c>
      <c r="B330" s="12" t="s">
        <v>2120</v>
      </c>
      <c r="C330" s="12" t="s">
        <v>1876</v>
      </c>
      <c r="D330" s="12" t="s">
        <v>624</v>
      </c>
      <c r="E330" s="12" t="s">
        <v>1876</v>
      </c>
      <c r="F330" s="12" t="s">
        <v>1861</v>
      </c>
      <c r="G330" s="12" t="s">
        <v>1862</v>
      </c>
      <c r="H330" s="12">
        <v>10</v>
      </c>
      <c r="I330" s="13"/>
      <c r="J330" s="12"/>
    </row>
    <row r="331" spans="1:10">
      <c r="A331" s="12">
        <f>IF(B331="","",COUNTA($B$4:B331))</f>
        <v>328</v>
      </c>
      <c r="B331" s="12" t="s">
        <v>2120</v>
      </c>
      <c r="C331" s="12" t="s">
        <v>1877</v>
      </c>
      <c r="D331" s="12" t="s">
        <v>548</v>
      </c>
      <c r="E331" s="12" t="s">
        <v>1877</v>
      </c>
      <c r="F331" s="12" t="s">
        <v>1879</v>
      </c>
      <c r="G331" s="12" t="s">
        <v>1880</v>
      </c>
      <c r="H331" s="12"/>
      <c r="I331" s="13"/>
      <c r="J331" s="12"/>
    </row>
    <row r="332" spans="1:10">
      <c r="A332" s="12">
        <f>IF(B332="","",COUNTA($B$4:B332))</f>
        <v>329</v>
      </c>
      <c r="B332" s="12" t="s">
        <v>2120</v>
      </c>
      <c r="C332" s="12" t="s">
        <v>1881</v>
      </c>
      <c r="D332" s="12" t="s">
        <v>626</v>
      </c>
      <c r="E332" s="12" t="s">
        <v>1883</v>
      </c>
      <c r="F332" s="12" t="s">
        <v>1861</v>
      </c>
      <c r="G332" s="12" t="s">
        <v>1862</v>
      </c>
      <c r="H332" s="12">
        <v>10</v>
      </c>
      <c r="I332" s="13"/>
      <c r="J332" s="12"/>
    </row>
    <row r="333" spans="1:10">
      <c r="A333" s="12">
        <f>IF(B333="","",COUNTA($B$4:B333))</f>
        <v>330</v>
      </c>
      <c r="B333" s="12" t="s">
        <v>2120</v>
      </c>
      <c r="C333" s="12" t="s">
        <v>1884</v>
      </c>
      <c r="D333" s="12" t="s">
        <v>390</v>
      </c>
      <c r="E333" s="12" t="s">
        <v>1884</v>
      </c>
      <c r="F333" s="12" t="s">
        <v>1861</v>
      </c>
      <c r="G333" s="12" t="s">
        <v>1862</v>
      </c>
      <c r="H333" s="12">
        <v>10</v>
      </c>
      <c r="I333" s="13" t="s">
        <v>1585</v>
      </c>
      <c r="J333" s="12"/>
    </row>
    <row r="334" spans="1:10">
      <c r="A334" s="12">
        <f>IF(B334="","",COUNTA($B$4:B334))</f>
        <v>331</v>
      </c>
      <c r="B334" s="12" t="s">
        <v>2120</v>
      </c>
      <c r="C334" s="12" t="s">
        <v>1886</v>
      </c>
      <c r="D334" s="12" t="s">
        <v>1887</v>
      </c>
      <c r="E334" s="12" t="s">
        <v>1886</v>
      </c>
      <c r="F334" s="12" t="s">
        <v>1879</v>
      </c>
      <c r="G334" s="12" t="s">
        <v>1880</v>
      </c>
      <c r="H334" s="12"/>
      <c r="I334" s="13" t="s">
        <v>1585</v>
      </c>
      <c r="J334" s="12"/>
    </row>
    <row r="335" spans="1:10">
      <c r="A335" s="12">
        <f>IF(B335="","",COUNTA($B$4:B335))</f>
        <v>332</v>
      </c>
      <c r="B335" s="12" t="s">
        <v>2124</v>
      </c>
      <c r="C335" s="12" t="s">
        <v>1859</v>
      </c>
      <c r="D335" s="12" t="s">
        <v>1860</v>
      </c>
      <c r="E335" s="12" t="s">
        <v>1859</v>
      </c>
      <c r="F335" s="12" t="s">
        <v>1861</v>
      </c>
      <c r="G335" s="12" t="s">
        <v>1862</v>
      </c>
      <c r="H335" s="12">
        <v>6</v>
      </c>
      <c r="I335" s="13"/>
      <c r="J335" s="12"/>
    </row>
    <row r="336" spans="1:10">
      <c r="A336" s="12">
        <f>IF(B336="","",COUNTA($B$4:B336))</f>
        <v>333</v>
      </c>
      <c r="B336" s="12" t="s">
        <v>2124</v>
      </c>
      <c r="C336" s="12" t="s">
        <v>1893</v>
      </c>
      <c r="D336" s="12" t="s">
        <v>1894</v>
      </c>
      <c r="E336" s="12" t="s">
        <v>1893</v>
      </c>
      <c r="F336" s="12" t="s">
        <v>1861</v>
      </c>
      <c r="G336" s="12" t="s">
        <v>1862</v>
      </c>
      <c r="H336" s="12">
        <v>20</v>
      </c>
      <c r="I336" s="13"/>
      <c r="J336" s="12"/>
    </row>
    <row r="337" spans="1:10">
      <c r="A337" s="12">
        <f>IF(B337="","",COUNTA($B$4:B337))</f>
        <v>334</v>
      </c>
      <c r="B337" s="12" t="s">
        <v>2124</v>
      </c>
      <c r="C337" s="12" t="s">
        <v>2125</v>
      </c>
      <c r="D337" s="12" t="s">
        <v>2068</v>
      </c>
      <c r="E337" s="12" t="s">
        <v>2125</v>
      </c>
      <c r="F337" s="12" t="s">
        <v>1879</v>
      </c>
      <c r="G337" s="12" t="s">
        <v>1880</v>
      </c>
      <c r="H337" s="12"/>
      <c r="I337" s="13"/>
      <c r="J337" s="12" t="s">
        <v>1447</v>
      </c>
    </row>
    <row r="338" spans="1:10">
      <c r="A338" s="12">
        <f>IF(B338="","",COUNTA($B$4:B338))</f>
        <v>335</v>
      </c>
      <c r="B338" s="12" t="s">
        <v>2124</v>
      </c>
      <c r="C338" s="12" t="s">
        <v>1933</v>
      </c>
      <c r="D338" s="12" t="s">
        <v>1934</v>
      </c>
      <c r="E338" s="12" t="s">
        <v>1933</v>
      </c>
      <c r="F338" s="12" t="s">
        <v>1861</v>
      </c>
      <c r="G338" s="12" t="s">
        <v>1862</v>
      </c>
      <c r="H338" s="12">
        <v>5</v>
      </c>
      <c r="I338" s="13"/>
      <c r="J338" s="12" t="s">
        <v>1447</v>
      </c>
    </row>
    <row r="339" spans="1:10">
      <c r="A339" s="12">
        <f>IF(B339="","",COUNTA($B$4:B339))</f>
        <v>336</v>
      </c>
      <c r="B339" s="12" t="s">
        <v>2124</v>
      </c>
      <c r="C339" s="12" t="s">
        <v>1895</v>
      </c>
      <c r="D339" s="12" t="s">
        <v>1896</v>
      </c>
      <c r="E339" s="12" t="s">
        <v>1895</v>
      </c>
      <c r="F339" s="12" t="s">
        <v>1861</v>
      </c>
      <c r="G339" s="12" t="s">
        <v>1862</v>
      </c>
      <c r="H339" s="12">
        <v>30</v>
      </c>
      <c r="I339" s="13"/>
      <c r="J339" s="12" t="s">
        <v>1447</v>
      </c>
    </row>
    <row r="340" spans="1:10">
      <c r="A340" s="12">
        <f>IF(B340="","",COUNTA($B$4:B340))</f>
        <v>337</v>
      </c>
      <c r="B340" s="12" t="s">
        <v>2124</v>
      </c>
      <c r="C340" s="12" t="s">
        <v>1935</v>
      </c>
      <c r="D340" s="12" t="s">
        <v>1936</v>
      </c>
      <c r="E340" s="12" t="s">
        <v>1935</v>
      </c>
      <c r="F340" s="12" t="s">
        <v>1861</v>
      </c>
      <c r="G340" s="12" t="s">
        <v>1862</v>
      </c>
      <c r="H340" s="12">
        <v>2</v>
      </c>
      <c r="I340" s="13"/>
      <c r="J340" s="12" t="s">
        <v>1447</v>
      </c>
    </row>
    <row r="341" spans="1:10">
      <c r="A341" s="12">
        <f>IF(B341="","",COUNTA($B$4:B341))</f>
        <v>338</v>
      </c>
      <c r="B341" s="12" t="s">
        <v>2124</v>
      </c>
      <c r="C341" s="12" t="s">
        <v>2126</v>
      </c>
      <c r="D341" s="12"/>
      <c r="E341" s="12" t="s">
        <v>2126</v>
      </c>
      <c r="F341" s="12" t="s">
        <v>1861</v>
      </c>
      <c r="G341" s="12" t="s">
        <v>1862</v>
      </c>
      <c r="H341" s="12">
        <v>30</v>
      </c>
      <c r="I341" s="13"/>
      <c r="J341" s="12" t="s">
        <v>1447</v>
      </c>
    </row>
    <row r="342" spans="1:10">
      <c r="A342" s="12">
        <f>IF(B342="","",COUNTA($B$4:B342))</f>
        <v>339</v>
      </c>
      <c r="B342" s="12" t="s">
        <v>2124</v>
      </c>
      <c r="C342" s="12" t="s">
        <v>1937</v>
      </c>
      <c r="D342" s="12" t="s">
        <v>1938</v>
      </c>
      <c r="E342" s="12" t="s">
        <v>1937</v>
      </c>
      <c r="F342" s="12" t="s">
        <v>1861</v>
      </c>
      <c r="G342" s="12" t="s">
        <v>1862</v>
      </c>
      <c r="H342" s="12">
        <v>2</v>
      </c>
      <c r="I342" s="13"/>
      <c r="J342" s="12" t="s">
        <v>1447</v>
      </c>
    </row>
    <row r="343" spans="1:10">
      <c r="A343" s="12">
        <f>IF(B343="","",COUNTA($B$4:B343))</f>
        <v>340</v>
      </c>
      <c r="B343" s="12" t="s">
        <v>2124</v>
      </c>
      <c r="C343" s="12" t="s">
        <v>2127</v>
      </c>
      <c r="D343" s="12"/>
      <c r="E343" s="12" t="s">
        <v>2127</v>
      </c>
      <c r="F343" s="12" t="s">
        <v>1861</v>
      </c>
      <c r="G343" s="12" t="s">
        <v>1862</v>
      </c>
      <c r="H343" s="12">
        <v>30</v>
      </c>
      <c r="I343" s="13"/>
      <c r="J343" s="12" t="s">
        <v>1447</v>
      </c>
    </row>
    <row r="344" spans="1:10">
      <c r="A344" s="12">
        <f>IF(B344="","",COUNTA($B$4:B344))</f>
        <v>341</v>
      </c>
      <c r="B344" s="12" t="s">
        <v>2124</v>
      </c>
      <c r="C344" s="12" t="s">
        <v>2128</v>
      </c>
      <c r="D344" s="12"/>
      <c r="E344" s="12" t="s">
        <v>2128</v>
      </c>
      <c r="F344" s="12" t="s">
        <v>1899</v>
      </c>
      <c r="G344" s="12" t="s">
        <v>1900</v>
      </c>
      <c r="H344" s="12">
        <v>7</v>
      </c>
      <c r="I344" s="13">
        <v>1</v>
      </c>
      <c r="J344" s="12"/>
    </row>
    <row r="345" spans="1:10">
      <c r="A345" s="12">
        <f>IF(B345="","",COUNTA($B$4:B345))</f>
        <v>342</v>
      </c>
      <c r="B345" s="12" t="s">
        <v>2124</v>
      </c>
      <c r="C345" s="12" t="s">
        <v>2129</v>
      </c>
      <c r="D345" s="12"/>
      <c r="E345" s="12" t="s">
        <v>2129</v>
      </c>
      <c r="F345" s="12" t="s">
        <v>1899</v>
      </c>
      <c r="G345" s="12" t="s">
        <v>1900</v>
      </c>
      <c r="H345" s="12">
        <v>7</v>
      </c>
      <c r="I345" s="13">
        <v>1</v>
      </c>
      <c r="J345" s="12"/>
    </row>
    <row r="346" spans="1:10">
      <c r="A346" s="12">
        <f>IF(B346="","",COUNTA($B$4:B346))</f>
        <v>343</v>
      </c>
      <c r="B346" s="12" t="s">
        <v>2124</v>
      </c>
      <c r="C346" s="12" t="s">
        <v>2130</v>
      </c>
      <c r="D346" s="12"/>
      <c r="E346" s="12" t="s">
        <v>2130</v>
      </c>
      <c r="F346" s="12" t="s">
        <v>1899</v>
      </c>
      <c r="G346" s="12" t="s">
        <v>1900</v>
      </c>
      <c r="H346" s="12">
        <v>7</v>
      </c>
      <c r="I346" s="13">
        <v>1</v>
      </c>
      <c r="J346" s="12"/>
    </row>
    <row r="347" spans="1:10">
      <c r="A347" s="12">
        <f>IF(B347="","",COUNTA($B$4:B347))</f>
        <v>344</v>
      </c>
      <c r="B347" s="12" t="s">
        <v>2124</v>
      </c>
      <c r="C347" s="12" t="s">
        <v>2131</v>
      </c>
      <c r="D347" s="12"/>
      <c r="E347" s="12" t="s">
        <v>2131</v>
      </c>
      <c r="F347" s="12" t="s">
        <v>1899</v>
      </c>
      <c r="G347" s="12" t="s">
        <v>1900</v>
      </c>
      <c r="H347" s="12">
        <v>7</v>
      </c>
      <c r="I347" s="13">
        <v>1</v>
      </c>
      <c r="J347" s="12"/>
    </row>
    <row r="348" spans="1:10">
      <c r="A348" s="12">
        <f>IF(B348="","",COUNTA($B$4:B348))</f>
        <v>345</v>
      </c>
      <c r="B348" s="12" t="s">
        <v>2124</v>
      </c>
      <c r="C348" s="12" t="s">
        <v>2132</v>
      </c>
      <c r="D348" s="12"/>
      <c r="E348" s="12" t="s">
        <v>2132</v>
      </c>
      <c r="F348" s="12" t="s">
        <v>1899</v>
      </c>
      <c r="G348" s="12" t="s">
        <v>1900</v>
      </c>
      <c r="H348" s="12">
        <v>7</v>
      </c>
      <c r="I348" s="13">
        <v>1</v>
      </c>
      <c r="J348" s="12"/>
    </row>
    <row r="349" spans="1:10">
      <c r="A349" s="12">
        <f>IF(B349="","",COUNTA($B$4:B349))</f>
        <v>346</v>
      </c>
      <c r="B349" s="12" t="s">
        <v>2124</v>
      </c>
      <c r="C349" s="12" t="s">
        <v>2133</v>
      </c>
      <c r="D349" s="12"/>
      <c r="E349" s="12" t="s">
        <v>2133</v>
      </c>
      <c r="F349" s="12" t="s">
        <v>1899</v>
      </c>
      <c r="G349" s="12" t="s">
        <v>1900</v>
      </c>
      <c r="H349" s="12">
        <v>7</v>
      </c>
      <c r="I349" s="13">
        <v>1</v>
      </c>
      <c r="J349" s="12"/>
    </row>
    <row r="350" spans="1:10">
      <c r="A350" s="12">
        <f>IF(B350="","",COUNTA($B$4:B350))</f>
        <v>347</v>
      </c>
      <c r="B350" s="12" t="s">
        <v>2124</v>
      </c>
      <c r="C350" s="12" t="s">
        <v>2134</v>
      </c>
      <c r="D350" s="12"/>
      <c r="E350" s="12" t="s">
        <v>2134</v>
      </c>
      <c r="F350" s="12" t="s">
        <v>1899</v>
      </c>
      <c r="G350" s="12" t="s">
        <v>1900</v>
      </c>
      <c r="H350" s="12">
        <v>7</v>
      </c>
      <c r="I350" s="13">
        <v>1</v>
      </c>
      <c r="J350" s="12"/>
    </row>
    <row r="351" spans="1:10">
      <c r="A351" s="12">
        <f>IF(B351="","",COUNTA($B$4:B351))</f>
        <v>348</v>
      </c>
      <c r="B351" s="12" t="s">
        <v>2124</v>
      </c>
      <c r="C351" s="12" t="s">
        <v>2135</v>
      </c>
      <c r="D351" s="12"/>
      <c r="E351" s="12" t="s">
        <v>2135</v>
      </c>
      <c r="F351" s="12" t="s">
        <v>1899</v>
      </c>
      <c r="G351" s="12" t="s">
        <v>1900</v>
      </c>
      <c r="H351" s="12">
        <v>7</v>
      </c>
      <c r="I351" s="13">
        <v>1</v>
      </c>
      <c r="J351" s="12"/>
    </row>
    <row r="352" spans="1:10">
      <c r="A352" s="12">
        <f>IF(B352="","",COUNTA($B$4:B352))</f>
        <v>349</v>
      </c>
      <c r="B352" s="12" t="s">
        <v>2124</v>
      </c>
      <c r="C352" s="12" t="s">
        <v>2136</v>
      </c>
      <c r="D352" s="12" t="s">
        <v>2137</v>
      </c>
      <c r="E352" s="12" t="s">
        <v>2136</v>
      </c>
      <c r="F352" s="12" t="s">
        <v>1861</v>
      </c>
      <c r="G352" s="12" t="s">
        <v>1862</v>
      </c>
      <c r="H352" s="12">
        <v>1</v>
      </c>
      <c r="I352" s="13"/>
      <c r="J352" s="12"/>
    </row>
    <row r="353" spans="1:10">
      <c r="A353" s="12">
        <f>IF(B353="","",COUNTA($B$4:B353))</f>
        <v>350</v>
      </c>
      <c r="B353" s="12" t="s">
        <v>2124</v>
      </c>
      <c r="C353" s="12" t="s">
        <v>1873</v>
      </c>
      <c r="D353" s="12" t="s">
        <v>1874</v>
      </c>
      <c r="E353" s="12" t="s">
        <v>1875</v>
      </c>
      <c r="F353" s="12" t="s">
        <v>1861</v>
      </c>
      <c r="G353" s="12" t="s">
        <v>1862</v>
      </c>
      <c r="H353" s="12">
        <v>10</v>
      </c>
      <c r="I353" s="13"/>
      <c r="J353" s="12"/>
    </row>
    <row r="354" spans="1:10">
      <c r="A354" s="12">
        <f>IF(B354="","",COUNTA($B$4:B354))</f>
        <v>351</v>
      </c>
      <c r="B354" s="12" t="s">
        <v>2124</v>
      </c>
      <c r="C354" s="12" t="s">
        <v>1876</v>
      </c>
      <c r="D354" s="12" t="s">
        <v>2138</v>
      </c>
      <c r="E354" s="12" t="s">
        <v>1876</v>
      </c>
      <c r="F354" s="12" t="s">
        <v>1861</v>
      </c>
      <c r="G354" s="12" t="s">
        <v>1862</v>
      </c>
      <c r="H354" s="12">
        <v>10</v>
      </c>
      <c r="I354" s="13"/>
      <c r="J354" s="12"/>
    </row>
    <row r="355" spans="1:10">
      <c r="A355" s="12">
        <f>IF(B355="","",COUNTA($B$4:B355))</f>
        <v>352</v>
      </c>
      <c r="B355" s="12" t="s">
        <v>2124</v>
      </c>
      <c r="C355" s="12" t="s">
        <v>1877</v>
      </c>
      <c r="D355" s="12" t="s">
        <v>1878</v>
      </c>
      <c r="E355" s="12" t="s">
        <v>1877</v>
      </c>
      <c r="F355" s="12" t="s">
        <v>1879</v>
      </c>
      <c r="G355" s="12" t="s">
        <v>1880</v>
      </c>
      <c r="H355" s="12"/>
      <c r="I355" s="13"/>
      <c r="J355" s="12"/>
    </row>
    <row r="356" spans="1:10">
      <c r="A356" s="12">
        <f>IF(B356="","",COUNTA($B$4:B356))</f>
        <v>353</v>
      </c>
      <c r="B356" s="12" t="s">
        <v>2124</v>
      </c>
      <c r="C356" s="12" t="s">
        <v>1881</v>
      </c>
      <c r="D356" s="12" t="s">
        <v>1931</v>
      </c>
      <c r="E356" s="12" t="s">
        <v>1883</v>
      </c>
      <c r="F356" s="12" t="s">
        <v>1861</v>
      </c>
      <c r="G356" s="12" t="s">
        <v>1862</v>
      </c>
      <c r="H356" s="12">
        <v>10</v>
      </c>
      <c r="I356" s="13"/>
      <c r="J356" s="12"/>
    </row>
    <row r="357" spans="1:10">
      <c r="A357" s="12">
        <f>IF(B357="","",COUNTA($B$4:B357))</f>
        <v>354</v>
      </c>
      <c r="B357" s="12" t="s">
        <v>2124</v>
      </c>
      <c r="C357" s="12" t="s">
        <v>1884</v>
      </c>
      <c r="D357" s="12" t="s">
        <v>1885</v>
      </c>
      <c r="E357" s="12" t="s">
        <v>1884</v>
      </c>
      <c r="F357" s="12" t="s">
        <v>1861</v>
      </c>
      <c r="G357" s="12" t="s">
        <v>1862</v>
      </c>
      <c r="H357" s="12">
        <v>10</v>
      </c>
      <c r="I357" s="13" t="s">
        <v>1585</v>
      </c>
      <c r="J357" s="12"/>
    </row>
    <row r="358" spans="1:10">
      <c r="A358" s="12">
        <f>IF(B358="","",COUNTA($B$4:B358))</f>
        <v>355</v>
      </c>
      <c r="B358" s="12" t="s">
        <v>2124</v>
      </c>
      <c r="C358" s="12" t="s">
        <v>1886</v>
      </c>
      <c r="D358" s="12" t="s">
        <v>1887</v>
      </c>
      <c r="E358" s="12" t="s">
        <v>1886</v>
      </c>
      <c r="F358" s="12" t="s">
        <v>1879</v>
      </c>
      <c r="G358" s="12" t="s">
        <v>1880</v>
      </c>
      <c r="H358" s="12"/>
      <c r="I358" s="13" t="s">
        <v>1585</v>
      </c>
      <c r="J358" s="12"/>
    </row>
    <row r="359" spans="1:10">
      <c r="A359" s="12">
        <f>IF(B359="","",COUNTA($B$4:B359))</f>
        <v>356</v>
      </c>
      <c r="B359" s="12" t="s">
        <v>2139</v>
      </c>
      <c r="C359" s="12" t="s">
        <v>2140</v>
      </c>
      <c r="D359" s="12" t="s">
        <v>2141</v>
      </c>
      <c r="E359" s="12" t="s">
        <v>2140</v>
      </c>
      <c r="F359" s="12" t="s">
        <v>1861</v>
      </c>
      <c r="G359" s="12" t="s">
        <v>1862</v>
      </c>
      <c r="H359" s="12">
        <v>15</v>
      </c>
      <c r="I359" s="13" t="s">
        <v>1585</v>
      </c>
      <c r="J359" s="12"/>
    </row>
    <row r="360" spans="1:10">
      <c r="A360" s="12">
        <f>IF(B360="","",COUNTA($B$4:B360))</f>
        <v>357</v>
      </c>
      <c r="B360" s="12" t="s">
        <v>2139</v>
      </c>
      <c r="C360" s="12" t="s">
        <v>2142</v>
      </c>
      <c r="D360" s="12" t="s">
        <v>2143</v>
      </c>
      <c r="E360" s="12" t="s">
        <v>2142</v>
      </c>
      <c r="F360" s="12" t="s">
        <v>1861</v>
      </c>
      <c r="G360" s="12" t="s">
        <v>1862</v>
      </c>
      <c r="H360" s="12">
        <v>11</v>
      </c>
      <c r="I360" s="13" t="s">
        <v>1585</v>
      </c>
      <c r="J360" s="12"/>
    </row>
    <row r="361" spans="1:10">
      <c r="A361" s="12">
        <f>IF(B361="","",COUNTA($B$4:B361))</f>
        <v>358</v>
      </c>
      <c r="B361" s="12" t="s">
        <v>2139</v>
      </c>
      <c r="C361" s="12" t="s">
        <v>2144</v>
      </c>
      <c r="D361" s="12" t="s">
        <v>2145</v>
      </c>
      <c r="E361" s="12" t="s">
        <v>2144</v>
      </c>
      <c r="F361" s="12" t="s">
        <v>1861</v>
      </c>
      <c r="G361" s="12" t="s">
        <v>1862</v>
      </c>
      <c r="H361" s="12">
        <v>11</v>
      </c>
      <c r="I361" s="13" t="s">
        <v>1585</v>
      </c>
      <c r="J361" s="12"/>
    </row>
    <row r="362" spans="1:10">
      <c r="A362" s="12">
        <f>IF(B362="","",COUNTA($B$4:B362))</f>
        <v>359</v>
      </c>
      <c r="B362" s="12" t="s">
        <v>2139</v>
      </c>
      <c r="C362" s="12" t="s">
        <v>2146</v>
      </c>
      <c r="D362" s="12" t="s">
        <v>2147</v>
      </c>
      <c r="E362" s="12" t="s">
        <v>2146</v>
      </c>
      <c r="F362" s="12" t="s">
        <v>1899</v>
      </c>
      <c r="G362" s="12" t="s">
        <v>1900</v>
      </c>
      <c r="H362" s="12">
        <v>3</v>
      </c>
      <c r="I362" s="13" t="s">
        <v>1585</v>
      </c>
      <c r="J362" s="12"/>
    </row>
    <row r="363" spans="1:10">
      <c r="A363" s="12">
        <f>IF(B363="","",COUNTA($B$4:B363))</f>
        <v>360</v>
      </c>
      <c r="B363" s="12" t="s">
        <v>2139</v>
      </c>
      <c r="C363" s="12" t="s">
        <v>2148</v>
      </c>
      <c r="D363" s="12" t="s">
        <v>1993</v>
      </c>
      <c r="E363" s="12" t="s">
        <v>2148</v>
      </c>
      <c r="F363" s="12" t="s">
        <v>1861</v>
      </c>
      <c r="G363" s="12" t="s">
        <v>1862</v>
      </c>
      <c r="H363" s="12">
        <v>2</v>
      </c>
      <c r="I363" s="13" t="s">
        <v>1585</v>
      </c>
      <c r="J363" s="12"/>
    </row>
    <row r="364" spans="1:10">
      <c r="A364" s="12">
        <f>IF(B364="","",COUNTA($B$4:B364))</f>
        <v>361</v>
      </c>
      <c r="B364" s="12" t="s">
        <v>2139</v>
      </c>
      <c r="C364" s="12" t="s">
        <v>2149</v>
      </c>
      <c r="D364" s="12" t="s">
        <v>2150</v>
      </c>
      <c r="E364" s="12" t="s">
        <v>2149</v>
      </c>
      <c r="F364" s="12" t="s">
        <v>1861</v>
      </c>
      <c r="G364" s="12" t="s">
        <v>1862</v>
      </c>
      <c r="H364" s="12">
        <v>2</v>
      </c>
      <c r="I364" s="13"/>
      <c r="J364" s="12"/>
    </row>
    <row r="365" spans="1:10">
      <c r="A365" s="12">
        <f>IF(B365="","",COUNTA($B$4:B365))</f>
        <v>362</v>
      </c>
      <c r="B365" s="12" t="s">
        <v>2139</v>
      </c>
      <c r="C365" s="12" t="s">
        <v>2036</v>
      </c>
      <c r="D365" s="12" t="s">
        <v>2037</v>
      </c>
      <c r="E365" s="12" t="s">
        <v>2036</v>
      </c>
      <c r="F365" s="12" t="s">
        <v>1899</v>
      </c>
      <c r="G365" s="12" t="s">
        <v>1900</v>
      </c>
      <c r="H365" s="12">
        <v>3</v>
      </c>
      <c r="I365" s="13" t="s">
        <v>1585</v>
      </c>
      <c r="J365" s="12"/>
    </row>
    <row r="366" spans="1:10">
      <c r="A366" s="12">
        <f>IF(B366="","",COUNTA($B$4:B366))</f>
        <v>363</v>
      </c>
      <c r="B366" s="12" t="s">
        <v>2139</v>
      </c>
      <c r="C366" s="12" t="s">
        <v>2039</v>
      </c>
      <c r="D366" s="12" t="s">
        <v>2040</v>
      </c>
      <c r="E366" s="12" t="s">
        <v>2039</v>
      </c>
      <c r="F366" s="12" t="s">
        <v>1879</v>
      </c>
      <c r="G366" s="12" t="s">
        <v>1880</v>
      </c>
      <c r="H366" s="12"/>
      <c r="I366" s="13"/>
      <c r="J366" s="12"/>
    </row>
    <row r="367" spans="1:10">
      <c r="A367" s="12">
        <f>IF(B367="","",COUNTA($B$4:B367))</f>
        <v>364</v>
      </c>
      <c r="B367" s="12" t="s">
        <v>2139</v>
      </c>
      <c r="C367" s="12" t="s">
        <v>2041</v>
      </c>
      <c r="D367" s="12" t="s">
        <v>1425</v>
      </c>
      <c r="E367" s="12" t="s">
        <v>2041</v>
      </c>
      <c r="F367" s="12" t="s">
        <v>1861</v>
      </c>
      <c r="G367" s="12" t="s">
        <v>1862</v>
      </c>
      <c r="H367" s="12">
        <v>3</v>
      </c>
      <c r="I367" s="13"/>
      <c r="J367" s="12" t="s">
        <v>1447</v>
      </c>
    </row>
    <row r="368" spans="1:10">
      <c r="A368" s="12">
        <f>IF(B368="","",COUNTA($B$4:B368))</f>
        <v>365</v>
      </c>
      <c r="B368" s="12" t="s">
        <v>2139</v>
      </c>
      <c r="C368" s="12" t="s">
        <v>2045</v>
      </c>
      <c r="D368" s="12" t="s">
        <v>2046</v>
      </c>
      <c r="E368" s="12" t="s">
        <v>2045</v>
      </c>
      <c r="F368" s="12" t="s">
        <v>1861</v>
      </c>
      <c r="G368" s="12" t="s">
        <v>1862</v>
      </c>
      <c r="H368" s="12">
        <v>3</v>
      </c>
      <c r="I368" s="13"/>
      <c r="J368" s="12"/>
    </row>
    <row r="369" spans="1:10">
      <c r="A369" s="12">
        <f>IF(B369="","",COUNTA($B$4:B369))</f>
        <v>366</v>
      </c>
      <c r="B369" s="12" t="s">
        <v>2139</v>
      </c>
      <c r="C369" s="12" t="s">
        <v>1891</v>
      </c>
      <c r="D369" s="12" t="s">
        <v>1892</v>
      </c>
      <c r="E369" s="12" t="s">
        <v>1891</v>
      </c>
      <c r="F369" s="12" t="s">
        <v>1861</v>
      </c>
      <c r="G369" s="12" t="s">
        <v>1862</v>
      </c>
      <c r="H369" s="12">
        <v>4</v>
      </c>
      <c r="I369" s="13"/>
      <c r="J369" s="12"/>
    </row>
    <row r="370" spans="1:10">
      <c r="A370" s="12">
        <f>IF(B370="","",COUNTA($B$4:B370))</f>
        <v>367</v>
      </c>
      <c r="B370" s="12" t="s">
        <v>2139</v>
      </c>
      <c r="C370" s="12" t="s">
        <v>1933</v>
      </c>
      <c r="D370" s="12" t="s">
        <v>1934</v>
      </c>
      <c r="E370" s="12" t="s">
        <v>1933</v>
      </c>
      <c r="F370" s="12" t="s">
        <v>1861</v>
      </c>
      <c r="G370" s="12" t="s">
        <v>1862</v>
      </c>
      <c r="H370" s="12">
        <v>5</v>
      </c>
      <c r="I370" s="13"/>
      <c r="J370" s="12"/>
    </row>
    <row r="371" spans="1:10">
      <c r="A371" s="12">
        <f>IF(B371="","",COUNTA($B$4:B371))</f>
        <v>368</v>
      </c>
      <c r="B371" s="12" t="s">
        <v>2139</v>
      </c>
      <c r="C371" s="12" t="s">
        <v>1893</v>
      </c>
      <c r="D371" s="12" t="s">
        <v>1894</v>
      </c>
      <c r="E371" s="12" t="s">
        <v>1893</v>
      </c>
      <c r="F371" s="12" t="s">
        <v>1861</v>
      </c>
      <c r="G371" s="12" t="s">
        <v>1862</v>
      </c>
      <c r="H371" s="12">
        <v>20</v>
      </c>
      <c r="I371" s="13"/>
      <c r="J371" s="12"/>
    </row>
    <row r="372" spans="1:10">
      <c r="A372" s="12">
        <f>IF(B372="","",COUNTA($B$4:B372))</f>
        <v>369</v>
      </c>
      <c r="B372" s="12" t="s">
        <v>2139</v>
      </c>
      <c r="C372" s="12" t="s">
        <v>1863</v>
      </c>
      <c r="D372" s="12" t="s">
        <v>1395</v>
      </c>
      <c r="E372" s="12" t="s">
        <v>1863</v>
      </c>
      <c r="F372" s="12" t="s">
        <v>1861</v>
      </c>
      <c r="G372" s="12" t="s">
        <v>1862</v>
      </c>
      <c r="H372" s="12">
        <v>3</v>
      </c>
      <c r="I372" s="13"/>
      <c r="J372" s="12" t="s">
        <v>1447</v>
      </c>
    </row>
    <row r="373" spans="1:10">
      <c r="A373" s="12">
        <f>IF(B373="","",COUNTA($B$4:B373))</f>
        <v>370</v>
      </c>
      <c r="B373" s="12" t="s">
        <v>2139</v>
      </c>
      <c r="C373" s="12" t="s">
        <v>1935</v>
      </c>
      <c r="D373" s="12" t="s">
        <v>1936</v>
      </c>
      <c r="E373" s="12" t="s">
        <v>1935</v>
      </c>
      <c r="F373" s="12" t="s">
        <v>1861</v>
      </c>
      <c r="G373" s="12" t="s">
        <v>1862</v>
      </c>
      <c r="H373" s="12">
        <v>2</v>
      </c>
      <c r="I373" s="13"/>
      <c r="J373" s="12"/>
    </row>
    <row r="374" spans="1:10">
      <c r="A374" s="12">
        <f>IF(B374="","",COUNTA($B$4:B374))</f>
        <v>371</v>
      </c>
      <c r="B374" s="12" t="s">
        <v>2139</v>
      </c>
      <c r="C374" s="12" t="s">
        <v>1937</v>
      </c>
      <c r="D374" s="12" t="s">
        <v>1938</v>
      </c>
      <c r="E374" s="12" t="s">
        <v>1937</v>
      </c>
      <c r="F374" s="12" t="s">
        <v>1861</v>
      </c>
      <c r="G374" s="12" t="s">
        <v>1862</v>
      </c>
      <c r="H374" s="12">
        <v>2</v>
      </c>
      <c r="I374" s="13"/>
      <c r="J374" s="12"/>
    </row>
    <row r="375" spans="1:10">
      <c r="A375" s="12">
        <f>IF(B375="","",COUNTA($B$4:B375))</f>
        <v>372</v>
      </c>
      <c r="B375" s="12" t="s">
        <v>2139</v>
      </c>
      <c r="C375" s="12" t="s">
        <v>1912</v>
      </c>
      <c r="D375" s="12" t="s">
        <v>1913</v>
      </c>
      <c r="E375" s="12" t="s">
        <v>2151</v>
      </c>
      <c r="F375" s="12" t="s">
        <v>1861</v>
      </c>
      <c r="G375" s="12" t="s">
        <v>1862</v>
      </c>
      <c r="H375" s="12">
        <v>4</v>
      </c>
      <c r="I375" s="13"/>
      <c r="J375" s="12"/>
    </row>
    <row r="376" spans="1:10">
      <c r="A376" s="12">
        <f>IF(B376="","",COUNTA($B$4:B376))</f>
        <v>373</v>
      </c>
      <c r="B376" s="12" t="s">
        <v>2139</v>
      </c>
      <c r="C376" s="12" t="s">
        <v>1914</v>
      </c>
      <c r="D376" s="12" t="s">
        <v>1915</v>
      </c>
      <c r="E376" s="12" t="s">
        <v>1914</v>
      </c>
      <c r="F376" s="12" t="s">
        <v>1899</v>
      </c>
      <c r="G376" s="12" t="s">
        <v>1900</v>
      </c>
      <c r="H376" s="12">
        <v>7</v>
      </c>
      <c r="I376" s="13">
        <v>2</v>
      </c>
      <c r="J376" s="12"/>
    </row>
    <row r="377" spans="1:10">
      <c r="A377" s="12">
        <f>IF(B377="","",COUNTA($B$4:B377))</f>
        <v>374</v>
      </c>
      <c r="B377" s="12" t="s">
        <v>2139</v>
      </c>
      <c r="C377" s="12" t="s">
        <v>1916</v>
      </c>
      <c r="D377" s="12" t="s">
        <v>1917</v>
      </c>
      <c r="E377" s="12" t="s">
        <v>1916</v>
      </c>
      <c r="F377" s="12" t="s">
        <v>1899</v>
      </c>
      <c r="G377" s="12" t="s">
        <v>1900</v>
      </c>
      <c r="H377" s="12">
        <v>7</v>
      </c>
      <c r="I377" s="13">
        <v>3</v>
      </c>
      <c r="J377" s="12"/>
    </row>
    <row r="378" spans="1:10">
      <c r="A378" s="12">
        <f>IF(B378="","",COUNTA($B$4:B378))</f>
        <v>375</v>
      </c>
      <c r="B378" s="12" t="s">
        <v>2139</v>
      </c>
      <c r="C378" s="12" t="s">
        <v>2123</v>
      </c>
      <c r="D378" s="12" t="s">
        <v>1414</v>
      </c>
      <c r="E378" s="12" t="s">
        <v>2123</v>
      </c>
      <c r="F378" s="12" t="s">
        <v>1899</v>
      </c>
      <c r="G378" s="12" t="s">
        <v>1900</v>
      </c>
      <c r="H378" s="12">
        <v>7</v>
      </c>
      <c r="I378" s="13">
        <v>1</v>
      </c>
      <c r="J378" s="12" t="s">
        <v>1447</v>
      </c>
    </row>
    <row r="379" spans="1:10">
      <c r="A379" s="12">
        <f>IF(B379="","",COUNTA($B$4:B379))</f>
        <v>376</v>
      </c>
      <c r="B379" s="12" t="s">
        <v>2139</v>
      </c>
      <c r="C379" s="12" t="s">
        <v>1873</v>
      </c>
      <c r="D379" s="12" t="s">
        <v>624</v>
      </c>
      <c r="E379" s="12" t="s">
        <v>1873</v>
      </c>
      <c r="F379" s="12" t="s">
        <v>1861</v>
      </c>
      <c r="G379" s="12" t="s">
        <v>1862</v>
      </c>
      <c r="H379" s="12">
        <v>10</v>
      </c>
      <c r="I379" s="13"/>
      <c r="J379" s="12" t="s">
        <v>1447</v>
      </c>
    </row>
    <row r="380" spans="1:10">
      <c r="A380" s="12">
        <f>IF(B380="","",COUNTA($B$4:B380))</f>
        <v>377</v>
      </c>
      <c r="B380" s="12" t="s">
        <v>2139</v>
      </c>
      <c r="C380" s="12" t="s">
        <v>1876</v>
      </c>
      <c r="D380" s="12" t="s">
        <v>624</v>
      </c>
      <c r="E380" s="12" t="s">
        <v>1876</v>
      </c>
      <c r="F380" s="12" t="s">
        <v>1861</v>
      </c>
      <c r="G380" s="12" t="s">
        <v>1862</v>
      </c>
      <c r="H380" s="12">
        <v>10</v>
      </c>
      <c r="I380" s="13"/>
      <c r="J380" s="12" t="s">
        <v>1447</v>
      </c>
    </row>
    <row r="381" spans="1:10">
      <c r="A381" s="12">
        <f>IF(B381="","",COUNTA($B$4:B381))</f>
        <v>378</v>
      </c>
      <c r="B381" s="12" t="s">
        <v>2139</v>
      </c>
      <c r="C381" s="12" t="s">
        <v>1877</v>
      </c>
      <c r="D381" s="12" t="s">
        <v>1878</v>
      </c>
      <c r="E381" s="12" t="s">
        <v>1877</v>
      </c>
      <c r="F381" s="12" t="s">
        <v>1879</v>
      </c>
      <c r="G381" s="12" t="s">
        <v>2152</v>
      </c>
      <c r="H381" s="12"/>
      <c r="I381" s="13"/>
      <c r="J381" s="12"/>
    </row>
    <row r="382" spans="1:10">
      <c r="A382" s="12">
        <f>IF(B382="","",COUNTA($B$4:B382))</f>
        <v>379</v>
      </c>
      <c r="B382" s="12" t="s">
        <v>2139</v>
      </c>
      <c r="C382" s="12" t="s">
        <v>1881</v>
      </c>
      <c r="D382" s="12" t="s">
        <v>626</v>
      </c>
      <c r="E382" s="12" t="s">
        <v>1881</v>
      </c>
      <c r="F382" s="12" t="s">
        <v>1861</v>
      </c>
      <c r="G382" s="12" t="s">
        <v>1862</v>
      </c>
      <c r="H382" s="12">
        <v>10</v>
      </c>
      <c r="I382" s="13"/>
      <c r="J382" s="12" t="s">
        <v>1447</v>
      </c>
    </row>
    <row r="383" spans="1:10">
      <c r="A383" s="12">
        <f>IF(B383="","",COUNTA($B$4:B383))</f>
        <v>380</v>
      </c>
      <c r="B383" s="12" t="s">
        <v>2139</v>
      </c>
      <c r="C383" s="12" t="s">
        <v>1884</v>
      </c>
      <c r="D383" s="12" t="s">
        <v>1885</v>
      </c>
      <c r="E383" s="12" t="s">
        <v>1884</v>
      </c>
      <c r="F383" s="12" t="s">
        <v>1861</v>
      </c>
      <c r="G383" s="12" t="s">
        <v>1862</v>
      </c>
      <c r="H383" s="12">
        <v>10</v>
      </c>
      <c r="I383" s="13" t="s">
        <v>1585</v>
      </c>
      <c r="J383" s="12"/>
    </row>
    <row r="384" spans="1:10">
      <c r="A384" s="12">
        <f>IF(B384="","",COUNTA($B$4:B384))</f>
        <v>381</v>
      </c>
      <c r="B384" s="12" t="s">
        <v>2139</v>
      </c>
      <c r="C384" s="12" t="s">
        <v>1886</v>
      </c>
      <c r="D384" s="12" t="s">
        <v>394</v>
      </c>
      <c r="E384" s="12" t="s">
        <v>1886</v>
      </c>
      <c r="F384" s="12" t="s">
        <v>1879</v>
      </c>
      <c r="G384" s="12" t="s">
        <v>2152</v>
      </c>
      <c r="H384" s="12"/>
      <c r="I384" s="13" t="s">
        <v>1585</v>
      </c>
      <c r="J384" s="12" t="s">
        <v>1447</v>
      </c>
    </row>
    <row r="385" spans="1:10">
      <c r="A385" s="12">
        <f>IF(B385="","",COUNTA($B$4:B385))</f>
        <v>382</v>
      </c>
      <c r="B385" s="12" t="s">
        <v>2153</v>
      </c>
      <c r="C385" s="12" t="s">
        <v>2154</v>
      </c>
      <c r="D385" s="12" t="s">
        <v>1483</v>
      </c>
      <c r="E385" s="12" t="s">
        <v>2154</v>
      </c>
      <c r="F385" s="12" t="s">
        <v>1861</v>
      </c>
      <c r="G385" s="12" t="s">
        <v>1862</v>
      </c>
      <c r="H385" s="12">
        <v>15</v>
      </c>
      <c r="I385" s="13" t="s">
        <v>1585</v>
      </c>
      <c r="J385" s="12" t="s">
        <v>1447</v>
      </c>
    </row>
    <row r="386" spans="1:10">
      <c r="A386" s="12">
        <f>IF(B386="","",COUNTA($B$4:B386))</f>
        <v>383</v>
      </c>
      <c r="B386" s="12" t="s">
        <v>2153</v>
      </c>
      <c r="C386" s="12" t="s">
        <v>2155</v>
      </c>
      <c r="D386" s="12" t="s">
        <v>1484</v>
      </c>
      <c r="E386" s="12" t="s">
        <v>2155</v>
      </c>
      <c r="F386" s="12" t="s">
        <v>1861</v>
      </c>
      <c r="G386" s="12" t="s">
        <v>1862</v>
      </c>
      <c r="H386" s="12">
        <v>15</v>
      </c>
      <c r="I386" s="13" t="s">
        <v>1585</v>
      </c>
      <c r="J386" s="12" t="s">
        <v>1447</v>
      </c>
    </row>
    <row r="387" spans="1:10">
      <c r="A387" s="12">
        <f>IF(B387="","",COUNTA($B$4:B387))</f>
        <v>384</v>
      </c>
      <c r="B387" s="12" t="s">
        <v>2153</v>
      </c>
      <c r="C387" s="12" t="s">
        <v>2156</v>
      </c>
      <c r="D387" s="12" t="s">
        <v>1397</v>
      </c>
      <c r="E387" s="12" t="s">
        <v>2156</v>
      </c>
      <c r="F387" s="12" t="s">
        <v>1861</v>
      </c>
      <c r="G387" s="12" t="s">
        <v>1862</v>
      </c>
      <c r="H387" s="12">
        <v>4</v>
      </c>
      <c r="I387" s="13" t="s">
        <v>1585</v>
      </c>
      <c r="J387" s="12" t="s">
        <v>1447</v>
      </c>
    </row>
    <row r="388" spans="1:10">
      <c r="A388" s="12">
        <f>IF(B388="","",COUNTA($B$4:B388))</f>
        <v>385</v>
      </c>
      <c r="B388" s="12" t="s">
        <v>2153</v>
      </c>
      <c r="C388" s="12" t="s">
        <v>2157</v>
      </c>
      <c r="D388" s="12" t="s">
        <v>1485</v>
      </c>
      <c r="E388" s="12" t="s">
        <v>2157</v>
      </c>
      <c r="F388" s="12" t="s">
        <v>1899</v>
      </c>
      <c r="G388" s="12" t="s">
        <v>1900</v>
      </c>
      <c r="H388" s="12">
        <v>5</v>
      </c>
      <c r="I388" s="13" t="s">
        <v>1585</v>
      </c>
      <c r="J388" s="12" t="s">
        <v>1447</v>
      </c>
    </row>
    <row r="389" spans="1:10">
      <c r="A389" s="12">
        <f>IF(B389="","",COUNTA($B$4:B389))</f>
        <v>386</v>
      </c>
      <c r="B389" s="12" t="s">
        <v>2153</v>
      </c>
      <c r="C389" s="12" t="s">
        <v>2158</v>
      </c>
      <c r="D389" s="12" t="s">
        <v>1404</v>
      </c>
      <c r="E389" s="12" t="s">
        <v>2158</v>
      </c>
      <c r="F389" s="12" t="s">
        <v>1861</v>
      </c>
      <c r="G389" s="12" t="s">
        <v>1862</v>
      </c>
      <c r="H389" s="12">
        <v>15</v>
      </c>
      <c r="I389" s="13" t="s">
        <v>1585</v>
      </c>
      <c r="J389" s="12" t="s">
        <v>1447</v>
      </c>
    </row>
    <row r="390" spans="1:10">
      <c r="A390" s="12">
        <f>IF(B390="","",COUNTA($B$4:B390))</f>
        <v>387</v>
      </c>
      <c r="B390" s="12" t="s">
        <v>2153</v>
      </c>
      <c r="C390" s="12" t="s">
        <v>2159</v>
      </c>
      <c r="D390" s="12" t="s">
        <v>627</v>
      </c>
      <c r="E390" s="12" t="s">
        <v>2159</v>
      </c>
      <c r="F390" s="12" t="s">
        <v>1861</v>
      </c>
      <c r="G390" s="12" t="s">
        <v>1862</v>
      </c>
      <c r="H390" s="12">
        <v>15</v>
      </c>
      <c r="I390" s="13" t="s">
        <v>1585</v>
      </c>
      <c r="J390" s="12" t="s">
        <v>1447</v>
      </c>
    </row>
    <row r="391" spans="1:10">
      <c r="A391" s="12">
        <f>IF(B391="","",COUNTA($B$4:B391))</f>
        <v>388</v>
      </c>
      <c r="B391" s="12" t="s">
        <v>2153</v>
      </c>
      <c r="C391" s="12" t="s">
        <v>2160</v>
      </c>
      <c r="D391" s="12" t="s">
        <v>1486</v>
      </c>
      <c r="E391" s="12" t="s">
        <v>2160</v>
      </c>
      <c r="F391" s="12" t="s">
        <v>1879</v>
      </c>
      <c r="G391" s="12" t="s">
        <v>1880</v>
      </c>
      <c r="H391" s="12"/>
      <c r="I391" s="13" t="s">
        <v>1585</v>
      </c>
      <c r="J391" s="12" t="s">
        <v>1447</v>
      </c>
    </row>
    <row r="392" spans="1:10">
      <c r="A392" s="12">
        <f>IF(B392="","",COUNTA($B$4:B392))</f>
        <v>389</v>
      </c>
      <c r="B392" s="12" t="s">
        <v>2153</v>
      </c>
      <c r="C392" s="12" t="s">
        <v>2161</v>
      </c>
      <c r="D392" s="12"/>
      <c r="E392" s="12" t="s">
        <v>2161</v>
      </c>
      <c r="F392" s="12" t="s">
        <v>1879</v>
      </c>
      <c r="G392" s="12" t="s">
        <v>1880</v>
      </c>
      <c r="H392" s="12"/>
      <c r="I392" s="13" t="s">
        <v>1585</v>
      </c>
      <c r="J392" s="12" t="s">
        <v>1918</v>
      </c>
    </row>
    <row r="393" spans="1:10">
      <c r="A393" s="12">
        <f>IF(B393="","",COUNTA($B$4:B393))</f>
        <v>390</v>
      </c>
      <c r="B393" s="12" t="s">
        <v>2153</v>
      </c>
      <c r="C393" s="12" t="s">
        <v>2162</v>
      </c>
      <c r="D393" s="12" t="s">
        <v>384</v>
      </c>
      <c r="E393" s="12" t="s">
        <v>2162</v>
      </c>
      <c r="F393" s="12" t="s">
        <v>1861</v>
      </c>
      <c r="G393" s="12" t="s">
        <v>1862</v>
      </c>
      <c r="H393" s="12">
        <v>2</v>
      </c>
      <c r="I393" s="13" t="s">
        <v>1585</v>
      </c>
      <c r="J393" s="12" t="s">
        <v>1447</v>
      </c>
    </row>
    <row r="394" spans="1:10">
      <c r="A394" s="12">
        <f>IF(B394="","",COUNTA($B$4:B394))</f>
        <v>391</v>
      </c>
      <c r="B394" s="12" t="s">
        <v>2153</v>
      </c>
      <c r="C394" s="12" t="s">
        <v>2163</v>
      </c>
      <c r="D394" s="12" t="s">
        <v>494</v>
      </c>
      <c r="E394" s="12" t="s">
        <v>2163</v>
      </c>
      <c r="F394" s="12" t="s">
        <v>1861</v>
      </c>
      <c r="G394" s="12" t="s">
        <v>1862</v>
      </c>
      <c r="H394" s="12">
        <v>4</v>
      </c>
      <c r="I394" s="13" t="s">
        <v>1585</v>
      </c>
      <c r="J394" s="12" t="s">
        <v>1447</v>
      </c>
    </row>
    <row r="395" spans="1:10">
      <c r="A395" s="12">
        <f>IF(B395="","",COUNTA($B$4:B395))</f>
        <v>392</v>
      </c>
      <c r="B395" s="12" t="s">
        <v>2153</v>
      </c>
      <c r="C395" s="12" t="s">
        <v>2164</v>
      </c>
      <c r="D395" s="12" t="s">
        <v>2165</v>
      </c>
      <c r="E395" s="12" t="s">
        <v>2164</v>
      </c>
      <c r="F395" s="12" t="s">
        <v>1861</v>
      </c>
      <c r="G395" s="12" t="s">
        <v>1862</v>
      </c>
      <c r="H395" s="12">
        <v>2</v>
      </c>
      <c r="I395" s="13"/>
      <c r="J395" s="12"/>
    </row>
    <row r="396" spans="1:10">
      <c r="A396" s="12">
        <f>IF(B396="","",COUNTA($B$4:B396))</f>
        <v>393</v>
      </c>
      <c r="B396" s="12" t="s">
        <v>2153</v>
      </c>
      <c r="C396" s="12" t="s">
        <v>2166</v>
      </c>
      <c r="D396" s="12" t="s">
        <v>2150</v>
      </c>
      <c r="E396" s="12" t="s">
        <v>2166</v>
      </c>
      <c r="F396" s="12" t="s">
        <v>1861</v>
      </c>
      <c r="G396" s="12" t="s">
        <v>1862</v>
      </c>
      <c r="H396" s="12">
        <v>2</v>
      </c>
      <c r="I396" s="13" t="s">
        <v>1585</v>
      </c>
      <c r="J396" s="12"/>
    </row>
    <row r="397" spans="1:10">
      <c r="A397" s="12">
        <f>IF(B397="","",COUNTA($B$4:B397))</f>
        <v>394</v>
      </c>
      <c r="B397" s="12" t="s">
        <v>2153</v>
      </c>
      <c r="C397" s="12" t="s">
        <v>2167</v>
      </c>
      <c r="D397" s="12"/>
      <c r="E397" s="12" t="s">
        <v>2167</v>
      </c>
      <c r="F397" s="12" t="s">
        <v>1861</v>
      </c>
      <c r="G397" s="12" t="s">
        <v>1862</v>
      </c>
      <c r="H397" s="12">
        <v>2</v>
      </c>
      <c r="I397" s="13"/>
      <c r="J397" s="12" t="s">
        <v>1447</v>
      </c>
    </row>
    <row r="398" spans="1:10">
      <c r="A398" s="12">
        <f>IF(B398="","",COUNTA($B$4:B398))</f>
        <v>395</v>
      </c>
      <c r="B398" s="12" t="s">
        <v>2153</v>
      </c>
      <c r="C398" s="12" t="s">
        <v>2168</v>
      </c>
      <c r="D398" s="12" t="s">
        <v>2169</v>
      </c>
      <c r="E398" s="12" t="s">
        <v>2168</v>
      </c>
      <c r="F398" s="12" t="s">
        <v>1899</v>
      </c>
      <c r="G398" s="12" t="s">
        <v>1900</v>
      </c>
      <c r="H398" s="12">
        <v>3</v>
      </c>
      <c r="I398" s="13" t="s">
        <v>1585</v>
      </c>
      <c r="J398" s="12"/>
    </row>
    <row r="399" spans="1:10">
      <c r="A399" s="12">
        <f>IF(B399="","",COUNTA($B$4:B399))</f>
        <v>396</v>
      </c>
      <c r="B399" s="12" t="s">
        <v>2153</v>
      </c>
      <c r="C399" s="12" t="s">
        <v>2170</v>
      </c>
      <c r="D399" s="12" t="s">
        <v>1489</v>
      </c>
      <c r="E399" s="12" t="s">
        <v>2170</v>
      </c>
      <c r="F399" s="12" t="s">
        <v>1899</v>
      </c>
      <c r="G399" s="12" t="s">
        <v>1900</v>
      </c>
      <c r="H399" s="12">
        <v>3</v>
      </c>
      <c r="I399" s="13" t="s">
        <v>1585</v>
      </c>
      <c r="J399" s="12"/>
    </row>
    <row r="400" spans="1:10">
      <c r="A400" s="12">
        <f>IF(B400="","",COUNTA($B$4:B400))</f>
        <v>397</v>
      </c>
      <c r="B400" s="12" t="s">
        <v>2153</v>
      </c>
      <c r="C400" s="12" t="s">
        <v>2171</v>
      </c>
      <c r="D400" s="12" t="s">
        <v>2172</v>
      </c>
      <c r="E400" s="12" t="s">
        <v>2173</v>
      </c>
      <c r="F400" s="12" t="s">
        <v>1861</v>
      </c>
      <c r="G400" s="12" t="s">
        <v>1862</v>
      </c>
      <c r="H400" s="12">
        <v>1</v>
      </c>
      <c r="I400" s="13"/>
      <c r="J400" s="12"/>
    </row>
    <row r="401" spans="1:10">
      <c r="A401" s="12">
        <f>IF(B401="","",COUNTA($B$4:B401))</f>
        <v>398</v>
      </c>
      <c r="B401" s="12" t="s">
        <v>2153</v>
      </c>
      <c r="C401" s="12" t="s">
        <v>2174</v>
      </c>
      <c r="D401" s="12" t="s">
        <v>2175</v>
      </c>
      <c r="E401" s="12" t="s">
        <v>2174</v>
      </c>
      <c r="F401" s="12" t="s">
        <v>1899</v>
      </c>
      <c r="G401" s="12" t="s">
        <v>1900</v>
      </c>
      <c r="H401" s="12">
        <v>5</v>
      </c>
      <c r="I401" s="13"/>
      <c r="J401" s="12"/>
    </row>
    <row r="402" spans="1:10">
      <c r="A402" s="12">
        <f>IF(B402="","",COUNTA($B$4:B402))</f>
        <v>399</v>
      </c>
      <c r="B402" s="12" t="s">
        <v>2153</v>
      </c>
      <c r="C402" s="12" t="s">
        <v>2176</v>
      </c>
      <c r="D402" s="12" t="s">
        <v>2177</v>
      </c>
      <c r="E402" s="12" t="s">
        <v>2178</v>
      </c>
      <c r="F402" s="12" t="s">
        <v>1861</v>
      </c>
      <c r="G402" s="12" t="s">
        <v>1862</v>
      </c>
      <c r="H402" s="12">
        <v>10</v>
      </c>
      <c r="I402" s="13"/>
      <c r="J402" s="12"/>
    </row>
    <row r="403" spans="1:10">
      <c r="A403" s="12">
        <f>IF(B403="","",COUNTA($B$4:B403))</f>
        <v>400</v>
      </c>
      <c r="B403" s="12" t="s">
        <v>2153</v>
      </c>
      <c r="C403" s="12" t="s">
        <v>2179</v>
      </c>
      <c r="D403" s="12" t="s">
        <v>2180</v>
      </c>
      <c r="E403" s="12" t="s">
        <v>2179</v>
      </c>
      <c r="F403" s="12" t="s">
        <v>1899</v>
      </c>
      <c r="G403" s="12" t="s">
        <v>1900</v>
      </c>
      <c r="H403" s="12">
        <v>5</v>
      </c>
      <c r="I403" s="13"/>
      <c r="J403" s="12"/>
    </row>
    <row r="404" spans="1:10">
      <c r="A404" s="12">
        <f>IF(B404="","",COUNTA($B$4:B404))</f>
        <v>401</v>
      </c>
      <c r="B404" s="12" t="s">
        <v>2153</v>
      </c>
      <c r="C404" s="12" t="s">
        <v>2056</v>
      </c>
      <c r="D404" s="12" t="s">
        <v>2057</v>
      </c>
      <c r="E404" s="12" t="s">
        <v>2056</v>
      </c>
      <c r="F404" s="12" t="s">
        <v>1879</v>
      </c>
      <c r="G404" s="12" t="s">
        <v>1880</v>
      </c>
      <c r="H404" s="12"/>
      <c r="I404" s="13"/>
      <c r="J404" s="12"/>
    </row>
    <row r="405" spans="1:10">
      <c r="A405" s="12">
        <f>IF(B405="","",COUNTA($B$4:B405))</f>
        <v>402</v>
      </c>
      <c r="B405" s="12" t="s">
        <v>2153</v>
      </c>
      <c r="C405" s="12" t="s">
        <v>2058</v>
      </c>
      <c r="D405" s="12" t="s">
        <v>2059</v>
      </c>
      <c r="E405" s="12" t="s">
        <v>2058</v>
      </c>
      <c r="F405" s="12" t="s">
        <v>1861</v>
      </c>
      <c r="G405" s="12" t="s">
        <v>1862</v>
      </c>
      <c r="H405" s="12">
        <v>3</v>
      </c>
      <c r="I405" s="13"/>
      <c r="J405" s="12"/>
    </row>
    <row r="406" spans="1:10">
      <c r="A406" s="12">
        <f>IF(B406="","",COUNTA($B$4:B406))</f>
        <v>403</v>
      </c>
      <c r="B406" s="12" t="s">
        <v>2153</v>
      </c>
      <c r="C406" s="12" t="s">
        <v>2045</v>
      </c>
      <c r="D406" s="12" t="s">
        <v>1392</v>
      </c>
      <c r="E406" s="12" t="s">
        <v>2060</v>
      </c>
      <c r="F406" s="12" t="s">
        <v>1861</v>
      </c>
      <c r="G406" s="12" t="s">
        <v>1862</v>
      </c>
      <c r="H406" s="12">
        <v>3</v>
      </c>
      <c r="I406" s="13"/>
      <c r="J406" s="12"/>
    </row>
    <row r="407" spans="1:10">
      <c r="A407" s="12">
        <f>IF(B407="","",COUNTA($B$4:B407))</f>
        <v>404</v>
      </c>
      <c r="B407" s="12" t="s">
        <v>2153</v>
      </c>
      <c r="C407" s="12" t="s">
        <v>1891</v>
      </c>
      <c r="D407" s="12" t="s">
        <v>1444</v>
      </c>
      <c r="E407" s="12" t="s">
        <v>1891</v>
      </c>
      <c r="F407" s="12" t="s">
        <v>1861</v>
      </c>
      <c r="G407" s="12" t="s">
        <v>1862</v>
      </c>
      <c r="H407" s="12">
        <v>4</v>
      </c>
      <c r="I407" s="13"/>
      <c r="J407" s="12" t="s">
        <v>1447</v>
      </c>
    </row>
    <row r="408" spans="1:10">
      <c r="A408" s="12">
        <f>IF(B408="","",COUNTA($B$4:B408))</f>
        <v>405</v>
      </c>
      <c r="B408" s="12" t="s">
        <v>2153</v>
      </c>
      <c r="C408" s="12" t="s">
        <v>2122</v>
      </c>
      <c r="D408" s="12"/>
      <c r="E408" s="12" t="s">
        <v>2122</v>
      </c>
      <c r="F408" s="12" t="s">
        <v>1861</v>
      </c>
      <c r="G408" s="12" t="s">
        <v>1862</v>
      </c>
      <c r="H408" s="12">
        <v>3</v>
      </c>
      <c r="I408" s="13"/>
      <c r="J408" s="12" t="s">
        <v>1447</v>
      </c>
    </row>
    <row r="409" spans="1:10">
      <c r="A409" s="12">
        <f>IF(B409="","",COUNTA($B$4:B409))</f>
        <v>406</v>
      </c>
      <c r="B409" s="12" t="s">
        <v>2153</v>
      </c>
      <c r="C409" s="12" t="s">
        <v>1933</v>
      </c>
      <c r="D409" s="12" t="s">
        <v>457</v>
      </c>
      <c r="E409" s="12" t="s">
        <v>1933</v>
      </c>
      <c r="F409" s="12" t="s">
        <v>1861</v>
      </c>
      <c r="G409" s="12" t="s">
        <v>1862</v>
      </c>
      <c r="H409" s="12">
        <v>5</v>
      </c>
      <c r="I409" s="13"/>
      <c r="J409" s="12" t="s">
        <v>1447</v>
      </c>
    </row>
    <row r="410" spans="1:10">
      <c r="A410" s="12">
        <f>IF(B410="","",COUNTA($B$4:B410))</f>
        <v>407</v>
      </c>
      <c r="B410" s="12" t="s">
        <v>2153</v>
      </c>
      <c r="C410" s="12" t="s">
        <v>1893</v>
      </c>
      <c r="D410" s="12" t="s">
        <v>568</v>
      </c>
      <c r="E410" s="12" t="s">
        <v>1893</v>
      </c>
      <c r="F410" s="12" t="s">
        <v>1861</v>
      </c>
      <c r="G410" s="12" t="s">
        <v>1862</v>
      </c>
      <c r="H410" s="12">
        <v>20</v>
      </c>
      <c r="I410" s="13"/>
      <c r="J410" s="12"/>
    </row>
    <row r="411" spans="1:10">
      <c r="A411" s="12">
        <f>IF(B411="","",COUNTA($B$4:B411))</f>
        <v>408</v>
      </c>
      <c r="B411" s="12" t="s">
        <v>2153</v>
      </c>
      <c r="C411" s="12" t="s">
        <v>1895</v>
      </c>
      <c r="D411" s="12" t="s">
        <v>657</v>
      </c>
      <c r="E411" s="12" t="s">
        <v>1895</v>
      </c>
      <c r="F411" s="12" t="s">
        <v>1861</v>
      </c>
      <c r="G411" s="12" t="s">
        <v>1862</v>
      </c>
      <c r="H411" s="12">
        <v>30</v>
      </c>
      <c r="I411" s="13"/>
      <c r="J411" s="12" t="s">
        <v>1447</v>
      </c>
    </row>
    <row r="412" spans="1:10">
      <c r="A412" s="12">
        <f>IF(B412="","",COUNTA($B$4:B412))</f>
        <v>409</v>
      </c>
      <c r="B412" s="12" t="s">
        <v>2153</v>
      </c>
      <c r="C412" s="12" t="s">
        <v>1863</v>
      </c>
      <c r="D412" s="12" t="s">
        <v>1395</v>
      </c>
      <c r="E412" s="12" t="s">
        <v>1863</v>
      </c>
      <c r="F412" s="12" t="s">
        <v>1861</v>
      </c>
      <c r="G412" s="12" t="s">
        <v>1862</v>
      </c>
      <c r="H412" s="12">
        <v>3</v>
      </c>
      <c r="I412" s="13"/>
      <c r="J412" s="12"/>
    </row>
    <row r="413" spans="1:10">
      <c r="A413" s="12">
        <f>IF(B413="","",COUNTA($B$4:B413))</f>
        <v>410</v>
      </c>
      <c r="B413" s="12" t="s">
        <v>2153</v>
      </c>
      <c r="C413" s="12" t="s">
        <v>2181</v>
      </c>
      <c r="D413" s="12"/>
      <c r="E413" s="12" t="s">
        <v>2181</v>
      </c>
      <c r="F413" s="12" t="s">
        <v>1861</v>
      </c>
      <c r="G413" s="12" t="s">
        <v>1862</v>
      </c>
      <c r="H413" s="12">
        <v>30</v>
      </c>
      <c r="I413" s="13"/>
      <c r="J413" s="12" t="s">
        <v>1447</v>
      </c>
    </row>
    <row r="414" spans="1:10">
      <c r="A414" s="12">
        <f>IF(B414="","",COUNTA($B$4:B414))</f>
        <v>411</v>
      </c>
      <c r="B414" s="12" t="s">
        <v>2153</v>
      </c>
      <c r="C414" s="12" t="s">
        <v>1935</v>
      </c>
      <c r="D414" s="12" t="s">
        <v>570</v>
      </c>
      <c r="E414" s="12" t="s">
        <v>1935</v>
      </c>
      <c r="F414" s="12" t="s">
        <v>1861</v>
      </c>
      <c r="G414" s="12" t="s">
        <v>1862</v>
      </c>
      <c r="H414" s="12">
        <v>2</v>
      </c>
      <c r="I414" s="13"/>
      <c r="J414" s="12" t="s">
        <v>1447</v>
      </c>
    </row>
    <row r="415" spans="1:10">
      <c r="A415" s="12">
        <f>IF(B415="","",COUNTA($B$4:B415))</f>
        <v>412</v>
      </c>
      <c r="B415" s="12" t="s">
        <v>2153</v>
      </c>
      <c r="C415" s="12" t="s">
        <v>2126</v>
      </c>
      <c r="D415" s="12"/>
      <c r="E415" s="12" t="s">
        <v>2126</v>
      </c>
      <c r="F415" s="12" t="s">
        <v>1861</v>
      </c>
      <c r="G415" s="12" t="s">
        <v>1862</v>
      </c>
      <c r="H415" s="12">
        <v>30</v>
      </c>
      <c r="I415" s="13"/>
      <c r="J415" s="12" t="s">
        <v>1447</v>
      </c>
    </row>
    <row r="416" spans="1:10">
      <c r="A416" s="12">
        <f>IF(B416="","",COUNTA($B$4:B416))</f>
        <v>413</v>
      </c>
      <c r="B416" s="12" t="s">
        <v>2153</v>
      </c>
      <c r="C416" s="12" t="s">
        <v>1937</v>
      </c>
      <c r="D416" s="12" t="s">
        <v>572</v>
      </c>
      <c r="E416" s="12" t="s">
        <v>1937</v>
      </c>
      <c r="F416" s="12" t="s">
        <v>1861</v>
      </c>
      <c r="G416" s="12" t="s">
        <v>1862</v>
      </c>
      <c r="H416" s="12">
        <v>2</v>
      </c>
      <c r="I416" s="13"/>
      <c r="J416" s="12" t="s">
        <v>1447</v>
      </c>
    </row>
    <row r="417" spans="1:10">
      <c r="A417" s="12">
        <f>IF(B417="","",COUNTA($B$4:B417))</f>
        <v>414</v>
      </c>
      <c r="B417" s="12" t="s">
        <v>2153</v>
      </c>
      <c r="C417" s="12" t="s">
        <v>2127</v>
      </c>
      <c r="D417" s="12"/>
      <c r="E417" s="12" t="s">
        <v>2127</v>
      </c>
      <c r="F417" s="12" t="s">
        <v>1861</v>
      </c>
      <c r="G417" s="12" t="s">
        <v>1862</v>
      </c>
      <c r="H417" s="12">
        <v>30</v>
      </c>
      <c r="I417" s="13"/>
      <c r="J417" s="12" t="s">
        <v>1447</v>
      </c>
    </row>
    <row r="418" spans="1:10">
      <c r="A418" s="12">
        <f>IF(B418="","",COUNTA($B$4:B418))</f>
        <v>415</v>
      </c>
      <c r="B418" s="12" t="s">
        <v>2153</v>
      </c>
      <c r="C418" s="12" t="s">
        <v>1939</v>
      </c>
      <c r="D418" s="12" t="s">
        <v>459</v>
      </c>
      <c r="E418" s="12" t="s">
        <v>1939</v>
      </c>
      <c r="F418" s="12" t="s">
        <v>1861</v>
      </c>
      <c r="G418" s="12" t="s">
        <v>1862</v>
      </c>
      <c r="H418" s="12">
        <v>2</v>
      </c>
      <c r="I418" s="13"/>
      <c r="J418" s="12" t="s">
        <v>1447</v>
      </c>
    </row>
    <row r="419" spans="1:10">
      <c r="A419" s="12">
        <f>IF(B419="","",COUNTA($B$4:B419))</f>
        <v>416</v>
      </c>
      <c r="B419" s="12" t="s">
        <v>2153</v>
      </c>
      <c r="C419" s="12" t="s">
        <v>2182</v>
      </c>
      <c r="D419" s="12" t="s">
        <v>491</v>
      </c>
      <c r="E419" s="12" t="s">
        <v>2182</v>
      </c>
      <c r="F419" s="12" t="s">
        <v>1861</v>
      </c>
      <c r="G419" s="12" t="s">
        <v>1862</v>
      </c>
      <c r="H419" s="12">
        <v>30</v>
      </c>
      <c r="I419" s="13"/>
      <c r="J419" s="12" t="s">
        <v>1447</v>
      </c>
    </row>
    <row r="420" spans="1:10">
      <c r="A420" s="12">
        <f>IF(B420="","",COUNTA($B$4:B420))</f>
        <v>417</v>
      </c>
      <c r="B420" s="12" t="s">
        <v>2153</v>
      </c>
      <c r="C420" s="12" t="s">
        <v>1912</v>
      </c>
      <c r="D420" s="12" t="s">
        <v>506</v>
      </c>
      <c r="E420" s="12" t="s">
        <v>2151</v>
      </c>
      <c r="F420" s="12" t="s">
        <v>1861</v>
      </c>
      <c r="G420" s="12" t="s">
        <v>1862</v>
      </c>
      <c r="H420" s="12">
        <v>4</v>
      </c>
      <c r="I420" s="13"/>
      <c r="J420" s="12" t="s">
        <v>1447</v>
      </c>
    </row>
    <row r="421" spans="1:10">
      <c r="A421" s="12">
        <f>IF(B421="","",COUNTA($B$4:B421))</f>
        <v>418</v>
      </c>
      <c r="B421" s="12" t="s">
        <v>2153</v>
      </c>
      <c r="C421" s="12" t="s">
        <v>2062</v>
      </c>
      <c r="D421" s="12"/>
      <c r="E421" s="12" t="s">
        <v>2062</v>
      </c>
      <c r="F421" s="12" t="s">
        <v>1861</v>
      </c>
      <c r="G421" s="12" t="s">
        <v>1862</v>
      </c>
      <c r="H421" s="12">
        <v>10</v>
      </c>
      <c r="I421" s="13"/>
      <c r="J421" s="12" t="s">
        <v>1447</v>
      </c>
    </row>
    <row r="422" spans="1:10">
      <c r="A422" s="12">
        <f>IF(B422="","",COUNTA($B$4:B422))</f>
        <v>419</v>
      </c>
      <c r="B422" s="12" t="s">
        <v>2153</v>
      </c>
      <c r="C422" s="12" t="s">
        <v>1914</v>
      </c>
      <c r="D422" s="12" t="s">
        <v>709</v>
      </c>
      <c r="E422" s="12" t="s">
        <v>1914</v>
      </c>
      <c r="F422" s="12" t="s">
        <v>1899</v>
      </c>
      <c r="G422" s="12" t="s">
        <v>1900</v>
      </c>
      <c r="H422" s="12">
        <v>7</v>
      </c>
      <c r="I422" s="13">
        <v>2</v>
      </c>
      <c r="J422" s="12" t="s">
        <v>1447</v>
      </c>
    </row>
    <row r="423" spans="1:10">
      <c r="A423" s="12">
        <f>IF(B423="","",COUNTA($B$4:B423))</f>
        <v>420</v>
      </c>
      <c r="B423" s="12" t="s">
        <v>2153</v>
      </c>
      <c r="C423" s="12" t="s">
        <v>2183</v>
      </c>
      <c r="D423" s="12"/>
      <c r="E423" s="12" t="s">
        <v>2184</v>
      </c>
      <c r="F423" s="12" t="s">
        <v>1899</v>
      </c>
      <c r="G423" s="12" t="s">
        <v>1862</v>
      </c>
      <c r="H423" s="12">
        <v>10</v>
      </c>
      <c r="I423" s="13"/>
      <c r="J423" s="12" t="s">
        <v>1447</v>
      </c>
    </row>
    <row r="424" spans="1:10">
      <c r="A424" s="12">
        <f>IF(B424="","",COUNTA($B$4:B424))</f>
        <v>421</v>
      </c>
      <c r="B424" s="12" t="s">
        <v>2153</v>
      </c>
      <c r="C424" s="12" t="s">
        <v>1916</v>
      </c>
      <c r="D424" s="12" t="s">
        <v>432</v>
      </c>
      <c r="E424" s="12" t="s">
        <v>1916</v>
      </c>
      <c r="F424" s="12" t="s">
        <v>1899</v>
      </c>
      <c r="G424" s="12" t="s">
        <v>1900</v>
      </c>
      <c r="H424" s="12">
        <v>7</v>
      </c>
      <c r="I424" s="13">
        <v>3</v>
      </c>
      <c r="J424" s="12"/>
    </row>
    <row r="425" spans="1:10">
      <c r="A425" s="12">
        <f>IF(B425="","",COUNTA($B$4:B425))</f>
        <v>422</v>
      </c>
      <c r="B425" s="12" t="s">
        <v>2153</v>
      </c>
      <c r="C425" s="12" t="s">
        <v>2185</v>
      </c>
      <c r="D425" s="12" t="s">
        <v>2186</v>
      </c>
      <c r="E425" s="12" t="s">
        <v>2185</v>
      </c>
      <c r="F425" s="12" t="s">
        <v>1899</v>
      </c>
      <c r="G425" s="12" t="s">
        <v>1900</v>
      </c>
      <c r="H425" s="12">
        <v>7</v>
      </c>
      <c r="I425" s="13">
        <v>1</v>
      </c>
      <c r="J425" s="12"/>
    </row>
    <row r="426" spans="1:10">
      <c r="A426" s="12">
        <f>IF(B426="","",COUNTA($B$4:B426))</f>
        <v>423</v>
      </c>
      <c r="B426" s="12" t="s">
        <v>2153</v>
      </c>
      <c r="C426" s="12" t="s">
        <v>2123</v>
      </c>
      <c r="D426" s="12" t="s">
        <v>1414</v>
      </c>
      <c r="E426" s="12" t="s">
        <v>2123</v>
      </c>
      <c r="F426" s="12" t="s">
        <v>1899</v>
      </c>
      <c r="G426" s="12" t="s">
        <v>1900</v>
      </c>
      <c r="H426" s="12">
        <v>7</v>
      </c>
      <c r="I426" s="13">
        <v>1</v>
      </c>
      <c r="J426" s="12"/>
    </row>
    <row r="427" spans="1:10">
      <c r="A427" s="12">
        <f>IF(B427="","",COUNTA($B$4:B427))</f>
        <v>424</v>
      </c>
      <c r="B427" s="12" t="s">
        <v>2153</v>
      </c>
      <c r="C427" s="12" t="s">
        <v>2187</v>
      </c>
      <c r="D427" s="12" t="s">
        <v>1491</v>
      </c>
      <c r="E427" s="12" t="s">
        <v>2187</v>
      </c>
      <c r="F427" s="12" t="s">
        <v>1899</v>
      </c>
      <c r="G427" s="12" t="s">
        <v>1900</v>
      </c>
      <c r="H427" s="12">
        <v>7</v>
      </c>
      <c r="I427" s="13">
        <v>3</v>
      </c>
      <c r="J427" s="12"/>
    </row>
    <row r="428" spans="1:10">
      <c r="A428" s="12">
        <f>IF(B428="","",COUNTA($B$4:B428))</f>
        <v>425</v>
      </c>
      <c r="B428" s="12" t="s">
        <v>2153</v>
      </c>
      <c r="C428" s="12" t="s">
        <v>2188</v>
      </c>
      <c r="D428" s="12" t="s">
        <v>1492</v>
      </c>
      <c r="E428" s="12" t="s">
        <v>2188</v>
      </c>
      <c r="F428" s="12" t="s">
        <v>1899</v>
      </c>
      <c r="G428" s="12" t="s">
        <v>1900</v>
      </c>
      <c r="H428" s="12">
        <v>7</v>
      </c>
      <c r="I428" s="13">
        <v>3</v>
      </c>
      <c r="J428" s="12"/>
    </row>
    <row r="429" spans="1:10">
      <c r="A429" s="12">
        <f>IF(B429="","",COUNTA($B$4:B429))</f>
        <v>426</v>
      </c>
      <c r="B429" s="12" t="s">
        <v>2153</v>
      </c>
      <c r="C429" s="12" t="s">
        <v>2189</v>
      </c>
      <c r="D429" s="12"/>
      <c r="E429" s="12" t="s">
        <v>2189</v>
      </c>
      <c r="F429" s="12" t="s">
        <v>1899</v>
      </c>
      <c r="G429" s="12" t="s">
        <v>1900</v>
      </c>
      <c r="H429" s="12">
        <v>1</v>
      </c>
      <c r="I429" s="13"/>
      <c r="J429" s="12"/>
    </row>
    <row r="430" spans="1:10">
      <c r="A430" s="12">
        <f>IF(B430="","",COUNTA($B$4:B430))</f>
        <v>427</v>
      </c>
      <c r="B430" s="12" t="s">
        <v>2153</v>
      </c>
      <c r="C430" s="12" t="s">
        <v>1873</v>
      </c>
      <c r="D430" s="12" t="s">
        <v>624</v>
      </c>
      <c r="E430" s="12" t="s">
        <v>1873</v>
      </c>
      <c r="F430" s="12" t="s">
        <v>1861</v>
      </c>
      <c r="G430" s="12" t="s">
        <v>1862</v>
      </c>
      <c r="H430" s="12">
        <v>10</v>
      </c>
      <c r="I430" s="13"/>
      <c r="J430" s="12"/>
    </row>
    <row r="431" spans="1:10">
      <c r="A431" s="12">
        <f>IF(B431="","",COUNTA($B$4:B431))</f>
        <v>428</v>
      </c>
      <c r="B431" s="12" t="s">
        <v>2153</v>
      </c>
      <c r="C431" s="12" t="s">
        <v>1876</v>
      </c>
      <c r="D431" s="12" t="s">
        <v>624</v>
      </c>
      <c r="E431" s="12" t="s">
        <v>1876</v>
      </c>
      <c r="F431" s="12" t="s">
        <v>1861</v>
      </c>
      <c r="G431" s="12" t="s">
        <v>1862</v>
      </c>
      <c r="H431" s="12">
        <v>10</v>
      </c>
      <c r="I431" s="13"/>
      <c r="J431" s="12"/>
    </row>
    <row r="432" spans="1:10">
      <c r="A432" s="12">
        <f>IF(B432="","",COUNTA($B$4:B432))</f>
        <v>429</v>
      </c>
      <c r="B432" s="12" t="s">
        <v>2153</v>
      </c>
      <c r="C432" s="12" t="s">
        <v>1877</v>
      </c>
      <c r="D432" s="12" t="s">
        <v>548</v>
      </c>
      <c r="E432" s="12" t="s">
        <v>1877</v>
      </c>
      <c r="F432" s="12" t="s">
        <v>1879</v>
      </c>
      <c r="G432" s="12" t="s">
        <v>2152</v>
      </c>
      <c r="H432" s="12"/>
      <c r="I432" s="13"/>
      <c r="J432" s="12"/>
    </row>
    <row r="433" spans="1:10">
      <c r="A433" s="12">
        <f>IF(B433="","",COUNTA($B$4:B433))</f>
        <v>430</v>
      </c>
      <c r="B433" s="12" t="s">
        <v>2153</v>
      </c>
      <c r="C433" s="12" t="s">
        <v>1881</v>
      </c>
      <c r="D433" s="12" t="s">
        <v>626</v>
      </c>
      <c r="E433" s="12" t="s">
        <v>1881</v>
      </c>
      <c r="F433" s="12" t="s">
        <v>1861</v>
      </c>
      <c r="G433" s="12" t="s">
        <v>1862</v>
      </c>
      <c r="H433" s="12">
        <v>10</v>
      </c>
      <c r="I433" s="13"/>
      <c r="J433" s="12"/>
    </row>
    <row r="434" spans="1:10">
      <c r="A434" s="12">
        <f>IF(B434="","",COUNTA($B$4:B434))</f>
        <v>431</v>
      </c>
      <c r="B434" s="12" t="s">
        <v>2153</v>
      </c>
      <c r="C434" s="12" t="s">
        <v>1884</v>
      </c>
      <c r="D434" s="12" t="s">
        <v>390</v>
      </c>
      <c r="E434" s="12" t="s">
        <v>1884</v>
      </c>
      <c r="F434" s="12" t="s">
        <v>1861</v>
      </c>
      <c r="G434" s="12" t="s">
        <v>1862</v>
      </c>
      <c r="H434" s="12">
        <v>10</v>
      </c>
      <c r="I434" s="13" t="s">
        <v>1585</v>
      </c>
      <c r="J434" s="12"/>
    </row>
    <row r="435" spans="1:10">
      <c r="A435" s="12">
        <f>IF(B435="","",COUNTA($B$4:B435))</f>
        <v>432</v>
      </c>
      <c r="B435" s="12" t="s">
        <v>2153</v>
      </c>
      <c r="C435" s="12" t="s">
        <v>1886</v>
      </c>
      <c r="D435" s="12" t="s">
        <v>394</v>
      </c>
      <c r="E435" s="12" t="s">
        <v>1886</v>
      </c>
      <c r="F435" s="12" t="s">
        <v>1879</v>
      </c>
      <c r="G435" s="12" t="s">
        <v>2152</v>
      </c>
      <c r="H435" s="12"/>
      <c r="I435" s="13" t="s">
        <v>1585</v>
      </c>
      <c r="J435" s="12"/>
    </row>
    <row r="436" spans="1:10">
      <c r="A436" s="12">
        <f>IF(B436="","",COUNTA($B$4:B436))</f>
        <v>433</v>
      </c>
      <c r="B436" s="12" t="s">
        <v>2190</v>
      </c>
      <c r="C436" s="12" t="s">
        <v>2154</v>
      </c>
      <c r="D436" s="12"/>
      <c r="E436" s="12" t="s">
        <v>2154</v>
      </c>
      <c r="F436" s="12" t="s">
        <v>1861</v>
      </c>
      <c r="G436" s="12" t="s">
        <v>1862</v>
      </c>
      <c r="H436" s="12">
        <v>15</v>
      </c>
      <c r="I436" s="13" t="s">
        <v>1585</v>
      </c>
      <c r="J436" s="12"/>
    </row>
    <row r="437" spans="1:10">
      <c r="A437" s="12">
        <f>IF(B437="","",COUNTA($B$4:B437))</f>
        <v>434</v>
      </c>
      <c r="B437" s="12" t="s">
        <v>2190</v>
      </c>
      <c r="C437" s="12" t="s">
        <v>2142</v>
      </c>
      <c r="D437" s="12" t="s">
        <v>1480</v>
      </c>
      <c r="E437" s="12" t="s">
        <v>2142</v>
      </c>
      <c r="F437" s="12" t="s">
        <v>1861</v>
      </c>
      <c r="G437" s="12" t="s">
        <v>1862</v>
      </c>
      <c r="H437" s="12">
        <v>10</v>
      </c>
      <c r="I437" s="13" t="s">
        <v>1585</v>
      </c>
      <c r="J437" s="12"/>
    </row>
    <row r="438" spans="1:10">
      <c r="A438" s="12">
        <f>IF(B438="","",COUNTA($B$4:B438))</f>
        <v>435</v>
      </c>
      <c r="B438" s="12" t="s">
        <v>2190</v>
      </c>
      <c r="C438" s="12" t="s">
        <v>2191</v>
      </c>
      <c r="D438" s="12"/>
      <c r="E438" s="12" t="s">
        <v>2191</v>
      </c>
      <c r="F438" s="12" t="s">
        <v>1861</v>
      </c>
      <c r="G438" s="12" t="s">
        <v>1862</v>
      </c>
      <c r="H438" s="12">
        <v>4</v>
      </c>
      <c r="I438" s="13"/>
      <c r="J438" s="12"/>
    </row>
    <row r="439" spans="1:10">
      <c r="A439" s="12">
        <f>IF(B439="","",COUNTA($B$4:B439))</f>
        <v>436</v>
      </c>
      <c r="B439" s="12" t="s">
        <v>2190</v>
      </c>
      <c r="C439" s="12" t="s">
        <v>2146</v>
      </c>
      <c r="D439" s="12" t="s">
        <v>1481</v>
      </c>
      <c r="E439" s="12" t="s">
        <v>2146</v>
      </c>
      <c r="F439" s="12" t="s">
        <v>1899</v>
      </c>
      <c r="G439" s="12" t="s">
        <v>1900</v>
      </c>
      <c r="H439" s="12">
        <v>3</v>
      </c>
      <c r="I439" s="13" t="s">
        <v>1585</v>
      </c>
      <c r="J439" s="12"/>
    </row>
    <row r="440" spans="1:10">
      <c r="A440" s="12">
        <f>IF(B440="","",COUNTA($B$4:B440))</f>
        <v>437</v>
      </c>
      <c r="B440" s="12" t="s">
        <v>2190</v>
      </c>
      <c r="C440" s="12" t="s">
        <v>2159</v>
      </c>
      <c r="D440" s="12" t="s">
        <v>627</v>
      </c>
      <c r="E440" s="12" t="s">
        <v>2159</v>
      </c>
      <c r="F440" s="12" t="s">
        <v>1861</v>
      </c>
      <c r="G440" s="12" t="s">
        <v>1862</v>
      </c>
      <c r="H440" s="12">
        <v>15</v>
      </c>
      <c r="I440" s="13" t="s">
        <v>1585</v>
      </c>
      <c r="J440" s="12"/>
    </row>
    <row r="441" spans="1:10">
      <c r="A441" s="12">
        <f>IF(B441="","",COUNTA($B$4:B441))</f>
        <v>438</v>
      </c>
      <c r="B441" s="12" t="s">
        <v>2190</v>
      </c>
      <c r="C441" s="12" t="s">
        <v>2160</v>
      </c>
      <c r="D441" s="12" t="s">
        <v>1486</v>
      </c>
      <c r="E441" s="12" t="s">
        <v>2160</v>
      </c>
      <c r="F441" s="12" t="s">
        <v>1879</v>
      </c>
      <c r="G441" s="12" t="s">
        <v>1880</v>
      </c>
      <c r="H441" s="12"/>
      <c r="I441" s="13" t="s">
        <v>1585</v>
      </c>
      <c r="J441" s="12"/>
    </row>
    <row r="442" spans="1:10">
      <c r="A442" s="12">
        <f>IF(B442="","",COUNTA($B$4:B442))</f>
        <v>439</v>
      </c>
      <c r="B442" s="12" t="s">
        <v>2190</v>
      </c>
      <c r="C442" s="12" t="s">
        <v>2161</v>
      </c>
      <c r="D442" s="12"/>
      <c r="E442" s="12" t="s">
        <v>2161</v>
      </c>
      <c r="F442" s="12" t="s">
        <v>1879</v>
      </c>
      <c r="G442" s="12" t="s">
        <v>1880</v>
      </c>
      <c r="H442" s="12"/>
      <c r="I442" s="13" t="s">
        <v>1585</v>
      </c>
      <c r="J442" s="12"/>
    </row>
    <row r="443" spans="1:10">
      <c r="A443" s="12">
        <f>IF(B443="","",COUNTA($B$4:B443))</f>
        <v>440</v>
      </c>
      <c r="B443" s="12" t="s">
        <v>2190</v>
      </c>
      <c r="C443" s="12" t="s">
        <v>2162</v>
      </c>
      <c r="D443" s="12" t="s">
        <v>384</v>
      </c>
      <c r="E443" s="12" t="s">
        <v>2162</v>
      </c>
      <c r="F443" s="12" t="s">
        <v>1861</v>
      </c>
      <c r="G443" s="12" t="s">
        <v>1862</v>
      </c>
      <c r="H443" s="12">
        <v>2</v>
      </c>
      <c r="I443" s="13" t="s">
        <v>1585</v>
      </c>
      <c r="J443" s="12"/>
    </row>
    <row r="444" spans="1:10">
      <c r="A444" s="12">
        <f>IF(B444="","",COUNTA($B$4:B444))</f>
        <v>441</v>
      </c>
      <c r="B444" s="12" t="s">
        <v>2190</v>
      </c>
      <c r="C444" s="12" t="s">
        <v>2163</v>
      </c>
      <c r="D444" s="12" t="s">
        <v>494</v>
      </c>
      <c r="E444" s="12" t="s">
        <v>2163</v>
      </c>
      <c r="F444" s="12" t="s">
        <v>1861</v>
      </c>
      <c r="G444" s="12" t="s">
        <v>1862</v>
      </c>
      <c r="H444" s="12">
        <v>4</v>
      </c>
      <c r="I444" s="13" t="s">
        <v>1585</v>
      </c>
      <c r="J444" s="12"/>
    </row>
    <row r="445" spans="1:10">
      <c r="A445" s="12">
        <f>IF(B445="","",COUNTA($B$4:B445))</f>
        <v>442</v>
      </c>
      <c r="B445" s="12" t="s">
        <v>2190</v>
      </c>
      <c r="C445" s="12" t="s">
        <v>2166</v>
      </c>
      <c r="D445" s="12" t="s">
        <v>702</v>
      </c>
      <c r="E445" s="12" t="s">
        <v>2166</v>
      </c>
      <c r="F445" s="12" t="s">
        <v>1861</v>
      </c>
      <c r="G445" s="12" t="s">
        <v>1862</v>
      </c>
      <c r="H445" s="12">
        <v>2</v>
      </c>
      <c r="I445" s="13" t="s">
        <v>1585</v>
      </c>
      <c r="J445" s="12"/>
    </row>
    <row r="446" spans="1:10">
      <c r="A446" s="12">
        <f>IF(B446="","",COUNTA($B$4:B446))</f>
        <v>443</v>
      </c>
      <c r="B446" s="12" t="s">
        <v>2190</v>
      </c>
      <c r="C446" s="12" t="s">
        <v>2164</v>
      </c>
      <c r="D446" s="12" t="s">
        <v>1487</v>
      </c>
      <c r="E446" s="12" t="s">
        <v>2164</v>
      </c>
      <c r="F446" s="12" t="s">
        <v>1861</v>
      </c>
      <c r="G446" s="12" t="s">
        <v>1862</v>
      </c>
      <c r="H446" s="12">
        <v>2</v>
      </c>
      <c r="I446" s="13"/>
      <c r="J446" s="12"/>
    </row>
    <row r="447" spans="1:10">
      <c r="A447" s="12">
        <f>IF(B447="","",COUNTA($B$4:B447))</f>
        <v>444</v>
      </c>
      <c r="B447" s="12" t="s">
        <v>2190</v>
      </c>
      <c r="C447" s="12" t="s">
        <v>2167</v>
      </c>
      <c r="D447" s="12"/>
      <c r="E447" s="12" t="s">
        <v>2167</v>
      </c>
      <c r="F447" s="12" t="s">
        <v>1861</v>
      </c>
      <c r="G447" s="12" t="s">
        <v>1862</v>
      </c>
      <c r="H447" s="12">
        <v>2</v>
      </c>
      <c r="I447" s="13"/>
      <c r="J447" s="12"/>
    </row>
    <row r="448" spans="1:10">
      <c r="A448" s="12">
        <f>IF(B448="","",COUNTA($B$4:B448))</f>
        <v>445</v>
      </c>
      <c r="B448" s="12" t="s">
        <v>2190</v>
      </c>
      <c r="C448" s="12" t="s">
        <v>2168</v>
      </c>
      <c r="D448" s="12" t="s">
        <v>1488</v>
      </c>
      <c r="E448" s="12" t="s">
        <v>2168</v>
      </c>
      <c r="F448" s="12" t="s">
        <v>1899</v>
      </c>
      <c r="G448" s="12" t="s">
        <v>1900</v>
      </c>
      <c r="H448" s="12">
        <v>3</v>
      </c>
      <c r="I448" s="13" t="s">
        <v>1585</v>
      </c>
      <c r="J448" s="12"/>
    </row>
    <row r="449" spans="1:10">
      <c r="A449" s="12">
        <f>IF(B449="","",COUNTA($B$4:B449))</f>
        <v>446</v>
      </c>
      <c r="B449" s="12" t="s">
        <v>2190</v>
      </c>
      <c r="C449" s="12" t="s">
        <v>2170</v>
      </c>
      <c r="D449" s="12" t="s">
        <v>1489</v>
      </c>
      <c r="E449" s="12" t="s">
        <v>2170</v>
      </c>
      <c r="F449" s="12" t="s">
        <v>1899</v>
      </c>
      <c r="G449" s="12" t="s">
        <v>1900</v>
      </c>
      <c r="H449" s="12">
        <v>3</v>
      </c>
      <c r="I449" s="13" t="s">
        <v>1585</v>
      </c>
      <c r="J449" s="12"/>
    </row>
    <row r="450" spans="1:10">
      <c r="A450" s="12">
        <f>IF(B450="","",COUNTA($B$4:B450))</f>
        <v>447</v>
      </c>
      <c r="B450" s="12" t="s">
        <v>2190</v>
      </c>
      <c r="C450" s="12" t="s">
        <v>2056</v>
      </c>
      <c r="D450" s="12"/>
      <c r="E450" s="12" t="s">
        <v>2056</v>
      </c>
      <c r="F450" s="12" t="s">
        <v>1879</v>
      </c>
      <c r="G450" s="12" t="s">
        <v>1880</v>
      </c>
      <c r="H450" s="12"/>
      <c r="I450" s="13"/>
      <c r="J450" s="12"/>
    </row>
    <row r="451" spans="1:10">
      <c r="A451" s="12">
        <f>IF(B451="","",COUNTA($B$4:B451))</f>
        <v>448</v>
      </c>
      <c r="B451" s="12" t="s">
        <v>2190</v>
      </c>
      <c r="C451" s="12" t="s">
        <v>2058</v>
      </c>
      <c r="D451" s="12"/>
      <c r="E451" s="12" t="s">
        <v>2058</v>
      </c>
      <c r="F451" s="12" t="s">
        <v>1861</v>
      </c>
      <c r="G451" s="12" t="s">
        <v>1862</v>
      </c>
      <c r="H451" s="12">
        <v>3</v>
      </c>
      <c r="I451" s="13"/>
      <c r="J451" s="12"/>
    </row>
    <row r="452" spans="1:10">
      <c r="A452" s="12">
        <f>IF(B452="","",COUNTA($B$4:B452))</f>
        <v>449</v>
      </c>
      <c r="B452" s="12" t="s">
        <v>2190</v>
      </c>
      <c r="C452" s="12" t="s">
        <v>2060</v>
      </c>
      <c r="D452" s="12"/>
      <c r="E452" s="12" t="s">
        <v>2060</v>
      </c>
      <c r="F452" s="12" t="s">
        <v>1861</v>
      </c>
      <c r="G452" s="12" t="s">
        <v>1862</v>
      </c>
      <c r="H452" s="12">
        <v>3</v>
      </c>
      <c r="I452" s="13"/>
      <c r="J452" s="12"/>
    </row>
    <row r="453" spans="1:10">
      <c r="A453" s="12">
        <f>IF(B453="","",COUNTA($B$4:B453))</f>
        <v>450</v>
      </c>
      <c r="B453" s="12" t="s">
        <v>2190</v>
      </c>
      <c r="C453" s="12" t="s">
        <v>1891</v>
      </c>
      <c r="D453" s="12" t="s">
        <v>1444</v>
      </c>
      <c r="E453" s="12" t="s">
        <v>1891</v>
      </c>
      <c r="F453" s="12" t="s">
        <v>1861</v>
      </c>
      <c r="G453" s="12" t="s">
        <v>1862</v>
      </c>
      <c r="H453" s="12">
        <v>4</v>
      </c>
      <c r="I453" s="13"/>
      <c r="J453" s="12"/>
    </row>
    <row r="454" spans="1:10">
      <c r="A454" s="12">
        <f>IF(B454="","",COUNTA($B$4:B454))</f>
        <v>451</v>
      </c>
      <c r="B454" s="12" t="s">
        <v>2190</v>
      </c>
      <c r="C454" s="12" t="s">
        <v>2122</v>
      </c>
      <c r="D454" s="12"/>
      <c r="E454" s="12" t="s">
        <v>2122</v>
      </c>
      <c r="F454" s="12" t="s">
        <v>1861</v>
      </c>
      <c r="G454" s="12" t="s">
        <v>1862</v>
      </c>
      <c r="H454" s="12">
        <v>3</v>
      </c>
      <c r="I454" s="13"/>
      <c r="J454" s="12"/>
    </row>
    <row r="455" spans="1:10">
      <c r="A455" s="12">
        <f>IF(B455="","",COUNTA($B$4:B455))</f>
        <v>452</v>
      </c>
      <c r="B455" s="12" t="s">
        <v>2190</v>
      </c>
      <c r="C455" s="12" t="s">
        <v>1933</v>
      </c>
      <c r="D455" s="12" t="s">
        <v>457</v>
      </c>
      <c r="E455" s="12" t="s">
        <v>1933</v>
      </c>
      <c r="F455" s="12" t="s">
        <v>1861</v>
      </c>
      <c r="G455" s="12" t="s">
        <v>1862</v>
      </c>
      <c r="H455" s="12">
        <v>5</v>
      </c>
      <c r="I455" s="13"/>
      <c r="J455" s="12"/>
    </row>
    <row r="456" spans="1:10">
      <c r="A456" s="12">
        <f>IF(B456="","",COUNTA($B$4:B456))</f>
        <v>453</v>
      </c>
      <c r="B456" s="12" t="s">
        <v>2190</v>
      </c>
      <c r="C456" s="12" t="s">
        <v>1893</v>
      </c>
      <c r="D456" s="12" t="s">
        <v>568</v>
      </c>
      <c r="E456" s="12" t="s">
        <v>1893</v>
      </c>
      <c r="F456" s="12" t="s">
        <v>1861</v>
      </c>
      <c r="G456" s="12" t="s">
        <v>1862</v>
      </c>
      <c r="H456" s="12">
        <v>20</v>
      </c>
      <c r="I456" s="13"/>
      <c r="J456" s="12"/>
    </row>
    <row r="457" spans="1:10">
      <c r="A457" s="12">
        <f>IF(B457="","",COUNTA($B$4:B457))</f>
        <v>454</v>
      </c>
      <c r="B457" s="12" t="s">
        <v>2190</v>
      </c>
      <c r="C457" s="12" t="s">
        <v>1895</v>
      </c>
      <c r="D457" s="12" t="s">
        <v>657</v>
      </c>
      <c r="E457" s="12" t="s">
        <v>1895</v>
      </c>
      <c r="F457" s="12" t="s">
        <v>1861</v>
      </c>
      <c r="G457" s="12" t="s">
        <v>1862</v>
      </c>
      <c r="H457" s="12">
        <v>30</v>
      </c>
      <c r="I457" s="13"/>
      <c r="J457" s="12"/>
    </row>
    <row r="458" spans="1:10">
      <c r="A458" s="12">
        <f>IF(B458="","",COUNTA($B$4:B458))</f>
        <v>455</v>
      </c>
      <c r="B458" s="12" t="s">
        <v>2190</v>
      </c>
      <c r="C458" s="12" t="s">
        <v>1863</v>
      </c>
      <c r="D458" s="12" t="s">
        <v>1395</v>
      </c>
      <c r="E458" s="12" t="s">
        <v>1863</v>
      </c>
      <c r="F458" s="12" t="s">
        <v>1861</v>
      </c>
      <c r="G458" s="12" t="s">
        <v>1862</v>
      </c>
      <c r="H458" s="12">
        <v>3</v>
      </c>
      <c r="I458" s="13"/>
      <c r="J458" s="12"/>
    </row>
    <row r="459" spans="1:10">
      <c r="A459" s="12">
        <f>IF(B459="","",COUNTA($B$4:B459))</f>
        <v>456</v>
      </c>
      <c r="B459" s="12" t="s">
        <v>2190</v>
      </c>
      <c r="C459" s="12" t="s">
        <v>2181</v>
      </c>
      <c r="D459" s="12"/>
      <c r="E459" s="12" t="s">
        <v>2181</v>
      </c>
      <c r="F459" s="12" t="s">
        <v>1861</v>
      </c>
      <c r="G459" s="12" t="s">
        <v>1862</v>
      </c>
      <c r="H459" s="12">
        <v>30</v>
      </c>
      <c r="I459" s="13"/>
      <c r="J459" s="12"/>
    </row>
    <row r="460" spans="1:10">
      <c r="A460" s="12">
        <f>IF(B460="","",COUNTA($B$4:B460))</f>
        <v>457</v>
      </c>
      <c r="B460" s="12" t="s">
        <v>2190</v>
      </c>
      <c r="C460" s="12" t="s">
        <v>1935</v>
      </c>
      <c r="D460" s="12" t="s">
        <v>570</v>
      </c>
      <c r="E460" s="12" t="s">
        <v>1935</v>
      </c>
      <c r="F460" s="12" t="s">
        <v>1861</v>
      </c>
      <c r="G460" s="12" t="s">
        <v>1862</v>
      </c>
      <c r="H460" s="12">
        <v>2</v>
      </c>
      <c r="I460" s="13"/>
      <c r="J460" s="12"/>
    </row>
    <row r="461" spans="1:10">
      <c r="A461" s="12">
        <f>IF(B461="","",COUNTA($B$4:B461))</f>
        <v>458</v>
      </c>
      <c r="B461" s="12" t="s">
        <v>2190</v>
      </c>
      <c r="C461" s="12" t="s">
        <v>2126</v>
      </c>
      <c r="D461" s="12"/>
      <c r="E461" s="12" t="s">
        <v>2126</v>
      </c>
      <c r="F461" s="12" t="s">
        <v>1861</v>
      </c>
      <c r="G461" s="12" t="s">
        <v>1862</v>
      </c>
      <c r="H461" s="12">
        <v>30</v>
      </c>
      <c r="I461" s="13"/>
      <c r="J461" s="12"/>
    </row>
    <row r="462" spans="1:10">
      <c r="A462" s="12">
        <f>IF(B462="","",COUNTA($B$4:B462))</f>
        <v>459</v>
      </c>
      <c r="B462" s="12" t="s">
        <v>2190</v>
      </c>
      <c r="C462" s="12" t="s">
        <v>1937</v>
      </c>
      <c r="D462" s="12" t="s">
        <v>572</v>
      </c>
      <c r="E462" s="12" t="s">
        <v>1937</v>
      </c>
      <c r="F462" s="12" t="s">
        <v>1861</v>
      </c>
      <c r="G462" s="12" t="s">
        <v>1862</v>
      </c>
      <c r="H462" s="12">
        <v>2</v>
      </c>
      <c r="I462" s="13"/>
      <c r="J462" s="12"/>
    </row>
    <row r="463" spans="1:10">
      <c r="A463" s="12">
        <f>IF(B463="","",COUNTA($B$4:B463))</f>
        <v>460</v>
      </c>
      <c r="B463" s="12" t="s">
        <v>2190</v>
      </c>
      <c r="C463" s="12" t="s">
        <v>2127</v>
      </c>
      <c r="D463" s="12"/>
      <c r="E463" s="12" t="s">
        <v>2127</v>
      </c>
      <c r="F463" s="12" t="s">
        <v>1861</v>
      </c>
      <c r="G463" s="12" t="s">
        <v>1862</v>
      </c>
      <c r="H463" s="12">
        <v>30</v>
      </c>
      <c r="I463" s="13"/>
      <c r="J463" s="12"/>
    </row>
    <row r="464" spans="1:10">
      <c r="A464" s="12">
        <f>IF(B464="","",COUNTA($B$4:B464))</f>
        <v>461</v>
      </c>
      <c r="B464" s="12" t="s">
        <v>2190</v>
      </c>
      <c r="C464" s="12" t="s">
        <v>1939</v>
      </c>
      <c r="D464" s="12" t="s">
        <v>459</v>
      </c>
      <c r="E464" s="12" t="s">
        <v>1939</v>
      </c>
      <c r="F464" s="12" t="s">
        <v>1861</v>
      </c>
      <c r="G464" s="12" t="s">
        <v>1862</v>
      </c>
      <c r="H464" s="12">
        <v>2</v>
      </c>
      <c r="I464" s="13"/>
      <c r="J464" s="12"/>
    </row>
    <row r="465" spans="1:10">
      <c r="A465" s="12">
        <f>IF(B465="","",COUNTA($B$4:B465))</f>
        <v>462</v>
      </c>
      <c r="B465" s="12" t="s">
        <v>2190</v>
      </c>
      <c r="C465" s="12" t="s">
        <v>2182</v>
      </c>
      <c r="D465" s="12" t="s">
        <v>491</v>
      </c>
      <c r="E465" s="12" t="s">
        <v>2182</v>
      </c>
      <c r="F465" s="12" t="s">
        <v>1861</v>
      </c>
      <c r="G465" s="12" t="s">
        <v>1862</v>
      </c>
      <c r="H465" s="12">
        <v>30</v>
      </c>
      <c r="I465" s="13"/>
      <c r="J465" s="12"/>
    </row>
    <row r="466" spans="1:10">
      <c r="A466" s="12">
        <f>IF(B466="","",COUNTA($B$4:B466))</f>
        <v>463</v>
      </c>
      <c r="B466" s="12" t="s">
        <v>2190</v>
      </c>
      <c r="C466" s="12" t="s">
        <v>2151</v>
      </c>
      <c r="D466" s="12" t="s">
        <v>506</v>
      </c>
      <c r="E466" s="12" t="s">
        <v>2062</v>
      </c>
      <c r="F466" s="12" t="s">
        <v>1861</v>
      </c>
      <c r="G466" s="12" t="s">
        <v>1862</v>
      </c>
      <c r="H466" s="12">
        <v>4</v>
      </c>
      <c r="I466" s="13"/>
      <c r="J466" s="12"/>
    </row>
    <row r="467" spans="1:10">
      <c r="A467" s="12">
        <f>IF(B467="","",COUNTA($B$4:B467))</f>
        <v>464</v>
      </c>
      <c r="B467" s="12" t="s">
        <v>2190</v>
      </c>
      <c r="C467" s="12" t="s">
        <v>2062</v>
      </c>
      <c r="D467" s="12"/>
      <c r="E467" s="12" t="s">
        <v>2062</v>
      </c>
      <c r="F467" s="12" t="s">
        <v>1861</v>
      </c>
      <c r="G467" s="12" t="s">
        <v>1862</v>
      </c>
      <c r="H467" s="12">
        <v>10</v>
      </c>
      <c r="I467" s="13"/>
      <c r="J467" s="12"/>
    </row>
    <row r="468" spans="1:10">
      <c r="A468" s="12">
        <f>IF(B468="","",COUNTA($B$4:B468))</f>
        <v>465</v>
      </c>
      <c r="B468" s="12" t="s">
        <v>2190</v>
      </c>
      <c r="C468" s="12" t="s">
        <v>1914</v>
      </c>
      <c r="D468" s="12" t="s">
        <v>709</v>
      </c>
      <c r="E468" s="12" t="s">
        <v>1914</v>
      </c>
      <c r="F468" s="12" t="s">
        <v>1899</v>
      </c>
      <c r="G468" s="12" t="s">
        <v>1900</v>
      </c>
      <c r="H468" s="12">
        <v>7</v>
      </c>
      <c r="I468" s="13">
        <v>2</v>
      </c>
      <c r="J468" s="12"/>
    </row>
    <row r="469" spans="1:10">
      <c r="A469" s="12">
        <f>IF(B469="","",COUNTA($B$4:B469))</f>
        <v>466</v>
      </c>
      <c r="B469" s="12" t="s">
        <v>2190</v>
      </c>
      <c r="C469" s="12" t="s">
        <v>2183</v>
      </c>
      <c r="D469" s="12"/>
      <c r="E469" s="12" t="s">
        <v>2184</v>
      </c>
      <c r="F469" s="12" t="s">
        <v>1899</v>
      </c>
      <c r="G469" s="12" t="s">
        <v>1862</v>
      </c>
      <c r="H469" s="12">
        <v>10</v>
      </c>
      <c r="I469" s="13"/>
      <c r="J469" s="12"/>
    </row>
    <row r="470" spans="1:10">
      <c r="A470" s="12">
        <f>IF(B470="","",COUNTA($B$4:B470))</f>
        <v>467</v>
      </c>
      <c r="B470" s="12" t="s">
        <v>2190</v>
      </c>
      <c r="C470" s="12" t="s">
        <v>1916</v>
      </c>
      <c r="D470" s="12" t="s">
        <v>432</v>
      </c>
      <c r="E470" s="12" t="s">
        <v>1916</v>
      </c>
      <c r="F470" s="12" t="s">
        <v>1899</v>
      </c>
      <c r="G470" s="12" t="s">
        <v>1900</v>
      </c>
      <c r="H470" s="12">
        <v>7</v>
      </c>
      <c r="I470" s="13">
        <v>3</v>
      </c>
      <c r="J470" s="12"/>
    </row>
    <row r="471" spans="1:10">
      <c r="A471" s="12">
        <f>IF(B471="","",COUNTA($B$4:B471))</f>
        <v>468</v>
      </c>
      <c r="B471" s="12" t="s">
        <v>2190</v>
      </c>
      <c r="C471" s="12" t="s">
        <v>2123</v>
      </c>
      <c r="D471" s="12" t="s">
        <v>1414</v>
      </c>
      <c r="E471" s="12" t="s">
        <v>2123</v>
      </c>
      <c r="F471" s="12" t="s">
        <v>1899</v>
      </c>
      <c r="G471" s="12" t="s">
        <v>1900</v>
      </c>
      <c r="H471" s="12">
        <v>7</v>
      </c>
      <c r="I471" s="13">
        <v>1</v>
      </c>
      <c r="J471" s="12"/>
    </row>
    <row r="472" spans="1:10">
      <c r="A472" s="12">
        <f>IF(B472="","",COUNTA($B$4:B472))</f>
        <v>469</v>
      </c>
      <c r="B472" s="12" t="s">
        <v>2190</v>
      </c>
      <c r="C472" s="12" t="s">
        <v>2192</v>
      </c>
      <c r="D472" s="12"/>
      <c r="E472" s="12" t="s">
        <v>2192</v>
      </c>
      <c r="F472" s="12" t="s">
        <v>1899</v>
      </c>
      <c r="G472" s="12" t="s">
        <v>1900</v>
      </c>
      <c r="H472" s="12">
        <v>8</v>
      </c>
      <c r="I472" s="13"/>
      <c r="J472" s="12"/>
    </row>
    <row r="473" spans="1:10">
      <c r="A473" s="12">
        <f>IF(B473="","",COUNTA($B$4:B473))</f>
        <v>470</v>
      </c>
      <c r="B473" s="12" t="s">
        <v>2190</v>
      </c>
      <c r="C473" s="12" t="s">
        <v>1873</v>
      </c>
      <c r="D473" s="12" t="s">
        <v>624</v>
      </c>
      <c r="E473" s="12" t="s">
        <v>1875</v>
      </c>
      <c r="F473" s="12" t="s">
        <v>1861</v>
      </c>
      <c r="G473" s="12" t="s">
        <v>1862</v>
      </c>
      <c r="H473" s="12">
        <v>10</v>
      </c>
      <c r="I473" s="13"/>
      <c r="J473" s="12"/>
    </row>
    <row r="474" spans="1:10">
      <c r="A474" s="12">
        <f>IF(B474="","",COUNTA($B$4:B474))</f>
        <v>471</v>
      </c>
      <c r="B474" s="12" t="s">
        <v>2190</v>
      </c>
      <c r="C474" s="12" t="s">
        <v>1876</v>
      </c>
      <c r="D474" s="12" t="s">
        <v>624</v>
      </c>
      <c r="E474" s="12" t="s">
        <v>1876</v>
      </c>
      <c r="F474" s="12" t="s">
        <v>1861</v>
      </c>
      <c r="G474" s="12" t="s">
        <v>1862</v>
      </c>
      <c r="H474" s="12">
        <v>10</v>
      </c>
      <c r="I474" s="13"/>
      <c r="J474" s="12"/>
    </row>
    <row r="475" spans="1:10">
      <c r="A475" s="12">
        <f>IF(B475="","",COUNTA($B$4:B475))</f>
        <v>472</v>
      </c>
      <c r="B475" s="12" t="s">
        <v>2190</v>
      </c>
      <c r="C475" s="12" t="s">
        <v>1877</v>
      </c>
      <c r="D475" s="12" t="s">
        <v>548</v>
      </c>
      <c r="E475" s="12" t="s">
        <v>1877</v>
      </c>
      <c r="F475" s="12" t="s">
        <v>1879</v>
      </c>
      <c r="G475" s="12" t="s">
        <v>1880</v>
      </c>
      <c r="H475" s="12"/>
      <c r="I475" s="13"/>
      <c r="J475" s="12"/>
    </row>
    <row r="476" spans="1:10">
      <c r="A476" s="12">
        <f>IF(B476="","",COUNTA($B$4:B476))</f>
        <v>473</v>
      </c>
      <c r="B476" s="12" t="s">
        <v>2190</v>
      </c>
      <c r="C476" s="12" t="s">
        <v>1881</v>
      </c>
      <c r="D476" s="12" t="s">
        <v>626</v>
      </c>
      <c r="E476" s="12" t="s">
        <v>1883</v>
      </c>
      <c r="F476" s="12" t="s">
        <v>1861</v>
      </c>
      <c r="G476" s="12" t="s">
        <v>1862</v>
      </c>
      <c r="H476" s="12">
        <v>10</v>
      </c>
      <c r="I476" s="13"/>
      <c r="J476" s="12"/>
    </row>
    <row r="477" spans="1:10">
      <c r="A477" s="12">
        <f>IF(B477="","",COUNTA($B$4:B477))</f>
        <v>474</v>
      </c>
      <c r="B477" s="12" t="s">
        <v>2190</v>
      </c>
      <c r="C477" s="12" t="s">
        <v>1884</v>
      </c>
      <c r="D477" s="12" t="s">
        <v>390</v>
      </c>
      <c r="E477" s="12" t="s">
        <v>1884</v>
      </c>
      <c r="F477" s="12" t="s">
        <v>1861</v>
      </c>
      <c r="G477" s="12" t="s">
        <v>1862</v>
      </c>
      <c r="H477" s="12">
        <v>10</v>
      </c>
      <c r="I477" s="13" t="s">
        <v>1585</v>
      </c>
      <c r="J477" s="12"/>
    </row>
    <row r="478" spans="1:10">
      <c r="A478" s="12">
        <f>IF(B478="","",COUNTA($B$4:B478))</f>
        <v>475</v>
      </c>
      <c r="B478" s="12" t="s">
        <v>2190</v>
      </c>
      <c r="C478" s="12" t="s">
        <v>1886</v>
      </c>
      <c r="D478" s="12" t="s">
        <v>394</v>
      </c>
      <c r="E478" s="12" t="s">
        <v>1886</v>
      </c>
      <c r="F478" s="12" t="s">
        <v>1879</v>
      </c>
      <c r="G478" s="12" t="s">
        <v>1880</v>
      </c>
      <c r="H478" s="12"/>
      <c r="I478" s="13" t="s">
        <v>1585</v>
      </c>
      <c r="J478" s="12"/>
    </row>
    <row r="479" spans="1:10">
      <c r="A479" s="12">
        <f>IF(B479="","",COUNTA($B$4:B479))</f>
        <v>476</v>
      </c>
      <c r="B479" s="12" t="s">
        <v>2193</v>
      </c>
      <c r="C479" s="12" t="s">
        <v>2194</v>
      </c>
      <c r="D479" s="12"/>
      <c r="E479" s="12" t="s">
        <v>2195</v>
      </c>
      <c r="F479" s="12" t="s">
        <v>1861</v>
      </c>
      <c r="G479" s="12" t="s">
        <v>1880</v>
      </c>
      <c r="H479" s="12">
        <v>7</v>
      </c>
      <c r="I479" s="13"/>
      <c r="J479" s="12"/>
    </row>
    <row r="480" spans="1:10">
      <c r="A480" s="12">
        <f>IF(B480="","",COUNTA($B$4:B480))</f>
        <v>477</v>
      </c>
      <c r="B480" s="12" t="s">
        <v>2193</v>
      </c>
      <c r="C480" s="12" t="s">
        <v>1893</v>
      </c>
      <c r="D480" s="12" t="s">
        <v>568</v>
      </c>
      <c r="E480" s="12" t="s">
        <v>1893</v>
      </c>
      <c r="F480" s="12" t="s">
        <v>1861</v>
      </c>
      <c r="G480" s="12" t="s">
        <v>1862</v>
      </c>
      <c r="H480" s="12">
        <v>20</v>
      </c>
      <c r="I480" s="13"/>
      <c r="J480" s="12"/>
    </row>
    <row r="481" spans="1:10">
      <c r="A481" s="12">
        <f>IF(B481="","",COUNTA($B$4:B481))</f>
        <v>478</v>
      </c>
      <c r="B481" s="12" t="s">
        <v>2193</v>
      </c>
      <c r="C481" s="12" t="s">
        <v>1933</v>
      </c>
      <c r="D481" s="12" t="s">
        <v>457</v>
      </c>
      <c r="E481" s="12" t="s">
        <v>1933</v>
      </c>
      <c r="F481" s="12" t="s">
        <v>1861</v>
      </c>
      <c r="G481" s="12" t="s">
        <v>1862</v>
      </c>
      <c r="H481" s="12">
        <v>5</v>
      </c>
      <c r="I481" s="13"/>
      <c r="J481" s="12"/>
    </row>
    <row r="482" spans="1:10">
      <c r="A482" s="12">
        <f>IF(B482="","",COUNTA($B$4:B482))</f>
        <v>479</v>
      </c>
      <c r="B482" s="12" t="s">
        <v>2193</v>
      </c>
      <c r="C482" s="12" t="s">
        <v>1895</v>
      </c>
      <c r="D482" s="12" t="s">
        <v>657</v>
      </c>
      <c r="E482" s="12" t="s">
        <v>1895</v>
      </c>
      <c r="F482" s="12" t="s">
        <v>1861</v>
      </c>
      <c r="G482" s="12" t="s">
        <v>1862</v>
      </c>
      <c r="H482" s="12">
        <v>30</v>
      </c>
      <c r="I482" s="13"/>
      <c r="J482" s="12"/>
    </row>
    <row r="483" spans="1:10">
      <c r="A483" s="12">
        <f>IF(B483="","",COUNTA($B$4:B483))</f>
        <v>480</v>
      </c>
      <c r="B483" s="12" t="s">
        <v>2193</v>
      </c>
      <c r="C483" s="12" t="s">
        <v>1939</v>
      </c>
      <c r="D483" s="12" t="s">
        <v>459</v>
      </c>
      <c r="E483" s="12" t="s">
        <v>1939</v>
      </c>
      <c r="F483" s="12" t="s">
        <v>1861</v>
      </c>
      <c r="G483" s="12" t="s">
        <v>1862</v>
      </c>
      <c r="H483" s="12">
        <v>2</v>
      </c>
      <c r="I483" s="13"/>
      <c r="J483" s="12"/>
    </row>
    <row r="484" spans="1:10">
      <c r="A484" s="12">
        <f>IF(B484="","",COUNTA($B$4:B484))</f>
        <v>481</v>
      </c>
      <c r="B484" s="12" t="s">
        <v>2193</v>
      </c>
      <c r="C484" s="12" t="s">
        <v>2182</v>
      </c>
      <c r="D484" s="12" t="s">
        <v>491</v>
      </c>
      <c r="E484" s="12" t="s">
        <v>2182</v>
      </c>
      <c r="F484" s="12" t="s">
        <v>1861</v>
      </c>
      <c r="G484" s="12" t="s">
        <v>1862</v>
      </c>
      <c r="H484" s="12">
        <v>30</v>
      </c>
      <c r="I484" s="13"/>
      <c r="J484" s="12"/>
    </row>
    <row r="485" spans="1:10">
      <c r="A485" s="12">
        <f>IF(B485="","",COUNTA($B$4:B485))</f>
        <v>482</v>
      </c>
      <c r="B485" s="12" t="s">
        <v>2193</v>
      </c>
      <c r="C485" s="12" t="s">
        <v>1914</v>
      </c>
      <c r="D485" s="12" t="s">
        <v>709</v>
      </c>
      <c r="E485" s="12" t="s">
        <v>1914</v>
      </c>
      <c r="F485" s="12" t="s">
        <v>1899</v>
      </c>
      <c r="G485" s="12" t="s">
        <v>1900</v>
      </c>
      <c r="H485" s="12">
        <v>7</v>
      </c>
      <c r="I485" s="13">
        <v>2</v>
      </c>
      <c r="J485" s="12"/>
    </row>
    <row r="486" spans="1:10">
      <c r="A486" s="12">
        <f>IF(B486="","",COUNTA($B$4:B486))</f>
        <v>483</v>
      </c>
      <c r="B486" s="12" t="s">
        <v>2193</v>
      </c>
      <c r="C486" s="12" t="s">
        <v>2185</v>
      </c>
      <c r="D486" s="12"/>
      <c r="E486" s="12" t="s">
        <v>2185</v>
      </c>
      <c r="F486" s="12" t="s">
        <v>1899</v>
      </c>
      <c r="G486" s="12" t="s">
        <v>1900</v>
      </c>
      <c r="H486" s="12">
        <v>7</v>
      </c>
      <c r="I486" s="13" t="s">
        <v>1493</v>
      </c>
      <c r="J486" s="12"/>
    </row>
    <row r="487" spans="1:10">
      <c r="A487" s="12">
        <f>IF(B487="","",COUNTA($B$4:B487))</f>
        <v>484</v>
      </c>
      <c r="B487" s="12" t="s">
        <v>2193</v>
      </c>
      <c r="C487" s="12" t="s">
        <v>2123</v>
      </c>
      <c r="D487" s="12" t="s">
        <v>1414</v>
      </c>
      <c r="E487" s="12" t="s">
        <v>2123</v>
      </c>
      <c r="F487" s="12" t="s">
        <v>1899</v>
      </c>
      <c r="G487" s="12" t="s">
        <v>1900</v>
      </c>
      <c r="H487" s="12">
        <v>7</v>
      </c>
      <c r="I487" s="13">
        <v>1</v>
      </c>
      <c r="J487" s="12"/>
    </row>
    <row r="488" spans="1:10">
      <c r="A488" s="12">
        <f>IF(B488="","",COUNTA($B$4:B488))</f>
        <v>485</v>
      </c>
      <c r="B488" s="12" t="s">
        <v>2193</v>
      </c>
      <c r="C488" s="12" t="s">
        <v>1873</v>
      </c>
      <c r="D488" s="12" t="s">
        <v>624</v>
      </c>
      <c r="E488" s="12" t="s">
        <v>1875</v>
      </c>
      <c r="F488" s="12" t="s">
        <v>1861</v>
      </c>
      <c r="G488" s="12" t="s">
        <v>1862</v>
      </c>
      <c r="H488" s="12">
        <v>10</v>
      </c>
      <c r="I488" s="13"/>
      <c r="J488" s="12"/>
    </row>
    <row r="489" spans="1:10">
      <c r="A489" s="12">
        <f>IF(B489="","",COUNTA($B$4:B489))</f>
        <v>486</v>
      </c>
      <c r="B489" s="12" t="s">
        <v>2193</v>
      </c>
      <c r="C489" s="12" t="s">
        <v>1876</v>
      </c>
      <c r="D489" s="12" t="s">
        <v>624</v>
      </c>
      <c r="E489" s="12" t="s">
        <v>1876</v>
      </c>
      <c r="F489" s="12" t="s">
        <v>1861</v>
      </c>
      <c r="G489" s="12" t="s">
        <v>1862</v>
      </c>
      <c r="H489" s="12">
        <v>10</v>
      </c>
      <c r="I489" s="13"/>
      <c r="J489" s="12"/>
    </row>
    <row r="490" spans="1:10">
      <c r="A490" s="12">
        <f>IF(B490="","",COUNTA($B$4:B490))</f>
        <v>487</v>
      </c>
      <c r="B490" s="12" t="s">
        <v>2193</v>
      </c>
      <c r="C490" s="12" t="s">
        <v>1877</v>
      </c>
      <c r="D490" s="12" t="s">
        <v>548</v>
      </c>
      <c r="E490" s="12" t="s">
        <v>1877</v>
      </c>
      <c r="F490" s="12" t="s">
        <v>1879</v>
      </c>
      <c r="G490" s="12" t="s">
        <v>1880</v>
      </c>
      <c r="H490" s="12"/>
      <c r="I490" s="13"/>
      <c r="J490" s="12"/>
    </row>
    <row r="491" spans="1:10">
      <c r="A491" s="12">
        <f>IF(B491="","",COUNTA($B$4:B491))</f>
        <v>488</v>
      </c>
      <c r="B491" s="12" t="s">
        <v>2193</v>
      </c>
      <c r="C491" s="12" t="s">
        <v>1881</v>
      </c>
      <c r="D491" s="12" t="s">
        <v>626</v>
      </c>
      <c r="E491" s="12" t="s">
        <v>1883</v>
      </c>
      <c r="F491" s="12" t="s">
        <v>1861</v>
      </c>
      <c r="G491" s="12" t="s">
        <v>1862</v>
      </c>
      <c r="H491" s="12">
        <v>10</v>
      </c>
      <c r="I491" s="13"/>
      <c r="J491" s="12"/>
    </row>
    <row r="492" spans="1:10">
      <c r="A492" s="12">
        <f>IF(B492="","",COUNTA($B$4:B492))</f>
        <v>489</v>
      </c>
      <c r="B492" s="12" t="s">
        <v>2193</v>
      </c>
      <c r="C492" s="12" t="s">
        <v>1884</v>
      </c>
      <c r="D492" s="12" t="s">
        <v>390</v>
      </c>
      <c r="E492" s="12" t="s">
        <v>1884</v>
      </c>
      <c r="F492" s="12" t="s">
        <v>1861</v>
      </c>
      <c r="G492" s="12" t="s">
        <v>1862</v>
      </c>
      <c r="H492" s="12">
        <v>10</v>
      </c>
      <c r="I492" s="13" t="s">
        <v>1585</v>
      </c>
      <c r="J492" s="12"/>
    </row>
    <row r="493" spans="1:10">
      <c r="A493" s="12">
        <f>IF(B493="","",COUNTA($B$4:B493))</f>
        <v>490</v>
      </c>
      <c r="B493" s="12" t="s">
        <v>2193</v>
      </c>
      <c r="C493" s="12" t="s">
        <v>1886</v>
      </c>
      <c r="D493" s="12" t="s">
        <v>394</v>
      </c>
      <c r="E493" s="12" t="s">
        <v>1886</v>
      </c>
      <c r="F493" s="12" t="s">
        <v>1879</v>
      </c>
      <c r="G493" s="12" t="s">
        <v>1880</v>
      </c>
      <c r="H493" s="12"/>
      <c r="I493" s="13" t="s">
        <v>1585</v>
      </c>
      <c r="J493" s="12"/>
    </row>
    <row r="494" spans="1:10">
      <c r="A494" s="12">
        <f>IF(B494="","",COUNTA($B$4:B494))</f>
        <v>491</v>
      </c>
      <c r="B494" s="12" t="s">
        <v>2196</v>
      </c>
      <c r="C494" s="12" t="s">
        <v>2197</v>
      </c>
      <c r="D494" s="12"/>
      <c r="E494" s="12" t="s">
        <v>2197</v>
      </c>
      <c r="F494" s="12" t="s">
        <v>1861</v>
      </c>
      <c r="G494" s="12" t="s">
        <v>1862</v>
      </c>
      <c r="H494" s="12">
        <v>11</v>
      </c>
      <c r="I494" s="13" t="s">
        <v>1585</v>
      </c>
      <c r="J494" s="12"/>
    </row>
    <row r="495" spans="1:10">
      <c r="A495" s="12">
        <f>IF(B495="","",COUNTA($B$4:B495))</f>
        <v>492</v>
      </c>
      <c r="B495" s="12" t="s">
        <v>2196</v>
      </c>
      <c r="C495" s="12" t="s">
        <v>2198</v>
      </c>
      <c r="D495" s="12"/>
      <c r="E495" s="12" t="s">
        <v>2198</v>
      </c>
      <c r="F495" s="12" t="s">
        <v>1861</v>
      </c>
      <c r="G495" s="12" t="s">
        <v>1880</v>
      </c>
      <c r="H495" s="12">
        <v>7</v>
      </c>
      <c r="I495" s="13"/>
      <c r="J495" s="12"/>
    </row>
    <row r="496" spans="1:10">
      <c r="A496" s="12">
        <f>IF(B496="","",COUNTA($B$4:B496))</f>
        <v>493</v>
      </c>
      <c r="B496" s="12" t="s">
        <v>2196</v>
      </c>
      <c r="C496" s="12" t="s">
        <v>2199</v>
      </c>
      <c r="D496" s="12" t="s">
        <v>494</v>
      </c>
      <c r="E496" s="12" t="s">
        <v>2199</v>
      </c>
      <c r="F496" s="12" t="s">
        <v>1861</v>
      </c>
      <c r="G496" s="12" t="s">
        <v>1862</v>
      </c>
      <c r="H496" s="12">
        <v>4</v>
      </c>
      <c r="I496" s="13"/>
      <c r="J496" s="12"/>
    </row>
    <row r="497" spans="1:10">
      <c r="A497" s="12">
        <f>IF(B497="","",COUNTA($B$4:B497))</f>
        <v>494</v>
      </c>
      <c r="B497" s="12" t="s">
        <v>2196</v>
      </c>
      <c r="C497" s="12" t="s">
        <v>2200</v>
      </c>
      <c r="D497" s="12"/>
      <c r="E497" s="12" t="s">
        <v>2200</v>
      </c>
      <c r="F497" s="12" t="s">
        <v>1861</v>
      </c>
      <c r="G497" s="12" t="s">
        <v>1862</v>
      </c>
      <c r="H497" s="12">
        <v>5</v>
      </c>
      <c r="I497" s="13"/>
      <c r="J497" s="12"/>
    </row>
    <row r="498" spans="1:10">
      <c r="A498" s="12">
        <f>IF(B498="","",COUNTA($B$4:B498))</f>
        <v>495</v>
      </c>
      <c r="B498" s="12" t="s">
        <v>2196</v>
      </c>
      <c r="C498" s="12" t="s">
        <v>2201</v>
      </c>
      <c r="D498" s="12"/>
      <c r="E498" s="12" t="s">
        <v>2201</v>
      </c>
      <c r="F498" s="12" t="s">
        <v>1861</v>
      </c>
      <c r="G498" s="12" t="s">
        <v>1862</v>
      </c>
      <c r="H498" s="12">
        <v>30</v>
      </c>
      <c r="I498" s="13"/>
      <c r="J498" s="12"/>
    </row>
    <row r="499" spans="1:10">
      <c r="A499" s="12">
        <f>IF(B499="","",COUNTA($B$4:B499))</f>
        <v>496</v>
      </c>
      <c r="B499" s="12" t="s">
        <v>2196</v>
      </c>
      <c r="C499" s="12" t="s">
        <v>2202</v>
      </c>
      <c r="D499" s="12"/>
      <c r="E499" s="12" t="s">
        <v>2202</v>
      </c>
      <c r="F499" s="12" t="s">
        <v>1861</v>
      </c>
      <c r="G499" s="12" t="s">
        <v>1862</v>
      </c>
      <c r="H499" s="12">
        <v>5</v>
      </c>
      <c r="I499" s="13"/>
      <c r="J499" s="12"/>
    </row>
    <row r="500" spans="1:10">
      <c r="A500" s="12">
        <f>IF(B500="","",COUNTA($B$4:B500))</f>
        <v>497</v>
      </c>
      <c r="B500" s="12" t="s">
        <v>2196</v>
      </c>
      <c r="C500" s="12" t="s">
        <v>2203</v>
      </c>
      <c r="D500" s="12"/>
      <c r="E500" s="12" t="s">
        <v>2203</v>
      </c>
      <c r="F500" s="12" t="s">
        <v>1861</v>
      </c>
      <c r="G500" s="12" t="s">
        <v>1862</v>
      </c>
      <c r="H500" s="12">
        <v>30</v>
      </c>
      <c r="I500" s="13"/>
      <c r="J500" s="12"/>
    </row>
    <row r="501" spans="1:10">
      <c r="A501" s="12">
        <f>IF(B501="","",COUNTA($B$4:B501))</f>
        <v>498</v>
      </c>
      <c r="B501" s="12" t="s">
        <v>2196</v>
      </c>
      <c r="C501" s="12" t="s">
        <v>1933</v>
      </c>
      <c r="D501" s="12" t="s">
        <v>457</v>
      </c>
      <c r="E501" s="12" t="s">
        <v>1933</v>
      </c>
      <c r="F501" s="12" t="s">
        <v>1861</v>
      </c>
      <c r="G501" s="12" t="s">
        <v>1862</v>
      </c>
      <c r="H501" s="12">
        <v>5</v>
      </c>
      <c r="I501" s="13"/>
      <c r="J501" s="12"/>
    </row>
    <row r="502" spans="1:10">
      <c r="A502" s="12">
        <f>IF(B502="","",COUNTA($B$4:B502))</f>
        <v>499</v>
      </c>
      <c r="B502" s="12" t="s">
        <v>2196</v>
      </c>
      <c r="C502" s="12" t="s">
        <v>1893</v>
      </c>
      <c r="D502" s="12" t="s">
        <v>568</v>
      </c>
      <c r="E502" s="12" t="s">
        <v>1893</v>
      </c>
      <c r="F502" s="12" t="s">
        <v>1861</v>
      </c>
      <c r="G502" s="12" t="s">
        <v>1862</v>
      </c>
      <c r="H502" s="12">
        <v>20</v>
      </c>
      <c r="I502" s="13"/>
      <c r="J502" s="12"/>
    </row>
    <row r="503" spans="1:10">
      <c r="A503" s="12">
        <f>IF(B503="","",COUNTA($B$4:B503))</f>
        <v>500</v>
      </c>
      <c r="B503" s="12" t="s">
        <v>2196</v>
      </c>
      <c r="C503" s="12" t="s">
        <v>1895</v>
      </c>
      <c r="D503" s="12" t="s">
        <v>657</v>
      </c>
      <c r="E503" s="12" t="s">
        <v>1895</v>
      </c>
      <c r="F503" s="12" t="s">
        <v>1861</v>
      </c>
      <c r="G503" s="12" t="s">
        <v>1862</v>
      </c>
      <c r="H503" s="12">
        <v>30</v>
      </c>
      <c r="I503" s="13"/>
      <c r="J503" s="12"/>
    </row>
    <row r="504" spans="1:10">
      <c r="A504" s="12">
        <f>IF(B504="","",COUNTA($B$4:B504))</f>
        <v>501</v>
      </c>
      <c r="B504" s="12" t="s">
        <v>2196</v>
      </c>
      <c r="C504" s="12" t="s">
        <v>1935</v>
      </c>
      <c r="D504" s="12" t="s">
        <v>570</v>
      </c>
      <c r="E504" s="12" t="s">
        <v>1935</v>
      </c>
      <c r="F504" s="12" t="s">
        <v>1861</v>
      </c>
      <c r="G504" s="12" t="s">
        <v>1862</v>
      </c>
      <c r="H504" s="12">
        <v>2</v>
      </c>
      <c r="I504" s="13"/>
      <c r="J504" s="12"/>
    </row>
    <row r="505" spans="1:10">
      <c r="A505" s="12">
        <f>IF(B505="","",COUNTA($B$4:B505))</f>
        <v>502</v>
      </c>
      <c r="B505" s="12" t="s">
        <v>2196</v>
      </c>
      <c r="C505" s="12" t="s">
        <v>2126</v>
      </c>
      <c r="D505" s="12"/>
      <c r="E505" s="12" t="s">
        <v>2126</v>
      </c>
      <c r="F505" s="12" t="s">
        <v>1861</v>
      </c>
      <c r="G505" s="12" t="s">
        <v>1862</v>
      </c>
      <c r="H505" s="12">
        <v>30</v>
      </c>
      <c r="I505" s="13"/>
      <c r="J505" s="12"/>
    </row>
    <row r="506" spans="1:10">
      <c r="A506" s="12">
        <f>IF(B506="","",COUNTA($B$4:B506))</f>
        <v>503</v>
      </c>
      <c r="B506" s="12" t="s">
        <v>1494</v>
      </c>
      <c r="C506" s="12" t="s">
        <v>1454</v>
      </c>
      <c r="D506" s="12" t="s">
        <v>572</v>
      </c>
      <c r="E506" s="12" t="s">
        <v>1454</v>
      </c>
      <c r="F506" s="12" t="s">
        <v>111</v>
      </c>
      <c r="G506" s="12" t="s">
        <v>106</v>
      </c>
      <c r="H506" s="12">
        <v>2</v>
      </c>
      <c r="I506" s="13"/>
      <c r="J506" s="12"/>
    </row>
    <row r="507" spans="1:10">
      <c r="A507" s="12">
        <f>IF(B507="","",COUNTA($B$4:B507))</f>
        <v>504</v>
      </c>
      <c r="B507" s="12" t="s">
        <v>1494</v>
      </c>
      <c r="C507" s="12" t="s">
        <v>1479</v>
      </c>
      <c r="D507" s="12"/>
      <c r="E507" s="12" t="s">
        <v>1479</v>
      </c>
      <c r="F507" s="12" t="s">
        <v>111</v>
      </c>
      <c r="G507" s="12" t="s">
        <v>106</v>
      </c>
      <c r="H507" s="12">
        <v>30</v>
      </c>
      <c r="I507" s="13"/>
      <c r="J507" s="12"/>
    </row>
    <row r="508" spans="1:10">
      <c r="A508" s="12">
        <f>IF(B508="","",COUNTA($B$4:B508))</f>
        <v>505</v>
      </c>
      <c r="B508" s="12" t="s">
        <v>1494</v>
      </c>
      <c r="C508" s="12" t="s">
        <v>133</v>
      </c>
      <c r="D508" s="12" t="s">
        <v>459</v>
      </c>
      <c r="E508" s="12" t="s">
        <v>133</v>
      </c>
      <c r="F508" s="12" t="s">
        <v>111</v>
      </c>
      <c r="G508" s="12" t="s">
        <v>106</v>
      </c>
      <c r="H508" s="12">
        <v>2</v>
      </c>
      <c r="I508" s="13"/>
      <c r="J508" s="12"/>
    </row>
    <row r="509" spans="1:10">
      <c r="A509" s="12">
        <f>IF(B509="","",COUNTA($B$4:B509))</f>
        <v>506</v>
      </c>
      <c r="B509" s="12" t="s">
        <v>1494</v>
      </c>
      <c r="C509" s="12" t="s">
        <v>1462</v>
      </c>
      <c r="D509" s="12" t="s">
        <v>491</v>
      </c>
      <c r="E509" s="12" t="s">
        <v>1462</v>
      </c>
      <c r="F509" s="12" t="s">
        <v>111</v>
      </c>
      <c r="G509" s="12" t="s">
        <v>106</v>
      </c>
      <c r="H509" s="12">
        <v>30</v>
      </c>
      <c r="I509" s="13"/>
      <c r="J509" s="12"/>
    </row>
    <row r="510" spans="1:10">
      <c r="A510" s="12">
        <f>IF(B510="","",COUNTA($B$4:B510))</f>
        <v>507</v>
      </c>
      <c r="B510" s="12" t="s">
        <v>1494</v>
      </c>
      <c r="C510" s="12" t="s">
        <v>1482</v>
      </c>
      <c r="D510" s="12" t="s">
        <v>506</v>
      </c>
      <c r="E510" s="12" t="s">
        <v>124</v>
      </c>
      <c r="F510" s="12" t="s">
        <v>111</v>
      </c>
      <c r="G510" s="12" t="s">
        <v>106</v>
      </c>
      <c r="H510" s="12">
        <v>4</v>
      </c>
      <c r="I510" s="13"/>
      <c r="J510" s="12"/>
    </row>
    <row r="511" spans="1:10">
      <c r="A511" s="12">
        <f>IF(B511="","",COUNTA($B$4:B511))</f>
        <v>508</v>
      </c>
      <c r="B511" s="12" t="s">
        <v>1494</v>
      </c>
      <c r="C511" s="12" t="s">
        <v>124</v>
      </c>
      <c r="D511" s="12"/>
      <c r="E511" s="12" t="s">
        <v>124</v>
      </c>
      <c r="F511" s="12" t="s">
        <v>111</v>
      </c>
      <c r="G511" s="12" t="s">
        <v>106</v>
      </c>
      <c r="H511" s="12">
        <v>10</v>
      </c>
      <c r="I511" s="13"/>
      <c r="J511" s="12"/>
    </row>
    <row r="512" spans="1:10">
      <c r="A512" s="12">
        <f>IF(B512="","",COUNTA($B$4:B512))</f>
        <v>509</v>
      </c>
      <c r="B512" s="12" t="s">
        <v>1494</v>
      </c>
      <c r="C512" s="12" t="s">
        <v>1495</v>
      </c>
      <c r="D512" s="12" t="s">
        <v>506</v>
      </c>
      <c r="E512" s="12" t="s">
        <v>1495</v>
      </c>
      <c r="F512" s="12" t="s">
        <v>111</v>
      </c>
      <c r="G512" s="12" t="s">
        <v>106</v>
      </c>
      <c r="H512" s="12">
        <v>4</v>
      </c>
      <c r="I512" s="13"/>
      <c r="J512" s="12"/>
    </row>
    <row r="513" spans="1:10">
      <c r="A513" s="12">
        <f>IF(B513="","",COUNTA($B$4:B513))</f>
        <v>510</v>
      </c>
      <c r="B513" s="12" t="s">
        <v>1494</v>
      </c>
      <c r="C513" s="12" t="s">
        <v>1490</v>
      </c>
      <c r="D513" s="12"/>
      <c r="E513" s="12" t="s">
        <v>1490</v>
      </c>
      <c r="F513" s="12" t="s">
        <v>111</v>
      </c>
      <c r="G513" s="12" t="s">
        <v>106</v>
      </c>
      <c r="H513" s="12">
        <v>10</v>
      </c>
      <c r="I513" s="13"/>
      <c r="J513" s="12"/>
    </row>
    <row r="514" spans="1:10">
      <c r="A514" s="12">
        <f>IF(B514="","",COUNTA($B$4:B514))</f>
        <v>511</v>
      </c>
      <c r="B514" s="12" t="s">
        <v>1494</v>
      </c>
      <c r="C514" s="12" t="s">
        <v>134</v>
      </c>
      <c r="D514" s="12" t="s">
        <v>709</v>
      </c>
      <c r="E514" s="12" t="s">
        <v>134</v>
      </c>
      <c r="F514" s="12" t="s">
        <v>107</v>
      </c>
      <c r="G514" s="12" t="s">
        <v>109</v>
      </c>
      <c r="H514" s="12">
        <v>7</v>
      </c>
      <c r="I514" s="13">
        <v>2</v>
      </c>
      <c r="J514" s="12"/>
    </row>
    <row r="515" spans="1:10">
      <c r="A515" s="12">
        <f>IF(B515="","",COUNTA($B$4:B515))</f>
        <v>512</v>
      </c>
      <c r="B515" s="12" t="s">
        <v>1494</v>
      </c>
      <c r="C515" s="12" t="s">
        <v>1446</v>
      </c>
      <c r="D515" s="12" t="s">
        <v>432</v>
      </c>
      <c r="E515" s="12" t="s">
        <v>1446</v>
      </c>
      <c r="F515" s="12" t="s">
        <v>107</v>
      </c>
      <c r="G515" s="12" t="s">
        <v>109</v>
      </c>
      <c r="H515" s="12">
        <v>7</v>
      </c>
      <c r="I515" s="13">
        <v>3</v>
      </c>
      <c r="J515" s="12"/>
    </row>
    <row r="516" spans="1:10">
      <c r="A516" s="12">
        <f>IF(B516="","",COUNTA($B$4:B516))</f>
        <v>513</v>
      </c>
      <c r="B516" s="12" t="s">
        <v>1494</v>
      </c>
      <c r="C516" s="12" t="s">
        <v>125</v>
      </c>
      <c r="D516" s="12" t="s">
        <v>1395</v>
      </c>
      <c r="E516" s="12" t="s">
        <v>125</v>
      </c>
      <c r="F516" s="12" t="s">
        <v>111</v>
      </c>
      <c r="G516" s="12" t="s">
        <v>106</v>
      </c>
      <c r="H516" s="12">
        <v>3</v>
      </c>
      <c r="I516" s="13"/>
      <c r="J516" s="12"/>
    </row>
    <row r="517" spans="1:10">
      <c r="A517" s="12">
        <f>IF(B517="","",COUNTA($B$4:B517))</f>
        <v>514</v>
      </c>
      <c r="B517" s="12" t="s">
        <v>1494</v>
      </c>
      <c r="C517" s="12" t="s">
        <v>126</v>
      </c>
      <c r="D517" s="12"/>
      <c r="E517" s="12" t="s">
        <v>126</v>
      </c>
      <c r="F517" s="12" t="s">
        <v>111</v>
      </c>
      <c r="G517" s="12" t="s">
        <v>106</v>
      </c>
      <c r="H517" s="12">
        <v>30</v>
      </c>
      <c r="I517" s="13"/>
      <c r="J517" s="12"/>
    </row>
    <row r="518" spans="1:10">
      <c r="A518" s="12">
        <f>IF(B518="","",COUNTA($B$4:B518))</f>
        <v>515</v>
      </c>
      <c r="B518" s="12" t="s">
        <v>1494</v>
      </c>
      <c r="C518" s="12" t="s">
        <v>135</v>
      </c>
      <c r="D518" s="12"/>
      <c r="E518" s="12" t="s">
        <v>135</v>
      </c>
      <c r="F518" s="12" t="s">
        <v>107</v>
      </c>
      <c r="G518" s="12" t="s">
        <v>109</v>
      </c>
      <c r="H518" s="12">
        <v>6</v>
      </c>
      <c r="I518" s="13" t="s">
        <v>1585</v>
      </c>
      <c r="J518" s="12"/>
    </row>
    <row r="519" spans="1:10">
      <c r="A519" s="12">
        <f>IF(B519="","",COUNTA($B$4:B519))</f>
        <v>516</v>
      </c>
      <c r="B519" s="12" t="s">
        <v>1494</v>
      </c>
      <c r="C519" s="12" t="s">
        <v>1496</v>
      </c>
      <c r="D519" s="12"/>
      <c r="E519" s="12" t="s">
        <v>1496</v>
      </c>
      <c r="F519" s="12" t="s">
        <v>107</v>
      </c>
      <c r="G519" s="12" t="s">
        <v>109</v>
      </c>
      <c r="H519" s="12">
        <v>7</v>
      </c>
      <c r="I519" s="13" t="s">
        <v>1493</v>
      </c>
      <c r="J519" s="12"/>
    </row>
    <row r="520" spans="1:10">
      <c r="A520" s="12">
        <f>IF(B520="","",COUNTA($B$4:B520))</f>
        <v>517</v>
      </c>
      <c r="B520" s="12" t="s">
        <v>1494</v>
      </c>
      <c r="C520" s="12" t="s">
        <v>1497</v>
      </c>
      <c r="D520" s="12"/>
      <c r="E520" s="12" t="s">
        <v>1497</v>
      </c>
      <c r="F520" s="12" t="s">
        <v>107</v>
      </c>
      <c r="G520" s="12" t="s">
        <v>109</v>
      </c>
      <c r="H520" s="12">
        <v>7</v>
      </c>
      <c r="I520" s="13" t="s">
        <v>1493</v>
      </c>
      <c r="J520" s="12"/>
    </row>
    <row r="521" spans="1:10">
      <c r="A521" s="12">
        <f>IF(B521="","",COUNTA($B$4:B521))</f>
        <v>518</v>
      </c>
      <c r="B521" s="12" t="s">
        <v>1494</v>
      </c>
      <c r="C521" s="12" t="s">
        <v>137</v>
      </c>
      <c r="D521" s="12"/>
      <c r="E521" s="12" t="s">
        <v>137</v>
      </c>
      <c r="F521" s="12" t="s">
        <v>107</v>
      </c>
      <c r="G521" s="12" t="s">
        <v>109</v>
      </c>
      <c r="H521" s="12">
        <v>6</v>
      </c>
      <c r="I521" s="13" t="s">
        <v>1585</v>
      </c>
      <c r="J521" s="12"/>
    </row>
    <row r="522" spans="1:10">
      <c r="A522" s="12">
        <f>IF(B522="","",COUNTA($B$4:B522))</f>
        <v>519</v>
      </c>
      <c r="B522" s="12" t="s">
        <v>1494</v>
      </c>
      <c r="C522" s="12" t="s">
        <v>1498</v>
      </c>
      <c r="D522" s="12"/>
      <c r="E522" s="12" t="s">
        <v>1498</v>
      </c>
      <c r="F522" s="12" t="s">
        <v>107</v>
      </c>
      <c r="G522" s="12" t="s">
        <v>109</v>
      </c>
      <c r="H522" s="12">
        <v>7</v>
      </c>
      <c r="I522" s="13" t="s">
        <v>1493</v>
      </c>
      <c r="J522" s="12"/>
    </row>
    <row r="523" spans="1:10">
      <c r="A523" s="12">
        <f>IF(B523="","",COUNTA($B$4:B523))</f>
        <v>520</v>
      </c>
      <c r="B523" s="12" t="s">
        <v>1494</v>
      </c>
      <c r="C523" s="12" t="s">
        <v>1499</v>
      </c>
      <c r="D523" s="12"/>
      <c r="E523" s="12" t="s">
        <v>1499</v>
      </c>
      <c r="F523" s="12" t="s">
        <v>107</v>
      </c>
      <c r="G523" s="12" t="s">
        <v>109</v>
      </c>
      <c r="H523" s="12">
        <v>6</v>
      </c>
      <c r="I523" s="13" t="s">
        <v>1585</v>
      </c>
      <c r="J523" s="12"/>
    </row>
    <row r="524" spans="1:10">
      <c r="A524" s="12">
        <f>IF(B524="","",COUNTA($B$4:B524))</f>
        <v>521</v>
      </c>
      <c r="B524" s="12" t="s">
        <v>1494</v>
      </c>
      <c r="C524" s="12" t="s">
        <v>138</v>
      </c>
      <c r="D524" s="12"/>
      <c r="E524" s="12" t="s">
        <v>138</v>
      </c>
      <c r="F524" s="12" t="s">
        <v>107</v>
      </c>
      <c r="G524" s="12" t="s">
        <v>109</v>
      </c>
      <c r="H524" s="12">
        <v>6</v>
      </c>
      <c r="I524" s="13" t="s">
        <v>1585</v>
      </c>
      <c r="J524" s="12"/>
    </row>
    <row r="525" spans="1:10">
      <c r="A525" s="12">
        <f>IF(B525="","",COUNTA($B$4:B525))</f>
        <v>522</v>
      </c>
      <c r="B525" s="12" t="s">
        <v>1494</v>
      </c>
      <c r="C525" s="12" t="s">
        <v>1500</v>
      </c>
      <c r="D525" s="12"/>
      <c r="E525" s="12" t="s">
        <v>139</v>
      </c>
      <c r="F525" s="12" t="s">
        <v>107</v>
      </c>
      <c r="G525" s="12" t="s">
        <v>109</v>
      </c>
      <c r="H525" s="12">
        <v>7</v>
      </c>
      <c r="I525" s="13" t="s">
        <v>1493</v>
      </c>
      <c r="J525" s="12"/>
    </row>
    <row r="526" spans="1:10">
      <c r="A526" s="12">
        <f>IF(B526="","",COUNTA($B$4:B526))</f>
        <v>523</v>
      </c>
      <c r="B526" s="12" t="s">
        <v>1494</v>
      </c>
      <c r="C526" s="12" t="s">
        <v>1501</v>
      </c>
      <c r="D526" s="12"/>
      <c r="E526" s="12" t="s">
        <v>139</v>
      </c>
      <c r="F526" s="12" t="s">
        <v>107</v>
      </c>
      <c r="G526" s="12" t="s">
        <v>109</v>
      </c>
      <c r="H526" s="12">
        <v>7</v>
      </c>
      <c r="I526" s="13" t="s">
        <v>1493</v>
      </c>
      <c r="J526" s="12"/>
    </row>
    <row r="527" spans="1:10">
      <c r="A527" s="12">
        <f>IF(B527="","",COUNTA($B$4:B527))</f>
        <v>524</v>
      </c>
      <c r="B527" s="12" t="s">
        <v>1494</v>
      </c>
      <c r="C527" s="12" t="s">
        <v>136</v>
      </c>
      <c r="D527" s="12"/>
      <c r="E527" s="12" t="s">
        <v>136</v>
      </c>
      <c r="F527" s="12" t="s">
        <v>107</v>
      </c>
      <c r="G527" s="12" t="s">
        <v>109</v>
      </c>
      <c r="H527" s="12">
        <v>6</v>
      </c>
      <c r="I527" s="13" t="s">
        <v>1585</v>
      </c>
      <c r="J527" s="12"/>
    </row>
    <row r="528" spans="1:10">
      <c r="A528" s="12">
        <f>IF(B528="","",COUNTA($B$4:B528))</f>
        <v>525</v>
      </c>
      <c r="B528" s="12" t="s">
        <v>1494</v>
      </c>
      <c r="C528" s="12" t="s">
        <v>1502</v>
      </c>
      <c r="D528" s="12"/>
      <c r="E528" s="12" t="s">
        <v>1502</v>
      </c>
      <c r="F528" s="12" t="s">
        <v>107</v>
      </c>
      <c r="G528" s="12" t="s">
        <v>109</v>
      </c>
      <c r="H528" s="12">
        <v>7</v>
      </c>
      <c r="I528" s="13" t="s">
        <v>1493</v>
      </c>
      <c r="J528" s="12"/>
    </row>
    <row r="529" spans="1:10">
      <c r="A529" s="12">
        <f>IF(B529="","",COUNTA($B$4:B529))</f>
        <v>526</v>
      </c>
      <c r="B529" s="12" t="s">
        <v>1494</v>
      </c>
      <c r="C529" s="12" t="s">
        <v>1503</v>
      </c>
      <c r="D529" s="12"/>
      <c r="E529" s="12" t="s">
        <v>1503</v>
      </c>
      <c r="F529" s="12" t="s">
        <v>107</v>
      </c>
      <c r="G529" s="12" t="s">
        <v>109</v>
      </c>
      <c r="H529" s="12">
        <v>7</v>
      </c>
      <c r="I529" s="13" t="s">
        <v>1493</v>
      </c>
      <c r="J529" s="12"/>
    </row>
    <row r="530" spans="1:10">
      <c r="A530" s="12">
        <f>IF(B530="","",COUNTA($B$4:B530))</f>
        <v>527</v>
      </c>
      <c r="B530" s="12" t="s">
        <v>1494</v>
      </c>
      <c r="C530" s="12" t="s">
        <v>1440</v>
      </c>
      <c r="D530" s="12" t="s">
        <v>624</v>
      </c>
      <c r="E530" s="12" t="s">
        <v>1441</v>
      </c>
      <c r="F530" s="12" t="s">
        <v>111</v>
      </c>
      <c r="G530" s="12" t="s">
        <v>106</v>
      </c>
      <c r="H530" s="12">
        <v>10</v>
      </c>
      <c r="I530" s="13"/>
      <c r="J530" s="12"/>
    </row>
    <row r="531" spans="1:10">
      <c r="A531" s="12">
        <f>IF(B531="","",COUNTA($B$4:B531))</f>
        <v>528</v>
      </c>
      <c r="B531" s="12" t="s">
        <v>1494</v>
      </c>
      <c r="C531" s="12" t="s">
        <v>112</v>
      </c>
      <c r="D531" s="12" t="s">
        <v>624</v>
      </c>
      <c r="E531" s="12" t="s">
        <v>112</v>
      </c>
      <c r="F531" s="12" t="s">
        <v>111</v>
      </c>
      <c r="G531" s="12" t="s">
        <v>106</v>
      </c>
      <c r="H531" s="12">
        <v>10</v>
      </c>
      <c r="I531" s="13"/>
      <c r="J531" s="12"/>
    </row>
    <row r="532" spans="1:10">
      <c r="A532" s="12">
        <f>IF(B532="","",COUNTA($B$4:B532))</f>
        <v>529</v>
      </c>
      <c r="B532" s="12" t="s">
        <v>1494</v>
      </c>
      <c r="C532" s="12" t="s">
        <v>113</v>
      </c>
      <c r="D532" s="12" t="s">
        <v>548</v>
      </c>
      <c r="E532" s="12" t="s">
        <v>113</v>
      </c>
      <c r="F532" s="12" t="s">
        <v>86</v>
      </c>
      <c r="G532" s="12" t="s">
        <v>108</v>
      </c>
      <c r="H532" s="12"/>
      <c r="I532" s="13"/>
      <c r="J532" s="12"/>
    </row>
    <row r="533" spans="1:10">
      <c r="A533" s="12">
        <f>IF(B533="","",COUNTA($B$4:B533))</f>
        <v>530</v>
      </c>
      <c r="B533" s="12" t="s">
        <v>1494</v>
      </c>
      <c r="C533" s="12" t="s">
        <v>1442</v>
      </c>
      <c r="D533" s="12" t="s">
        <v>626</v>
      </c>
      <c r="E533" s="12" t="s">
        <v>1443</v>
      </c>
      <c r="F533" s="12" t="s">
        <v>111</v>
      </c>
      <c r="G533" s="12" t="s">
        <v>106</v>
      </c>
      <c r="H533" s="12">
        <v>10</v>
      </c>
      <c r="I533" s="13"/>
      <c r="J533" s="12"/>
    </row>
    <row r="534" spans="1:10">
      <c r="A534" s="12">
        <f>IF(B534="","",COUNTA($B$4:B534))</f>
        <v>531</v>
      </c>
      <c r="B534" s="12" t="s">
        <v>1494</v>
      </c>
      <c r="C534" s="12" t="s">
        <v>114</v>
      </c>
      <c r="D534" s="12" t="s">
        <v>390</v>
      </c>
      <c r="E534" s="12" t="s">
        <v>114</v>
      </c>
      <c r="F534" s="12" t="s">
        <v>111</v>
      </c>
      <c r="G534" s="12" t="s">
        <v>106</v>
      </c>
      <c r="H534" s="12">
        <v>10</v>
      </c>
      <c r="I534" s="13" t="s">
        <v>1585</v>
      </c>
      <c r="J534" s="12"/>
    </row>
    <row r="535" spans="1:10">
      <c r="A535" s="12">
        <f>IF(B535="","",COUNTA($B$4:B535))</f>
        <v>532</v>
      </c>
      <c r="B535" s="12" t="s">
        <v>1494</v>
      </c>
      <c r="C535" s="12" t="s">
        <v>115</v>
      </c>
      <c r="D535" s="12" t="s">
        <v>394</v>
      </c>
      <c r="E535" s="12" t="s">
        <v>115</v>
      </c>
      <c r="F535" s="12" t="s">
        <v>86</v>
      </c>
      <c r="G535" s="12" t="s">
        <v>108</v>
      </c>
      <c r="H535" s="12"/>
      <c r="I535" s="13" t="s">
        <v>1585</v>
      </c>
      <c r="J535" s="12"/>
    </row>
    <row r="536" spans="1:10">
      <c r="A536" s="12" t="str">
        <f>IF(B536="","",COUNTA($B$4:B536))</f>
        <v/>
      </c>
      <c r="B536" s="12"/>
      <c r="C536" s="12"/>
      <c r="D536" s="12"/>
      <c r="E536" s="12"/>
      <c r="F536" s="12"/>
      <c r="G536" s="12"/>
      <c r="H536" s="12"/>
      <c r="I536" s="13"/>
      <c r="J536" s="12"/>
    </row>
    <row r="537" spans="1:10">
      <c r="A537" s="12" t="str">
        <f>IF(B537="","",COUNTA($B$4:B537))</f>
        <v/>
      </c>
      <c r="B537" s="12"/>
      <c r="C537" s="12"/>
      <c r="D537" s="12"/>
      <c r="E537" s="12"/>
      <c r="F537" s="12"/>
      <c r="G537" s="12"/>
      <c r="H537" s="12"/>
      <c r="I537" s="13"/>
      <c r="J537" s="12"/>
    </row>
    <row r="538" spans="1:10">
      <c r="A538" s="12" t="str">
        <f>IF(B538="","",COUNTA($B$4:B538))</f>
        <v/>
      </c>
      <c r="B538" s="12"/>
      <c r="C538" s="12"/>
      <c r="D538" s="12"/>
      <c r="E538" s="12"/>
      <c r="F538" s="12"/>
      <c r="G538" s="12"/>
      <c r="H538" s="12"/>
      <c r="I538" s="13"/>
      <c r="J538" s="12"/>
    </row>
    <row r="539" spans="1:10">
      <c r="A539" s="12" t="str">
        <f>IF(B539="","",COUNTA($B$4:B539))</f>
        <v/>
      </c>
      <c r="B539" s="12"/>
      <c r="C539" s="12"/>
      <c r="D539" s="12"/>
      <c r="E539" s="12"/>
      <c r="F539" s="12"/>
      <c r="G539" s="12"/>
      <c r="H539" s="12"/>
      <c r="I539" s="13"/>
      <c r="J539" s="12"/>
    </row>
    <row r="540" spans="1:10">
      <c r="A540" s="12" t="str">
        <f>IF(B540="","",COUNTA($B$4:B540))</f>
        <v/>
      </c>
      <c r="B540" s="12"/>
      <c r="C540" s="12"/>
      <c r="D540" s="12"/>
      <c r="E540" s="12"/>
      <c r="F540" s="12"/>
      <c r="G540" s="12"/>
      <c r="H540" s="12"/>
      <c r="I540" s="13"/>
      <c r="J540" s="12"/>
    </row>
    <row r="541" spans="1:10">
      <c r="A541" s="12" t="str">
        <f>IF(B541="","",COUNTA($B$4:B541))</f>
        <v/>
      </c>
      <c r="B541" s="12"/>
      <c r="C541" s="12"/>
      <c r="D541" s="12"/>
      <c r="E541" s="12"/>
      <c r="F541" s="12"/>
      <c r="G541" s="12"/>
      <c r="H541" s="12"/>
      <c r="I541" s="13"/>
      <c r="J541" s="12"/>
    </row>
    <row r="542" spans="1:10">
      <c r="A542" s="12" t="str">
        <f>IF(B542="","",COUNTA($B$4:B542))</f>
        <v/>
      </c>
      <c r="B542" s="12"/>
      <c r="C542" s="12"/>
      <c r="D542" s="12"/>
      <c r="E542" s="12"/>
      <c r="F542" s="12"/>
      <c r="G542" s="12"/>
      <c r="H542" s="12"/>
      <c r="I542" s="13"/>
      <c r="J542" s="12"/>
    </row>
    <row r="543" spans="1:10">
      <c r="A543" s="12" t="str">
        <f>IF(B543="","",COUNTA($B$4:B543))</f>
        <v/>
      </c>
      <c r="B543" s="12"/>
      <c r="C543" s="12"/>
      <c r="D543" s="12"/>
      <c r="E543" s="12"/>
      <c r="F543" s="12"/>
      <c r="G543" s="12"/>
      <c r="H543" s="12"/>
      <c r="I543" s="13"/>
      <c r="J543" s="12"/>
    </row>
    <row r="544" spans="1:10">
      <c r="A544" s="12" t="str">
        <f>IF(B544="","",COUNTA($B$4:B544))</f>
        <v/>
      </c>
      <c r="B544" s="12"/>
      <c r="C544" s="12"/>
      <c r="D544" s="12"/>
      <c r="E544" s="12"/>
      <c r="F544" s="12"/>
      <c r="G544" s="12"/>
      <c r="H544" s="12"/>
      <c r="I544" s="13"/>
      <c r="J544" s="12"/>
    </row>
    <row r="545" spans="1:10">
      <c r="A545" s="12" t="str">
        <f>IF(B545="","",COUNTA($B$4:B545))</f>
        <v/>
      </c>
      <c r="B545" s="12"/>
      <c r="C545" s="12"/>
      <c r="D545" s="12"/>
      <c r="E545" s="12"/>
      <c r="F545" s="12"/>
      <c r="G545" s="12"/>
      <c r="H545" s="12"/>
      <c r="I545" s="13"/>
      <c r="J545" s="12"/>
    </row>
    <row r="546" spans="1:10">
      <c r="A546" s="12" t="str">
        <f>IF(B546="","",COUNTA($B$4:B546))</f>
        <v/>
      </c>
      <c r="B546" s="12"/>
      <c r="C546" s="12"/>
      <c r="D546" s="12"/>
      <c r="E546" s="12"/>
      <c r="F546" s="12"/>
      <c r="G546" s="12"/>
      <c r="H546" s="12"/>
      <c r="I546" s="13"/>
      <c r="J546" s="12"/>
    </row>
    <row r="547" spans="1:10">
      <c r="A547" s="12" t="str">
        <f>IF(B547="","",COUNTA($B$4:B547))</f>
        <v/>
      </c>
      <c r="B547" s="12"/>
      <c r="C547" s="12"/>
      <c r="D547" s="12"/>
      <c r="E547" s="12"/>
      <c r="F547" s="12"/>
      <c r="G547" s="12"/>
      <c r="H547" s="12"/>
      <c r="I547" s="13"/>
      <c r="J547" s="12"/>
    </row>
    <row r="548" spans="1:10">
      <c r="A548" s="12" t="str">
        <f>IF(B548="","",COUNTA($B$4:B548))</f>
        <v/>
      </c>
      <c r="B548" s="12"/>
      <c r="C548" s="12"/>
      <c r="D548" s="12"/>
      <c r="E548" s="12"/>
      <c r="F548" s="12"/>
      <c r="G548" s="12"/>
      <c r="H548" s="12"/>
      <c r="I548" s="13"/>
      <c r="J548" s="12"/>
    </row>
    <row r="549" spans="1:10">
      <c r="A549" s="12" t="str">
        <f>IF(B549="","",COUNTA($B$4:B549))</f>
        <v/>
      </c>
      <c r="B549" s="12"/>
      <c r="C549" s="12"/>
      <c r="D549" s="12"/>
      <c r="E549" s="12"/>
      <c r="F549" s="12"/>
      <c r="G549" s="12"/>
      <c r="H549" s="12"/>
      <c r="I549" s="13"/>
      <c r="J549" s="12"/>
    </row>
    <row r="550" spans="1:10">
      <c r="A550" s="12" t="str">
        <f>IF(B550="","",COUNTA($B$4:B550))</f>
        <v/>
      </c>
      <c r="B550" s="12"/>
      <c r="C550" s="12"/>
      <c r="D550" s="12"/>
      <c r="E550" s="12"/>
      <c r="F550" s="12"/>
      <c r="G550" s="12"/>
      <c r="H550" s="12"/>
      <c r="I550" s="13"/>
      <c r="J550" s="12"/>
    </row>
    <row r="551" spans="1:10">
      <c r="A551" s="12" t="str">
        <f>IF(B551="","",COUNTA($B$4:B551))</f>
        <v/>
      </c>
      <c r="B551" s="12"/>
      <c r="C551" s="12"/>
      <c r="D551" s="12"/>
      <c r="E551" s="12"/>
      <c r="F551" s="12"/>
      <c r="G551" s="12"/>
      <c r="H551" s="12"/>
      <c r="I551" s="13"/>
      <c r="J551" s="12"/>
    </row>
    <row r="552" spans="1:10">
      <c r="A552" s="12" t="str">
        <f>IF(B552="","",COUNTA($B$4:B552))</f>
        <v/>
      </c>
      <c r="B552" s="12"/>
      <c r="C552" s="12"/>
      <c r="D552" s="12"/>
      <c r="E552" s="12"/>
      <c r="F552" s="12"/>
      <c r="G552" s="12"/>
      <c r="H552" s="12"/>
      <c r="I552" s="13"/>
      <c r="J552" s="12"/>
    </row>
    <row r="553" spans="1:10">
      <c r="A553" s="12" t="str">
        <f>IF(B553="","",COUNTA($B$4:B553))</f>
        <v/>
      </c>
      <c r="B553" s="12"/>
      <c r="C553" s="12"/>
      <c r="D553" s="12"/>
      <c r="E553" s="12"/>
      <c r="F553" s="12"/>
      <c r="G553" s="12"/>
      <c r="H553" s="12"/>
      <c r="I553" s="13"/>
      <c r="J553" s="12"/>
    </row>
    <row r="554" spans="1:10">
      <c r="A554" s="12" t="str">
        <f>IF(B554="","",COUNTA($B$4:B554))</f>
        <v/>
      </c>
      <c r="B554" s="12"/>
      <c r="C554" s="12"/>
      <c r="D554" s="12"/>
      <c r="E554" s="12"/>
      <c r="F554" s="12"/>
      <c r="G554" s="12"/>
      <c r="H554" s="12"/>
      <c r="I554" s="13"/>
      <c r="J554" s="12"/>
    </row>
    <row r="555" spans="1:10">
      <c r="A555" s="12" t="str">
        <f>IF(B555="","",COUNTA($B$4:B555))</f>
        <v/>
      </c>
      <c r="B555" s="12"/>
      <c r="C555" s="12"/>
      <c r="D555" s="12"/>
      <c r="E555" s="12"/>
      <c r="F555" s="12"/>
      <c r="G555" s="12"/>
      <c r="H555" s="12"/>
      <c r="I555" s="13"/>
      <c r="J555" s="12"/>
    </row>
    <row r="556" spans="1:10">
      <c r="A556" s="12" t="str">
        <f>IF(B556="","",COUNTA($B$4:B556))</f>
        <v/>
      </c>
      <c r="B556" s="12"/>
      <c r="C556" s="12"/>
      <c r="D556" s="12"/>
      <c r="E556" s="12"/>
      <c r="F556" s="12"/>
      <c r="G556" s="12"/>
      <c r="H556" s="12"/>
      <c r="I556" s="13"/>
      <c r="J556" s="12"/>
    </row>
    <row r="557" spans="1:10">
      <c r="A557" s="12" t="str">
        <f>IF(B557="","",COUNTA($B$4:B557))</f>
        <v/>
      </c>
      <c r="B557" s="12"/>
      <c r="C557" s="12"/>
      <c r="D557" s="12"/>
      <c r="E557" s="12"/>
      <c r="F557" s="12"/>
      <c r="G557" s="12"/>
      <c r="H557" s="12"/>
      <c r="I557" s="13"/>
      <c r="J557" s="12"/>
    </row>
    <row r="558" spans="1:10">
      <c r="A558" s="12" t="str">
        <f>IF(B558="","",COUNTA($B$4:B558))</f>
        <v/>
      </c>
      <c r="B558" s="12"/>
      <c r="C558" s="12"/>
      <c r="D558" s="12"/>
      <c r="E558" s="12"/>
      <c r="F558" s="12"/>
      <c r="G558" s="12"/>
      <c r="H558" s="12"/>
      <c r="I558" s="13"/>
      <c r="J558" s="12"/>
    </row>
    <row r="559" spans="1:10">
      <c r="A559" s="12" t="str">
        <f>IF(B559="","",COUNTA($B$4:B559))</f>
        <v/>
      </c>
      <c r="B559" s="12"/>
      <c r="C559" s="12"/>
      <c r="D559" s="12"/>
      <c r="E559" s="12"/>
      <c r="F559" s="12"/>
      <c r="G559" s="12"/>
      <c r="H559" s="12"/>
      <c r="I559" s="13"/>
      <c r="J559" s="12"/>
    </row>
    <row r="560" spans="1:10">
      <c r="A560" s="12" t="str">
        <f>IF(B560="","",COUNTA($B$4:B560))</f>
        <v/>
      </c>
      <c r="B560" s="12"/>
      <c r="C560" s="12"/>
      <c r="D560" s="12"/>
      <c r="E560" s="12"/>
      <c r="F560" s="12"/>
      <c r="G560" s="12"/>
      <c r="H560" s="12"/>
      <c r="I560" s="13"/>
      <c r="J560" s="12"/>
    </row>
    <row r="561" spans="1:10">
      <c r="A561" s="12" t="str">
        <f>IF(B561="","",COUNTA($B$4:B561))</f>
        <v/>
      </c>
      <c r="B561" s="12"/>
      <c r="C561" s="12"/>
      <c r="D561" s="12"/>
      <c r="E561" s="12"/>
      <c r="F561" s="12"/>
      <c r="G561" s="12"/>
      <c r="H561" s="12"/>
      <c r="I561" s="13"/>
      <c r="J561" s="12"/>
    </row>
    <row r="562" spans="1:10">
      <c r="A562" s="12" t="str">
        <f>IF(B562="","",COUNTA($B$4:B562))</f>
        <v/>
      </c>
      <c r="B562" s="12"/>
      <c r="C562" s="12"/>
      <c r="D562" s="12"/>
      <c r="E562" s="12"/>
      <c r="F562" s="12"/>
      <c r="G562" s="12"/>
      <c r="H562" s="12"/>
      <c r="I562" s="13"/>
      <c r="J562" s="12"/>
    </row>
    <row r="563" spans="1:10">
      <c r="A563" s="12" t="str">
        <f>IF(B563="","",COUNTA($B$4:B563))</f>
        <v/>
      </c>
      <c r="B563" s="12"/>
      <c r="C563" s="12"/>
      <c r="D563" s="12"/>
      <c r="E563" s="12"/>
      <c r="F563" s="12"/>
      <c r="G563" s="12"/>
      <c r="H563" s="12"/>
      <c r="I563" s="13"/>
      <c r="J563" s="12"/>
    </row>
    <row r="564" spans="1:10">
      <c r="A564" s="12" t="str">
        <f>IF(B564="","",COUNTA($B$4:B564))</f>
        <v/>
      </c>
      <c r="B564" s="12"/>
      <c r="C564" s="12"/>
      <c r="D564" s="12"/>
      <c r="E564" s="12"/>
      <c r="F564" s="12"/>
      <c r="G564" s="12"/>
      <c r="H564" s="12"/>
      <c r="I564" s="13"/>
      <c r="J564" s="12"/>
    </row>
    <row r="565" spans="1:10">
      <c r="A565" s="12" t="str">
        <f>IF(B565="","",COUNTA($B$4:B565))</f>
        <v/>
      </c>
      <c r="B565" s="12"/>
      <c r="C565" s="12"/>
      <c r="D565" s="12"/>
      <c r="E565" s="12"/>
      <c r="F565" s="12"/>
      <c r="G565" s="12"/>
      <c r="H565" s="12"/>
      <c r="I565" s="13"/>
      <c r="J565" s="12"/>
    </row>
    <row r="566" spans="1:10">
      <c r="A566" s="12" t="str">
        <f>IF(B566="","",COUNTA($B$4:B566))</f>
        <v/>
      </c>
      <c r="B566" s="12"/>
      <c r="C566" s="12"/>
      <c r="D566" s="12"/>
      <c r="E566" s="12"/>
      <c r="F566" s="12"/>
      <c r="G566" s="12"/>
      <c r="H566" s="12"/>
      <c r="I566" s="13"/>
      <c r="J566" s="12"/>
    </row>
    <row r="567" spans="1:10">
      <c r="A567" s="12" t="str">
        <f>IF(B567="","",COUNTA($B$4:B567))</f>
        <v/>
      </c>
      <c r="B567" s="12"/>
      <c r="C567" s="12"/>
      <c r="D567" s="12"/>
      <c r="E567" s="12"/>
      <c r="F567" s="12"/>
      <c r="G567" s="12"/>
      <c r="H567" s="12"/>
      <c r="I567" s="13"/>
      <c r="J567" s="12"/>
    </row>
    <row r="568" spans="1:10">
      <c r="A568" s="12" t="str">
        <f>IF(B568="","",COUNTA($B$4:B568))</f>
        <v/>
      </c>
      <c r="B568" s="12"/>
      <c r="C568" s="12"/>
      <c r="D568" s="12"/>
      <c r="E568" s="12"/>
      <c r="F568" s="12"/>
      <c r="G568" s="12"/>
      <c r="H568" s="12"/>
      <c r="I568" s="13"/>
      <c r="J568" s="12"/>
    </row>
    <row r="569" spans="1:10">
      <c r="A569" s="12" t="str">
        <f>IF(B569="","",COUNTA($B$4:B569))</f>
        <v/>
      </c>
      <c r="B569" s="12"/>
      <c r="C569" s="12"/>
      <c r="D569" s="12"/>
      <c r="E569" s="12"/>
      <c r="F569" s="12"/>
      <c r="G569" s="12"/>
      <c r="H569" s="12"/>
      <c r="I569" s="13"/>
      <c r="J569" s="12"/>
    </row>
    <row r="570" spans="1:10">
      <c r="A570" s="12" t="str">
        <f>IF(B570="","",COUNTA($B$4:B570))</f>
        <v/>
      </c>
      <c r="B570" s="12"/>
      <c r="C570" s="12"/>
      <c r="D570" s="12"/>
      <c r="E570" s="12"/>
      <c r="F570" s="12"/>
      <c r="G570" s="12"/>
      <c r="H570" s="12"/>
      <c r="I570" s="13"/>
      <c r="J570" s="12"/>
    </row>
    <row r="571" spans="1:10">
      <c r="A571" s="12" t="str">
        <f>IF(B571="","",COUNTA($B$4:B571))</f>
        <v/>
      </c>
      <c r="B571" s="12"/>
      <c r="C571" s="12"/>
      <c r="D571" s="12"/>
      <c r="E571" s="12"/>
      <c r="F571" s="12"/>
      <c r="G571" s="12"/>
      <c r="H571" s="12"/>
      <c r="I571" s="13"/>
      <c r="J571" s="12"/>
    </row>
    <row r="572" spans="1:10">
      <c r="A572" s="12" t="str">
        <f>IF(B572="","",COUNTA($B$4:B572))</f>
        <v/>
      </c>
      <c r="B572" s="12"/>
      <c r="C572" s="12"/>
      <c r="D572" s="12"/>
      <c r="E572" s="12"/>
      <c r="F572" s="12"/>
      <c r="G572" s="12"/>
      <c r="H572" s="12"/>
      <c r="I572" s="13"/>
      <c r="J572" s="12"/>
    </row>
    <row r="573" spans="1:10">
      <c r="A573" s="12" t="str">
        <f>IF(B573="","",COUNTA($B$4:B573))</f>
        <v/>
      </c>
      <c r="B573" s="12"/>
      <c r="C573" s="12"/>
      <c r="D573" s="12"/>
      <c r="E573" s="12"/>
      <c r="F573" s="12"/>
      <c r="G573" s="12"/>
      <c r="H573" s="12"/>
      <c r="I573" s="13"/>
      <c r="J573" s="12"/>
    </row>
    <row r="574" spans="1:10">
      <c r="A574" s="12" t="str">
        <f>IF(B574="","",COUNTA($B$4:B574))</f>
        <v/>
      </c>
      <c r="B574" s="12"/>
      <c r="C574" s="12"/>
      <c r="D574" s="12"/>
      <c r="E574" s="12"/>
      <c r="F574" s="12"/>
      <c r="G574" s="12"/>
      <c r="H574" s="12"/>
      <c r="I574" s="13"/>
      <c r="J574" s="12"/>
    </row>
    <row r="575" spans="1:10">
      <c r="A575" s="12" t="str">
        <f>IF(B575="","",COUNTA($B$4:B575))</f>
        <v/>
      </c>
      <c r="B575" s="12"/>
      <c r="C575" s="12"/>
      <c r="D575" s="12"/>
      <c r="E575" s="12"/>
      <c r="F575" s="12"/>
      <c r="G575" s="12"/>
      <c r="H575" s="12"/>
      <c r="I575" s="13"/>
      <c r="J575" s="12"/>
    </row>
    <row r="576" spans="1:10">
      <c r="A576" s="12" t="str">
        <f>IF(B576="","",COUNTA($B$4:B576))</f>
        <v/>
      </c>
      <c r="B576" s="12"/>
      <c r="C576" s="12"/>
      <c r="D576" s="12"/>
      <c r="E576" s="12"/>
      <c r="F576" s="12"/>
      <c r="G576" s="12"/>
      <c r="H576" s="12"/>
      <c r="I576" s="13"/>
      <c r="J576" s="12"/>
    </row>
    <row r="577" spans="1:10">
      <c r="A577" s="12" t="str">
        <f>IF(B577="","",COUNTA($B$4:B577))</f>
        <v/>
      </c>
      <c r="B577" s="12"/>
      <c r="C577" s="12"/>
      <c r="D577" s="12"/>
      <c r="E577" s="12"/>
      <c r="F577" s="12"/>
      <c r="G577" s="12"/>
      <c r="H577" s="12"/>
      <c r="I577" s="13"/>
      <c r="J577" s="12"/>
    </row>
    <row r="578" spans="1:10">
      <c r="A578" s="12" t="str">
        <f>IF(B578="","",COUNTA($B$4:B578))</f>
        <v/>
      </c>
      <c r="B578" s="12"/>
      <c r="C578" s="12"/>
      <c r="D578" s="12"/>
      <c r="E578" s="12"/>
      <c r="F578" s="12"/>
      <c r="G578" s="12"/>
      <c r="H578" s="12"/>
      <c r="I578" s="13"/>
      <c r="J578" s="12"/>
    </row>
    <row r="579" spans="1:10">
      <c r="A579" s="12" t="str">
        <f>IF(B579="","",COUNTA($B$4:B579))</f>
        <v/>
      </c>
      <c r="B579" s="12"/>
      <c r="C579" s="12"/>
      <c r="D579" s="12"/>
      <c r="E579" s="12"/>
      <c r="F579" s="12"/>
      <c r="G579" s="12"/>
      <c r="H579" s="12"/>
      <c r="I579" s="13"/>
      <c r="J579" s="12"/>
    </row>
    <row r="580" spans="1:10">
      <c r="A580" s="12" t="str">
        <f>IF(B580="","",COUNTA($B$4:B580))</f>
        <v/>
      </c>
      <c r="B580" s="12"/>
      <c r="C580" s="12"/>
      <c r="D580" s="12"/>
      <c r="E580" s="12"/>
      <c r="F580" s="12"/>
      <c r="G580" s="12"/>
      <c r="H580" s="12"/>
      <c r="I580" s="13"/>
      <c r="J580" s="12"/>
    </row>
    <row r="581" spans="1:10">
      <c r="A581" s="12" t="str">
        <f>IF(B581="","",COUNTA($B$4:B581))</f>
        <v/>
      </c>
      <c r="B581" s="12"/>
      <c r="C581" s="12"/>
      <c r="D581" s="12"/>
      <c r="E581" s="12"/>
      <c r="F581" s="12"/>
      <c r="G581" s="12"/>
      <c r="H581" s="12"/>
      <c r="I581" s="13"/>
      <c r="J581" s="12"/>
    </row>
    <row r="582" spans="1:10">
      <c r="A582" s="12" t="str">
        <f>IF(B582="","",COUNTA($B$4:B582))</f>
        <v/>
      </c>
      <c r="B582" s="12"/>
      <c r="C582" s="12"/>
      <c r="D582" s="12"/>
      <c r="E582" s="12"/>
      <c r="F582" s="12"/>
      <c r="G582" s="12"/>
      <c r="H582" s="12"/>
      <c r="I582" s="13"/>
      <c r="J582" s="12"/>
    </row>
    <row r="583" spans="1:10">
      <c r="A583" s="12" t="str">
        <f>IF(B583="","",COUNTA($B$4:B583))</f>
        <v/>
      </c>
      <c r="B583" s="12"/>
      <c r="C583" s="12"/>
      <c r="D583" s="12"/>
      <c r="E583" s="12"/>
      <c r="F583" s="12"/>
      <c r="G583" s="12"/>
      <c r="H583" s="12"/>
      <c r="I583" s="13"/>
      <c r="J583" s="12"/>
    </row>
    <row r="584" spans="1:10">
      <c r="A584" s="12" t="str">
        <f>IF(B584="","",COUNTA($B$4:B584))</f>
        <v/>
      </c>
      <c r="B584" s="12"/>
      <c r="C584" s="12"/>
      <c r="D584" s="12"/>
      <c r="E584" s="12"/>
      <c r="F584" s="12"/>
      <c r="G584" s="12"/>
      <c r="H584" s="12"/>
      <c r="I584" s="13"/>
      <c r="J584" s="12"/>
    </row>
    <row r="585" spans="1:10">
      <c r="A585" s="12" t="str">
        <f>IF(B585="","",COUNTA($B$4:B585))</f>
        <v/>
      </c>
      <c r="B585" s="12"/>
      <c r="C585" s="12"/>
      <c r="D585" s="12"/>
      <c r="E585" s="12"/>
      <c r="F585" s="12"/>
      <c r="G585" s="12"/>
      <c r="H585" s="12"/>
      <c r="I585" s="13"/>
      <c r="J585" s="12"/>
    </row>
    <row r="586" spans="1:10">
      <c r="A586" s="12" t="str">
        <f>IF(B586="","",COUNTA($B$4:B586))</f>
        <v/>
      </c>
      <c r="B586" s="12"/>
      <c r="C586" s="12"/>
      <c r="D586" s="12"/>
      <c r="E586" s="12"/>
      <c r="F586" s="12"/>
      <c r="G586" s="12"/>
      <c r="H586" s="12"/>
      <c r="I586" s="13"/>
      <c r="J586" s="12"/>
    </row>
    <row r="587" spans="1:10">
      <c r="A587" s="12" t="str">
        <f>IF(B587="","",COUNTA($B$4:B587))</f>
        <v/>
      </c>
      <c r="B587" s="12"/>
      <c r="C587" s="12"/>
      <c r="D587" s="12"/>
      <c r="E587" s="12"/>
      <c r="F587" s="12"/>
      <c r="G587" s="12"/>
      <c r="H587" s="12"/>
      <c r="I587" s="13"/>
      <c r="J587" s="12"/>
    </row>
    <row r="588" spans="1:10">
      <c r="A588" s="12" t="str">
        <f>IF(B588="","",COUNTA($B$4:B588))</f>
        <v/>
      </c>
      <c r="B588" s="12"/>
      <c r="C588" s="12"/>
      <c r="D588" s="12"/>
      <c r="E588" s="12"/>
      <c r="F588" s="12"/>
      <c r="G588" s="12"/>
      <c r="H588" s="12"/>
      <c r="I588" s="13"/>
      <c r="J588" s="12"/>
    </row>
    <row r="589" spans="1:10">
      <c r="A589" s="12" t="str">
        <f>IF(B589="","",COUNTA($B$4:B589))</f>
        <v/>
      </c>
      <c r="B589" s="12"/>
      <c r="C589" s="12"/>
      <c r="D589" s="12"/>
      <c r="E589" s="12"/>
      <c r="F589" s="12"/>
      <c r="G589" s="12"/>
      <c r="H589" s="12"/>
      <c r="I589" s="13"/>
      <c r="J589" s="12"/>
    </row>
    <row r="590" spans="1:10">
      <c r="A590" s="12" t="str">
        <f>IF(B590="","",COUNTA($B$4:B590))</f>
        <v/>
      </c>
      <c r="B590" s="12"/>
      <c r="C590" s="12"/>
      <c r="D590" s="12"/>
      <c r="E590" s="12"/>
      <c r="F590" s="12"/>
      <c r="G590" s="12"/>
      <c r="H590" s="12"/>
      <c r="I590" s="13"/>
      <c r="J590" s="12"/>
    </row>
    <row r="591" spans="1:10">
      <c r="A591" s="12" t="str">
        <f>IF(B591="","",COUNTA($B$4:B591))</f>
        <v/>
      </c>
      <c r="B591" s="12"/>
      <c r="C591" s="12"/>
      <c r="D591" s="12"/>
      <c r="E591" s="12"/>
      <c r="F591" s="12"/>
      <c r="G591" s="12"/>
      <c r="H591" s="12"/>
      <c r="I591" s="13"/>
      <c r="J591" s="12"/>
    </row>
    <row r="592" spans="1:10">
      <c r="A592" s="12" t="str">
        <f>IF(B592="","",COUNTA($B$4:B592))</f>
        <v/>
      </c>
      <c r="B592" s="12"/>
      <c r="C592" s="12"/>
      <c r="D592" s="12"/>
      <c r="E592" s="12"/>
      <c r="F592" s="12"/>
      <c r="G592" s="12"/>
      <c r="H592" s="12"/>
      <c r="I592" s="13"/>
      <c r="J592" s="12"/>
    </row>
    <row r="593" spans="1:10">
      <c r="A593" s="12" t="str">
        <f>IF(B593="","",COUNTA($B$4:B593))</f>
        <v/>
      </c>
      <c r="B593" s="12"/>
      <c r="C593" s="12"/>
      <c r="D593" s="12"/>
      <c r="E593" s="12"/>
      <c r="F593" s="12"/>
      <c r="G593" s="12"/>
      <c r="H593" s="12"/>
      <c r="I593" s="13"/>
      <c r="J593" s="12"/>
    </row>
    <row r="594" spans="1:10">
      <c r="A594" s="12" t="str">
        <f>IF(B594="","",COUNTA($B$4:B594))</f>
        <v/>
      </c>
      <c r="B594" s="12"/>
      <c r="C594" s="12"/>
      <c r="D594" s="12"/>
      <c r="E594" s="12"/>
      <c r="F594" s="12"/>
      <c r="G594" s="12"/>
      <c r="H594" s="12"/>
      <c r="I594" s="13"/>
      <c r="J594" s="12"/>
    </row>
    <row r="595" spans="1:10">
      <c r="A595" s="12" t="str">
        <f>IF(B595="","",COUNTA($B$4:B595))</f>
        <v/>
      </c>
      <c r="B595" s="12"/>
      <c r="C595" s="12"/>
      <c r="D595" s="12"/>
      <c r="E595" s="12"/>
      <c r="F595" s="12"/>
      <c r="G595" s="12"/>
      <c r="H595" s="12"/>
      <c r="I595" s="13"/>
      <c r="J595" s="12"/>
    </row>
    <row r="596" spans="1:10">
      <c r="A596" s="12" t="str">
        <f>IF(B596="","",COUNTA($B$4:B596))</f>
        <v/>
      </c>
      <c r="B596" s="12"/>
      <c r="C596" s="12"/>
      <c r="D596" s="12"/>
      <c r="E596" s="12"/>
      <c r="F596" s="12"/>
      <c r="G596" s="12"/>
      <c r="H596" s="12"/>
      <c r="I596" s="13"/>
      <c r="J596" s="12"/>
    </row>
    <row r="597" spans="1:10">
      <c r="A597" s="12" t="str">
        <f>IF(B597="","",COUNTA($B$4:B597))</f>
        <v/>
      </c>
      <c r="B597" s="12"/>
      <c r="C597" s="12"/>
      <c r="D597" s="12"/>
      <c r="E597" s="12"/>
      <c r="F597" s="12"/>
      <c r="G597" s="12"/>
      <c r="H597" s="12"/>
      <c r="I597" s="13"/>
      <c r="J597" s="12"/>
    </row>
    <row r="598" spans="1:10">
      <c r="A598" s="12" t="str">
        <f>IF(B598="","",COUNTA($B$4:B598))</f>
        <v/>
      </c>
      <c r="B598" s="12"/>
      <c r="C598" s="12"/>
      <c r="D598" s="12"/>
      <c r="E598" s="12"/>
      <c r="F598" s="12"/>
      <c r="G598" s="12"/>
      <c r="H598" s="12"/>
      <c r="I598" s="13"/>
      <c r="J598" s="12"/>
    </row>
    <row r="599" spans="1:10">
      <c r="A599" s="12" t="str">
        <f>IF(B599="","",COUNTA($B$4:B599))</f>
        <v/>
      </c>
      <c r="B599" s="12"/>
      <c r="C599" s="12"/>
      <c r="D599" s="12"/>
      <c r="E599" s="12"/>
      <c r="F599" s="12"/>
      <c r="G599" s="12"/>
      <c r="H599" s="12"/>
      <c r="I599" s="13"/>
      <c r="J599" s="12"/>
    </row>
    <row r="600" spans="1:10">
      <c r="A600" s="12" t="str">
        <f>IF(B600="","",COUNTA($B$4:B600))</f>
        <v/>
      </c>
      <c r="B600" s="12"/>
      <c r="C600" s="12"/>
      <c r="D600" s="12"/>
      <c r="E600" s="12"/>
      <c r="F600" s="12"/>
      <c r="G600" s="12"/>
      <c r="H600" s="12"/>
      <c r="I600" s="13"/>
      <c r="J600" s="12"/>
    </row>
    <row r="601" spans="1:10">
      <c r="A601" s="12" t="str">
        <f>IF(B601="","",COUNTA($B$4:B601))</f>
        <v/>
      </c>
      <c r="B601" s="12"/>
      <c r="C601" s="12"/>
      <c r="D601" s="12"/>
      <c r="E601" s="12"/>
      <c r="F601" s="12"/>
      <c r="G601" s="12"/>
      <c r="H601" s="12"/>
      <c r="I601" s="13"/>
      <c r="J601" s="12"/>
    </row>
    <row r="602" spans="1:10">
      <c r="A602" s="12" t="str">
        <f>IF(B602="","",COUNTA($B$4:B602))</f>
        <v/>
      </c>
      <c r="B602" s="12"/>
      <c r="C602" s="12"/>
      <c r="D602" s="12"/>
      <c r="E602" s="12"/>
      <c r="F602" s="12"/>
      <c r="G602" s="12"/>
      <c r="H602" s="12"/>
      <c r="I602" s="13"/>
      <c r="J602" s="12"/>
    </row>
    <row r="603" spans="1:10">
      <c r="A603" s="12" t="str">
        <f>IF(B603="","",COUNTA($B$4:B603))</f>
        <v/>
      </c>
      <c r="B603" s="12"/>
      <c r="C603" s="12"/>
      <c r="D603" s="12"/>
      <c r="E603" s="12"/>
      <c r="F603" s="12"/>
      <c r="G603" s="12"/>
      <c r="H603" s="12"/>
      <c r="I603" s="13"/>
      <c r="J603" s="12"/>
    </row>
    <row r="604" spans="1:10">
      <c r="A604" s="12" t="str">
        <f>IF(B604="","",COUNTA($B$4:B604))</f>
        <v/>
      </c>
      <c r="B604" s="12"/>
      <c r="C604" s="12"/>
      <c r="D604" s="12"/>
      <c r="E604" s="12"/>
      <c r="F604" s="12"/>
      <c r="G604" s="12"/>
      <c r="H604" s="12"/>
      <c r="I604" s="13"/>
      <c r="J604" s="12"/>
    </row>
    <row r="605" spans="1:10">
      <c r="A605" s="12" t="str">
        <f>IF(B605="","",COUNTA($B$4:B605))</f>
        <v/>
      </c>
      <c r="B605" s="12"/>
      <c r="C605" s="12"/>
      <c r="D605" s="12"/>
      <c r="E605" s="12"/>
      <c r="F605" s="12"/>
      <c r="G605" s="12"/>
      <c r="H605" s="12"/>
      <c r="I605" s="13"/>
      <c r="J605" s="12"/>
    </row>
    <row r="606" spans="1:10">
      <c r="A606" s="12" t="str">
        <f>IF(B606="","",COUNTA($B$4:B606))</f>
        <v/>
      </c>
      <c r="B606" s="12"/>
      <c r="C606" s="12"/>
      <c r="D606" s="12"/>
      <c r="E606" s="12"/>
      <c r="F606" s="12"/>
      <c r="G606" s="12"/>
      <c r="H606" s="12"/>
      <c r="I606" s="13"/>
      <c r="J606" s="12"/>
    </row>
    <row r="607" spans="1:10">
      <c r="A607" s="12" t="str">
        <f>IF(B607="","",COUNTA($B$4:B607))</f>
        <v/>
      </c>
      <c r="B607" s="12"/>
      <c r="C607" s="12"/>
      <c r="D607" s="12"/>
      <c r="E607" s="12"/>
      <c r="F607" s="12"/>
      <c r="G607" s="12"/>
      <c r="H607" s="12"/>
      <c r="I607" s="13"/>
      <c r="J607" s="12"/>
    </row>
    <row r="608" spans="1:10">
      <c r="A608" s="12" t="str">
        <f>IF(B608="","",COUNTA($B$4:B608))</f>
        <v/>
      </c>
      <c r="B608" s="12"/>
      <c r="C608" s="12"/>
      <c r="D608" s="12"/>
      <c r="E608" s="12"/>
      <c r="F608" s="12"/>
      <c r="G608" s="12"/>
      <c r="H608" s="12"/>
      <c r="I608" s="13"/>
      <c r="J608" s="12"/>
    </row>
    <row r="609" spans="1:10">
      <c r="A609" s="12" t="str">
        <f>IF(B609="","",COUNTA($B$4:B609))</f>
        <v/>
      </c>
      <c r="B609" s="12"/>
      <c r="C609" s="12"/>
      <c r="D609" s="12"/>
      <c r="E609" s="12"/>
      <c r="F609" s="12"/>
      <c r="G609" s="12"/>
      <c r="H609" s="12"/>
      <c r="I609" s="13"/>
      <c r="J609" s="12"/>
    </row>
    <row r="610" spans="1:10">
      <c r="A610" s="12" t="str">
        <f>IF(B610="","",COUNTA($B$4:B610))</f>
        <v/>
      </c>
      <c r="B610" s="12"/>
      <c r="C610" s="12"/>
      <c r="D610" s="12"/>
      <c r="E610" s="12"/>
      <c r="F610" s="12"/>
      <c r="G610" s="12"/>
      <c r="H610" s="12"/>
      <c r="I610" s="13"/>
      <c r="J610" s="12"/>
    </row>
    <row r="611" spans="1:10">
      <c r="A611" s="12" t="str">
        <f>IF(B611="","",COUNTA($B$4:B611))</f>
        <v/>
      </c>
      <c r="B611" s="12"/>
      <c r="C611" s="12"/>
      <c r="D611" s="12"/>
      <c r="E611" s="12"/>
      <c r="F611" s="12"/>
      <c r="G611" s="12"/>
      <c r="H611" s="12"/>
      <c r="I611" s="13"/>
      <c r="J611" s="12"/>
    </row>
    <row r="612" spans="1:10">
      <c r="A612" s="12" t="str">
        <f>IF(B612="","",COUNTA($B$4:B612))</f>
        <v/>
      </c>
      <c r="B612" s="12"/>
      <c r="C612" s="12"/>
      <c r="D612" s="12"/>
      <c r="E612" s="12"/>
      <c r="F612" s="12"/>
      <c r="G612" s="12"/>
      <c r="H612" s="12"/>
      <c r="I612" s="13"/>
      <c r="J612" s="12"/>
    </row>
    <row r="613" spans="1:10">
      <c r="A613" s="12" t="str">
        <f>IF(B613="","",COUNTA($B$4:B613))</f>
        <v/>
      </c>
      <c r="B613" s="12"/>
      <c r="C613" s="12"/>
      <c r="D613" s="12"/>
      <c r="E613" s="12"/>
      <c r="F613" s="12"/>
      <c r="G613" s="12"/>
      <c r="H613" s="12"/>
      <c r="I613" s="13"/>
      <c r="J613" s="12"/>
    </row>
    <row r="614" spans="1:10">
      <c r="A614" s="12" t="str">
        <f>IF(B614="","",COUNTA($B$4:B614))</f>
        <v/>
      </c>
      <c r="B614" s="12"/>
      <c r="C614" s="12"/>
      <c r="D614" s="12"/>
      <c r="E614" s="12"/>
      <c r="F614" s="12"/>
      <c r="G614" s="12"/>
      <c r="H614" s="12"/>
      <c r="I614" s="13"/>
      <c r="J614" s="12"/>
    </row>
    <row r="615" spans="1:10">
      <c r="A615" s="12" t="str">
        <f>IF(B615="","",COUNTA($B$4:B615))</f>
        <v/>
      </c>
      <c r="B615" s="12"/>
      <c r="C615" s="12"/>
      <c r="D615" s="12"/>
      <c r="E615" s="12"/>
      <c r="F615" s="12"/>
      <c r="G615" s="12"/>
      <c r="H615" s="12"/>
      <c r="I615" s="13"/>
      <c r="J615" s="12"/>
    </row>
    <row r="616" spans="1:10">
      <c r="A616" s="12" t="str">
        <f>IF(B616="","",COUNTA($B$4:B616))</f>
        <v/>
      </c>
      <c r="B616" s="12"/>
      <c r="C616" s="12"/>
      <c r="D616" s="12"/>
      <c r="E616" s="12"/>
      <c r="F616" s="12"/>
      <c r="G616" s="12"/>
      <c r="H616" s="12"/>
      <c r="I616" s="13"/>
      <c r="J616" s="12"/>
    </row>
    <row r="617" spans="1:10">
      <c r="A617" s="12" t="str">
        <f>IF(B617="","",COUNTA($B$4:B617))</f>
        <v/>
      </c>
      <c r="B617" s="12"/>
      <c r="C617" s="12"/>
      <c r="D617" s="12"/>
      <c r="E617" s="12"/>
      <c r="F617" s="12"/>
      <c r="G617" s="12"/>
      <c r="H617" s="12"/>
      <c r="I617" s="13"/>
      <c r="J617" s="12"/>
    </row>
    <row r="618" spans="1:10">
      <c r="A618" s="12" t="str">
        <f>IF(B618="","",COUNTA($B$4:B618))</f>
        <v/>
      </c>
      <c r="B618" s="12"/>
      <c r="C618" s="12"/>
      <c r="D618" s="12"/>
      <c r="E618" s="12"/>
      <c r="F618" s="12"/>
      <c r="G618" s="12"/>
      <c r="H618" s="12"/>
      <c r="I618" s="13"/>
      <c r="J618" s="12"/>
    </row>
    <row r="619" spans="1:10">
      <c r="A619" s="12" t="str">
        <f>IF(B619="","",COUNTA($B$4:B619))</f>
        <v/>
      </c>
      <c r="B619" s="12"/>
      <c r="C619" s="12"/>
      <c r="D619" s="12"/>
      <c r="E619" s="12"/>
      <c r="F619" s="12"/>
      <c r="G619" s="12"/>
      <c r="H619" s="12"/>
      <c r="I619" s="13"/>
      <c r="J619" s="12"/>
    </row>
    <row r="620" spans="1:10">
      <c r="A620" s="12" t="str">
        <f>IF(B620="","",COUNTA($B$4:B620))</f>
        <v/>
      </c>
      <c r="B620" s="12"/>
      <c r="C620" s="12"/>
      <c r="D620" s="12"/>
      <c r="E620" s="12"/>
      <c r="F620" s="12"/>
      <c r="G620" s="12"/>
      <c r="H620" s="12"/>
      <c r="I620" s="13"/>
      <c r="J620" s="12"/>
    </row>
    <row r="621" spans="1:10">
      <c r="A621" s="12" t="str">
        <f>IF(B621="","",COUNTA($B$4:B621))</f>
        <v/>
      </c>
      <c r="B621" s="12"/>
      <c r="C621" s="12"/>
      <c r="D621" s="12"/>
      <c r="E621" s="12"/>
      <c r="F621" s="12"/>
      <c r="G621" s="12"/>
      <c r="H621" s="12"/>
      <c r="I621" s="13"/>
      <c r="J621" s="12"/>
    </row>
    <row r="622" spans="1:10">
      <c r="A622" s="12" t="str">
        <f>IF(B622="","",COUNTA($B$4:B622))</f>
        <v/>
      </c>
      <c r="B622" s="12"/>
      <c r="C622" s="12"/>
      <c r="D622" s="12"/>
      <c r="E622" s="12"/>
      <c r="F622" s="12"/>
      <c r="G622" s="12"/>
      <c r="H622" s="12"/>
      <c r="I622" s="13"/>
      <c r="J622" s="12"/>
    </row>
    <row r="623" spans="1:10">
      <c r="A623" s="12" t="str">
        <f>IF(B623="","",COUNTA($B$4:B623))</f>
        <v/>
      </c>
      <c r="B623" s="12"/>
      <c r="C623" s="12"/>
      <c r="D623" s="12"/>
      <c r="E623" s="12"/>
      <c r="F623" s="12"/>
      <c r="G623" s="12"/>
      <c r="H623" s="12"/>
      <c r="I623" s="13"/>
      <c r="J623" s="12"/>
    </row>
    <row r="624" spans="1:10">
      <c r="A624" s="12" t="str">
        <f>IF(B624="","",COUNTA($B$4:B624))</f>
        <v/>
      </c>
      <c r="B624" s="12"/>
      <c r="C624" s="12"/>
      <c r="D624" s="12"/>
      <c r="E624" s="12"/>
      <c r="F624" s="12"/>
      <c r="G624" s="12"/>
      <c r="H624" s="12"/>
      <c r="I624" s="13"/>
      <c r="J624" s="12"/>
    </row>
    <row r="625" spans="1:10">
      <c r="A625" s="12" t="str">
        <f>IF(B625="","",COUNTA($B$4:B625))</f>
        <v/>
      </c>
      <c r="B625" s="12"/>
      <c r="C625" s="12"/>
      <c r="D625" s="12"/>
      <c r="E625" s="12"/>
      <c r="F625" s="12"/>
      <c r="G625" s="12"/>
      <c r="H625" s="12"/>
      <c r="I625" s="13"/>
      <c r="J625" s="12"/>
    </row>
    <row r="626" spans="1:10">
      <c r="A626" s="12" t="str">
        <f>IF(B626="","",COUNTA($B$4:B626))</f>
        <v/>
      </c>
      <c r="B626" s="12"/>
      <c r="C626" s="12"/>
      <c r="D626" s="12"/>
      <c r="E626" s="12"/>
      <c r="F626" s="12"/>
      <c r="G626" s="12"/>
      <c r="H626" s="12"/>
      <c r="I626" s="13"/>
      <c r="J626" s="12"/>
    </row>
    <row r="627" spans="1:10">
      <c r="A627" s="12" t="str">
        <f>IF(B627="","",COUNTA($B$4:B627))</f>
        <v/>
      </c>
      <c r="B627" s="12"/>
      <c r="C627" s="12"/>
      <c r="D627" s="12"/>
      <c r="E627" s="12"/>
      <c r="F627" s="12"/>
      <c r="G627" s="12"/>
      <c r="H627" s="12"/>
      <c r="I627" s="13"/>
      <c r="J627" s="12"/>
    </row>
    <row r="628" spans="1:10">
      <c r="A628" s="12" t="str">
        <f>IF(B628="","",COUNTA($B$4:B628))</f>
        <v/>
      </c>
      <c r="B628" s="12"/>
      <c r="C628" s="12"/>
      <c r="D628" s="12"/>
      <c r="E628" s="12"/>
      <c r="F628" s="12"/>
      <c r="G628" s="12"/>
      <c r="H628" s="12"/>
      <c r="I628" s="13"/>
      <c r="J628" s="12"/>
    </row>
    <row r="629" spans="1:10">
      <c r="A629" s="12" t="str">
        <f>IF(B629="","",COUNTA($B$4:B629))</f>
        <v/>
      </c>
      <c r="B629" s="12"/>
      <c r="C629" s="12"/>
      <c r="D629" s="12"/>
      <c r="E629" s="12"/>
      <c r="F629" s="12"/>
      <c r="G629" s="12"/>
      <c r="H629" s="12"/>
      <c r="I629" s="13"/>
      <c r="J629" s="12"/>
    </row>
    <row r="630" spans="1:10">
      <c r="A630" s="12" t="str">
        <f>IF(B630="","",COUNTA($B$4:B630))</f>
        <v/>
      </c>
      <c r="B630" s="12"/>
      <c r="C630" s="12"/>
      <c r="D630" s="12"/>
      <c r="E630" s="12"/>
      <c r="F630" s="12"/>
      <c r="G630" s="12"/>
      <c r="H630" s="12"/>
      <c r="I630" s="13"/>
      <c r="J630" s="12"/>
    </row>
    <row r="631" spans="1:10">
      <c r="A631" s="12" t="str">
        <f>IF(B631="","",COUNTA($B$4:B631))</f>
        <v/>
      </c>
      <c r="B631" s="12"/>
      <c r="C631" s="12"/>
      <c r="D631" s="12"/>
      <c r="E631" s="12"/>
      <c r="F631" s="12"/>
      <c r="G631" s="12"/>
      <c r="H631" s="12"/>
      <c r="I631" s="13"/>
      <c r="J631" s="12"/>
    </row>
    <row r="632" spans="1:10">
      <c r="A632" s="12" t="str">
        <f>IF(B632="","",COUNTA($B$4:B632))</f>
        <v/>
      </c>
      <c r="B632" s="12"/>
      <c r="C632" s="12"/>
      <c r="D632" s="12"/>
      <c r="E632" s="12"/>
      <c r="F632" s="12"/>
      <c r="G632" s="12"/>
      <c r="H632" s="12"/>
      <c r="I632" s="13"/>
      <c r="J632" s="12"/>
    </row>
    <row r="633" spans="1:10">
      <c r="A633" s="12" t="str">
        <f>IF(B633="","",COUNTA($B$4:B633))</f>
        <v/>
      </c>
      <c r="B633" s="12"/>
      <c r="C633" s="12"/>
      <c r="D633" s="12"/>
      <c r="E633" s="12"/>
      <c r="F633" s="12"/>
      <c r="G633" s="12"/>
      <c r="H633" s="12"/>
      <c r="I633" s="13"/>
      <c r="J633" s="12"/>
    </row>
    <row r="634" spans="1:10">
      <c r="A634" s="12" t="str">
        <f>IF(B634="","",COUNTA($B$4:B634))</f>
        <v/>
      </c>
      <c r="B634" s="12"/>
      <c r="C634" s="12"/>
      <c r="D634" s="12"/>
      <c r="E634" s="12"/>
      <c r="F634" s="12"/>
      <c r="G634" s="12"/>
      <c r="H634" s="12"/>
      <c r="I634" s="13"/>
      <c r="J634" s="12"/>
    </row>
    <row r="635" spans="1:10">
      <c r="A635" s="12" t="str">
        <f>IF(B635="","",COUNTA($B$4:B635))</f>
        <v/>
      </c>
      <c r="B635" s="12"/>
      <c r="C635" s="12"/>
      <c r="D635" s="12"/>
      <c r="E635" s="12"/>
      <c r="F635" s="12"/>
      <c r="G635" s="12"/>
      <c r="H635" s="12"/>
      <c r="I635" s="13"/>
      <c r="J635" s="12"/>
    </row>
    <row r="636" spans="1:10">
      <c r="A636" s="12" t="str">
        <f>IF(B636="","",COUNTA($B$4:B636))</f>
        <v/>
      </c>
      <c r="B636" s="12"/>
      <c r="C636" s="12"/>
      <c r="D636" s="12"/>
      <c r="E636" s="12"/>
      <c r="F636" s="12"/>
      <c r="G636" s="12"/>
      <c r="H636" s="12"/>
      <c r="I636" s="13"/>
      <c r="J636" s="12"/>
    </row>
    <row r="637" spans="1:10">
      <c r="A637" s="12" t="str">
        <f>IF(B637="","",COUNTA($B$4:B637))</f>
        <v/>
      </c>
      <c r="B637" s="12"/>
      <c r="C637" s="12"/>
      <c r="D637" s="12"/>
      <c r="E637" s="12"/>
      <c r="F637" s="12"/>
      <c r="G637" s="12"/>
      <c r="H637" s="12"/>
      <c r="I637" s="13"/>
      <c r="J637" s="12"/>
    </row>
    <row r="638" spans="1:10">
      <c r="A638" s="12" t="str">
        <f>IF(B638="","",COUNTA($B$4:B638))</f>
        <v/>
      </c>
      <c r="B638" s="12"/>
      <c r="C638" s="12"/>
      <c r="D638" s="12"/>
      <c r="E638" s="12"/>
      <c r="F638" s="12"/>
      <c r="G638" s="12"/>
      <c r="H638" s="12"/>
      <c r="I638" s="13"/>
      <c r="J638" s="12"/>
    </row>
    <row r="639" spans="1:10">
      <c r="A639" s="12" t="str">
        <f>IF(B639="","",COUNTA($B$4:B639))</f>
        <v/>
      </c>
      <c r="B639" s="12"/>
      <c r="C639" s="12"/>
      <c r="D639" s="12"/>
      <c r="E639" s="12"/>
      <c r="F639" s="12"/>
      <c r="G639" s="12"/>
      <c r="H639" s="12"/>
      <c r="I639" s="13"/>
      <c r="J639" s="12"/>
    </row>
    <row r="640" spans="1:10">
      <c r="A640" s="12" t="str">
        <f>IF(B640="","",COUNTA($B$4:B640))</f>
        <v/>
      </c>
      <c r="B640" s="12"/>
      <c r="C640" s="12"/>
      <c r="D640" s="12"/>
      <c r="E640" s="12"/>
      <c r="F640" s="12"/>
      <c r="G640" s="12"/>
      <c r="H640" s="12"/>
      <c r="I640" s="13"/>
      <c r="J640" s="12"/>
    </row>
    <row r="641" spans="1:10">
      <c r="A641" s="12" t="str">
        <f>IF(B641="","",COUNTA($B$4:B641))</f>
        <v/>
      </c>
      <c r="B641" s="12"/>
      <c r="C641" s="12"/>
      <c r="D641" s="12"/>
      <c r="E641" s="12"/>
      <c r="F641" s="12"/>
      <c r="G641" s="12"/>
      <c r="H641" s="12"/>
      <c r="I641" s="13"/>
      <c r="J641" s="12"/>
    </row>
    <row r="642" spans="1:10">
      <c r="A642" s="12" t="str">
        <f>IF(B642="","",COUNTA($B$4:B642))</f>
        <v/>
      </c>
      <c r="B642" s="12"/>
      <c r="C642" s="12"/>
      <c r="D642" s="12"/>
      <c r="E642" s="12"/>
      <c r="F642" s="12"/>
      <c r="G642" s="12"/>
      <c r="H642" s="12"/>
      <c r="I642" s="13"/>
      <c r="J642" s="12"/>
    </row>
    <row r="643" spans="1:10">
      <c r="A643" s="12" t="str">
        <f>IF(B643="","",COUNTA($B$4:B643))</f>
        <v/>
      </c>
      <c r="B643" s="12"/>
      <c r="C643" s="12"/>
      <c r="D643" s="12"/>
      <c r="E643" s="12"/>
      <c r="F643" s="12"/>
      <c r="G643" s="12"/>
      <c r="H643" s="12"/>
      <c r="I643" s="13"/>
      <c r="J643" s="12"/>
    </row>
    <row r="644" spans="1:10">
      <c r="A644" s="12" t="str">
        <f>IF(B644="","",COUNTA($B$4:B644))</f>
        <v/>
      </c>
      <c r="B644" s="12"/>
      <c r="C644" s="12"/>
      <c r="D644" s="12"/>
      <c r="E644" s="12"/>
      <c r="F644" s="12"/>
      <c r="G644" s="12"/>
      <c r="H644" s="12"/>
      <c r="I644" s="13"/>
      <c r="J644" s="12"/>
    </row>
    <row r="645" spans="1:10">
      <c r="A645" s="12" t="str">
        <f>IF(B645="","",COUNTA($B$4:B645))</f>
        <v/>
      </c>
      <c r="B645" s="12"/>
      <c r="C645" s="12"/>
      <c r="D645" s="12"/>
      <c r="E645" s="12"/>
      <c r="F645" s="12"/>
      <c r="G645" s="12"/>
      <c r="H645" s="12"/>
      <c r="I645" s="13"/>
      <c r="J645" s="12"/>
    </row>
    <row r="646" spans="1:10">
      <c r="A646" s="12" t="str">
        <f>IF(B646="","",COUNTA($B$4:B646))</f>
        <v/>
      </c>
      <c r="B646" s="12"/>
      <c r="C646" s="12"/>
      <c r="D646" s="12"/>
      <c r="E646" s="12"/>
      <c r="F646" s="12"/>
      <c r="G646" s="12"/>
      <c r="H646" s="12"/>
      <c r="I646" s="13"/>
      <c r="J646" s="12"/>
    </row>
    <row r="647" spans="1:10">
      <c r="A647" s="12" t="str">
        <f>IF(B647="","",COUNTA($B$4:B647))</f>
        <v/>
      </c>
      <c r="B647" s="12"/>
      <c r="C647" s="12"/>
      <c r="D647" s="12"/>
      <c r="E647" s="12"/>
      <c r="F647" s="12"/>
      <c r="G647" s="12"/>
      <c r="H647" s="12"/>
      <c r="I647" s="13"/>
      <c r="J647" s="12"/>
    </row>
    <row r="648" spans="1:10">
      <c r="A648" s="12" t="str">
        <f>IF(B648="","",COUNTA($B$4:B648))</f>
        <v/>
      </c>
      <c r="B648" s="12"/>
      <c r="C648" s="12"/>
      <c r="D648" s="12"/>
      <c r="E648" s="12"/>
      <c r="F648" s="12"/>
      <c r="G648" s="12"/>
      <c r="H648" s="12"/>
      <c r="I648" s="13"/>
      <c r="J648" s="12"/>
    </row>
    <row r="649" spans="1:10">
      <c r="A649" s="12" t="str">
        <f>IF(B649="","",COUNTA($B$4:B649))</f>
        <v/>
      </c>
      <c r="B649" s="12"/>
      <c r="C649" s="12"/>
      <c r="D649" s="12"/>
      <c r="E649" s="12"/>
      <c r="F649" s="12"/>
      <c r="G649" s="12"/>
      <c r="H649" s="12"/>
      <c r="I649" s="13"/>
      <c r="J649" s="12"/>
    </row>
    <row r="650" spans="1:10">
      <c r="A650" s="12" t="str">
        <f>IF(B650="","",COUNTA($B$4:B650))</f>
        <v/>
      </c>
      <c r="B650" s="12"/>
      <c r="C650" s="12"/>
      <c r="D650" s="12"/>
      <c r="E650" s="12"/>
      <c r="F650" s="12"/>
      <c r="G650" s="12"/>
      <c r="H650" s="12"/>
      <c r="I650" s="13"/>
      <c r="J650" s="12"/>
    </row>
    <row r="651" spans="1:10">
      <c r="A651" s="12" t="str">
        <f>IF(B651="","",COUNTA($B$4:B651))</f>
        <v/>
      </c>
      <c r="B651" s="12"/>
      <c r="C651" s="12"/>
      <c r="D651" s="12"/>
      <c r="E651" s="12"/>
      <c r="F651" s="12"/>
      <c r="G651" s="12"/>
      <c r="H651" s="12"/>
      <c r="I651" s="13"/>
      <c r="J651" s="12"/>
    </row>
    <row r="652" spans="1:10">
      <c r="A652" s="12" t="str">
        <f>IF(B652="","",COUNTA($B$4:B652))</f>
        <v/>
      </c>
      <c r="B652" s="12"/>
      <c r="C652" s="12"/>
      <c r="D652" s="12"/>
      <c r="E652" s="12"/>
      <c r="F652" s="12"/>
      <c r="G652" s="12"/>
      <c r="H652" s="12"/>
      <c r="I652" s="13"/>
      <c r="J652" s="12"/>
    </row>
    <row r="653" spans="1:10">
      <c r="A653" s="12" t="str">
        <f>IF(B653="","",COUNTA($B$4:B653))</f>
        <v/>
      </c>
      <c r="B653" s="12"/>
      <c r="C653" s="12"/>
      <c r="D653" s="12"/>
      <c r="E653" s="12"/>
      <c r="F653" s="12"/>
      <c r="G653" s="12"/>
      <c r="H653" s="12"/>
      <c r="I653" s="13"/>
      <c r="J653" s="12"/>
    </row>
    <row r="654" spans="1:10">
      <c r="A654" s="12" t="str">
        <f>IF(B654="","",COUNTA($B$4:B654))</f>
        <v/>
      </c>
      <c r="B654" s="12"/>
      <c r="C654" s="12"/>
      <c r="D654" s="12"/>
      <c r="E654" s="12"/>
      <c r="F654" s="12"/>
      <c r="G654" s="12"/>
      <c r="H654" s="12"/>
      <c r="I654" s="13"/>
      <c r="J654" s="12"/>
    </row>
    <row r="655" spans="1:10">
      <c r="A655" s="12" t="str">
        <f>IF(B655="","",COUNTA($B$4:B655))</f>
        <v/>
      </c>
      <c r="B655" s="12"/>
      <c r="C655" s="12"/>
      <c r="D655" s="12"/>
      <c r="E655" s="12"/>
      <c r="F655" s="12"/>
      <c r="G655" s="12"/>
      <c r="H655" s="12"/>
      <c r="I655" s="13"/>
      <c r="J655" s="12"/>
    </row>
    <row r="656" spans="1:10">
      <c r="A656" s="12" t="str">
        <f>IF(B656="","",COUNTA($B$4:B656))</f>
        <v/>
      </c>
      <c r="B656" s="12"/>
      <c r="C656" s="12"/>
      <c r="D656" s="12"/>
      <c r="E656" s="12"/>
      <c r="F656" s="12"/>
      <c r="G656" s="12"/>
      <c r="H656" s="12"/>
      <c r="I656" s="13"/>
      <c r="J656" s="12"/>
    </row>
    <row r="657" spans="1:10">
      <c r="A657" s="12" t="str">
        <f>IF(B657="","",COUNTA($B$4:B657))</f>
        <v/>
      </c>
      <c r="B657" s="12"/>
      <c r="C657" s="12"/>
      <c r="D657" s="12"/>
      <c r="E657" s="12"/>
      <c r="F657" s="12"/>
      <c r="G657" s="12"/>
      <c r="H657" s="12"/>
      <c r="I657" s="13"/>
      <c r="J657" s="12"/>
    </row>
    <row r="658" spans="1:10">
      <c r="A658" s="12" t="str">
        <f>IF(B658="","",COUNTA($B$4:B658))</f>
        <v/>
      </c>
      <c r="B658" s="12"/>
      <c r="C658" s="12"/>
      <c r="D658" s="12"/>
      <c r="E658" s="12"/>
      <c r="F658" s="12"/>
      <c r="G658" s="12"/>
      <c r="H658" s="12"/>
      <c r="I658" s="13"/>
      <c r="J658" s="12"/>
    </row>
    <row r="659" spans="1:10">
      <c r="A659" s="12" t="str">
        <f>IF(B659="","",COUNTA($B$4:B659))</f>
        <v/>
      </c>
      <c r="B659" s="12"/>
      <c r="C659" s="12"/>
      <c r="D659" s="12"/>
      <c r="E659" s="12"/>
      <c r="F659" s="12"/>
      <c r="G659" s="12"/>
      <c r="H659" s="12"/>
      <c r="I659" s="13"/>
      <c r="J659" s="12"/>
    </row>
    <row r="660" spans="1:10">
      <c r="A660" s="12" t="str">
        <f>IF(B660="","",COUNTA($B$4:B660))</f>
        <v/>
      </c>
      <c r="B660" s="12"/>
      <c r="C660" s="12"/>
      <c r="D660" s="12"/>
      <c r="E660" s="12"/>
      <c r="F660" s="12"/>
      <c r="G660" s="12"/>
      <c r="H660" s="12"/>
      <c r="I660" s="13"/>
      <c r="J660" s="12"/>
    </row>
    <row r="661" spans="1:10">
      <c r="A661" s="12" t="str">
        <f>IF(B661="","",COUNTA($B$4:B661))</f>
        <v/>
      </c>
      <c r="B661" s="12"/>
      <c r="C661" s="12"/>
      <c r="D661" s="12"/>
      <c r="E661" s="12"/>
      <c r="F661" s="12"/>
      <c r="G661" s="12"/>
      <c r="H661" s="12"/>
      <c r="I661" s="13"/>
      <c r="J661" s="12"/>
    </row>
    <row r="662" spans="1:10">
      <c r="A662" s="12" t="str">
        <f>IF(B662="","",COUNTA($B$4:B662))</f>
        <v/>
      </c>
      <c r="B662" s="12"/>
      <c r="C662" s="12"/>
      <c r="D662" s="12"/>
      <c r="E662" s="12"/>
      <c r="F662" s="12"/>
      <c r="G662" s="12"/>
      <c r="H662" s="12"/>
      <c r="I662" s="13"/>
      <c r="J662" s="12"/>
    </row>
    <row r="663" spans="1:10">
      <c r="A663" s="12" t="str">
        <f>IF(B663="","",COUNTA($B$4:B663))</f>
        <v/>
      </c>
      <c r="B663" s="12"/>
      <c r="C663" s="12"/>
      <c r="D663" s="12"/>
      <c r="E663" s="12"/>
      <c r="F663" s="12"/>
      <c r="G663" s="12"/>
      <c r="H663" s="12"/>
      <c r="I663" s="13"/>
      <c r="J663" s="12"/>
    </row>
    <row r="664" spans="1:10">
      <c r="A664" s="12" t="str">
        <f>IF(B664="","",COUNTA($B$4:B664))</f>
        <v/>
      </c>
      <c r="B664" s="12"/>
      <c r="C664" s="12"/>
      <c r="D664" s="12"/>
      <c r="E664" s="12"/>
      <c r="F664" s="12"/>
      <c r="G664" s="12"/>
      <c r="H664" s="12"/>
      <c r="I664" s="13"/>
      <c r="J664" s="12"/>
    </row>
    <row r="665" spans="1:10">
      <c r="A665" s="12" t="str">
        <f>IF(B665="","",COUNTA($B$4:B665))</f>
        <v/>
      </c>
      <c r="B665" s="12"/>
      <c r="C665" s="12"/>
      <c r="D665" s="12"/>
      <c r="E665" s="12"/>
      <c r="F665" s="12"/>
      <c r="G665" s="12"/>
      <c r="H665" s="12"/>
      <c r="I665" s="13"/>
      <c r="J665" s="12"/>
    </row>
    <row r="666" spans="1:10">
      <c r="A666" s="12" t="str">
        <f>IF(B666="","",COUNTA($B$4:B666))</f>
        <v/>
      </c>
      <c r="B666" s="12"/>
      <c r="C666" s="12"/>
      <c r="D666" s="12"/>
      <c r="E666" s="12"/>
      <c r="F666" s="12"/>
      <c r="G666" s="12"/>
      <c r="H666" s="12"/>
      <c r="I666" s="13"/>
      <c r="J666" s="12"/>
    </row>
    <row r="667" spans="1:10">
      <c r="A667" s="12" t="str">
        <f>IF(B667="","",COUNTA($B$4:B667))</f>
        <v/>
      </c>
      <c r="B667" s="12"/>
      <c r="C667" s="12"/>
      <c r="D667" s="12"/>
      <c r="E667" s="12"/>
      <c r="F667" s="12"/>
      <c r="G667" s="12"/>
      <c r="H667" s="12"/>
      <c r="I667" s="13"/>
      <c r="J667" s="12"/>
    </row>
    <row r="668" spans="1:10">
      <c r="A668" s="12" t="str">
        <f>IF(B668="","",COUNTA($B$4:B668))</f>
        <v/>
      </c>
      <c r="B668" s="12"/>
      <c r="C668" s="12"/>
      <c r="D668" s="12"/>
      <c r="E668" s="12"/>
      <c r="F668" s="12"/>
      <c r="G668" s="12"/>
      <c r="H668" s="12"/>
      <c r="I668" s="13"/>
      <c r="J668" s="12"/>
    </row>
    <row r="669" spans="1:10">
      <c r="A669" s="12" t="str">
        <f>IF(B669="","",COUNTA($B$4:B669))</f>
        <v/>
      </c>
      <c r="B669" s="12"/>
      <c r="C669" s="12"/>
      <c r="D669" s="12"/>
      <c r="E669" s="12"/>
      <c r="F669" s="12"/>
      <c r="G669" s="12"/>
      <c r="H669" s="12"/>
      <c r="I669" s="13"/>
      <c r="J669" s="12"/>
    </row>
    <row r="670" spans="1:10">
      <c r="A670" s="12" t="str">
        <f>IF(B670="","",COUNTA($B$4:B670))</f>
        <v/>
      </c>
      <c r="B670" s="12"/>
      <c r="C670" s="12"/>
      <c r="D670" s="12"/>
      <c r="E670" s="12"/>
      <c r="F670" s="12"/>
      <c r="G670" s="12"/>
      <c r="H670" s="12"/>
      <c r="I670" s="13"/>
      <c r="J670" s="12"/>
    </row>
    <row r="671" spans="1:10">
      <c r="A671" s="12" t="str">
        <f>IF(B671="","",COUNTA($B$4:B671))</f>
        <v/>
      </c>
      <c r="B671" s="12"/>
      <c r="C671" s="12"/>
      <c r="D671" s="12"/>
      <c r="E671" s="12"/>
      <c r="F671" s="12"/>
      <c r="G671" s="12"/>
      <c r="H671" s="12"/>
      <c r="I671" s="13"/>
      <c r="J671" s="12"/>
    </row>
    <row r="672" spans="1:10">
      <c r="A672" s="12" t="str">
        <f>IF(B672="","",COUNTA($B$4:B672))</f>
        <v/>
      </c>
      <c r="B672" s="12"/>
      <c r="C672" s="12"/>
      <c r="D672" s="12"/>
      <c r="E672" s="12"/>
      <c r="F672" s="12"/>
      <c r="G672" s="12"/>
      <c r="H672" s="12"/>
      <c r="I672" s="13"/>
      <c r="J672" s="12"/>
    </row>
    <row r="673" spans="1:10">
      <c r="A673" s="12" t="str">
        <f>IF(B673="","",COUNTA($B$4:B673))</f>
        <v/>
      </c>
      <c r="B673" s="12"/>
      <c r="C673" s="12"/>
      <c r="D673" s="12"/>
      <c r="E673" s="12"/>
      <c r="F673" s="12"/>
      <c r="G673" s="12"/>
      <c r="H673" s="12"/>
      <c r="I673" s="13"/>
      <c r="J673" s="12"/>
    </row>
    <row r="674" spans="1:10">
      <c r="A674" s="12" t="str">
        <f>IF(B674="","",COUNTA($B$4:B674))</f>
        <v/>
      </c>
      <c r="B674" s="12"/>
      <c r="C674" s="12"/>
      <c r="D674" s="12"/>
      <c r="E674" s="12"/>
      <c r="F674" s="12"/>
      <c r="G674" s="12"/>
      <c r="H674" s="12"/>
      <c r="I674" s="13"/>
      <c r="J674" s="12"/>
    </row>
    <row r="675" spans="1:10">
      <c r="A675" s="12" t="str">
        <f>IF(B675="","",COUNTA($B$4:B675))</f>
        <v/>
      </c>
      <c r="B675" s="12"/>
      <c r="C675" s="12"/>
      <c r="D675" s="12"/>
      <c r="E675" s="12"/>
      <c r="F675" s="12"/>
      <c r="G675" s="12"/>
      <c r="H675" s="12"/>
      <c r="I675" s="13"/>
      <c r="J675" s="12"/>
    </row>
    <row r="676" spans="1:10">
      <c r="A676" s="12" t="str">
        <f>IF(B676="","",COUNTA($B$4:B676))</f>
        <v/>
      </c>
      <c r="B676" s="12"/>
      <c r="C676" s="12"/>
      <c r="D676" s="12"/>
      <c r="E676" s="12"/>
      <c r="F676" s="12"/>
      <c r="G676" s="12"/>
      <c r="H676" s="12"/>
      <c r="I676" s="13"/>
      <c r="J676" s="12"/>
    </row>
    <row r="677" spans="1:10">
      <c r="A677" s="12" t="str">
        <f>IF(B677="","",COUNTA($B$4:B677))</f>
        <v/>
      </c>
      <c r="B677" s="12"/>
      <c r="C677" s="12"/>
      <c r="D677" s="12"/>
      <c r="E677" s="12"/>
      <c r="F677" s="12"/>
      <c r="G677" s="12"/>
      <c r="H677" s="12"/>
      <c r="I677" s="13"/>
      <c r="J677" s="12"/>
    </row>
    <row r="678" spans="1:10">
      <c r="A678" s="12" t="str">
        <f>IF(B678="","",COUNTA($B$4:B678))</f>
        <v/>
      </c>
      <c r="B678" s="12"/>
      <c r="C678" s="12"/>
      <c r="D678" s="12"/>
      <c r="E678" s="12"/>
      <c r="F678" s="12"/>
      <c r="G678" s="12"/>
      <c r="H678" s="12"/>
      <c r="I678" s="13"/>
      <c r="J678" s="12"/>
    </row>
    <row r="679" spans="1:10">
      <c r="A679" s="12" t="str">
        <f>IF(B679="","",COUNTA($B$4:B679))</f>
        <v/>
      </c>
      <c r="B679" s="12"/>
      <c r="C679" s="12"/>
      <c r="D679" s="12"/>
      <c r="E679" s="12"/>
      <c r="F679" s="12"/>
      <c r="G679" s="12"/>
      <c r="H679" s="12"/>
      <c r="I679" s="13"/>
      <c r="J679" s="12"/>
    </row>
    <row r="680" spans="1:10">
      <c r="A680" s="12" t="str">
        <f>IF(B680="","",COUNTA($B$4:B680))</f>
        <v/>
      </c>
      <c r="B680" s="12"/>
      <c r="C680" s="12"/>
      <c r="D680" s="12"/>
      <c r="E680" s="12"/>
      <c r="F680" s="12"/>
      <c r="G680" s="12"/>
      <c r="H680" s="12"/>
      <c r="I680" s="13"/>
      <c r="J680" s="12"/>
    </row>
    <row r="681" spans="1:10">
      <c r="A681" s="12" t="str">
        <f>IF(B681="","",COUNTA($B$4:B681))</f>
        <v/>
      </c>
      <c r="B681" s="12"/>
      <c r="C681" s="12"/>
      <c r="D681" s="12"/>
      <c r="E681" s="12"/>
      <c r="F681" s="12"/>
      <c r="G681" s="12"/>
      <c r="H681" s="12"/>
      <c r="I681" s="13"/>
      <c r="J681" s="12"/>
    </row>
    <row r="682" spans="1:10">
      <c r="A682" s="12" t="str">
        <f>IF(B682="","",COUNTA($B$4:B682))</f>
        <v/>
      </c>
      <c r="B682" s="12"/>
      <c r="C682" s="12"/>
      <c r="D682" s="12"/>
      <c r="E682" s="12"/>
      <c r="F682" s="12"/>
      <c r="G682" s="12"/>
      <c r="H682" s="12"/>
      <c r="I682" s="13"/>
      <c r="J682" s="12"/>
    </row>
    <row r="683" spans="1:10">
      <c r="A683" s="12" t="str">
        <f>IF(B683="","",COUNTA($B$4:B683))</f>
        <v/>
      </c>
      <c r="B683" s="12"/>
      <c r="C683" s="12"/>
      <c r="D683" s="12"/>
      <c r="E683" s="12"/>
      <c r="F683" s="12"/>
      <c r="G683" s="12"/>
      <c r="H683" s="12"/>
      <c r="I683" s="13"/>
      <c r="J683" s="12"/>
    </row>
    <row r="684" spans="1:10">
      <c r="A684" s="12" t="str">
        <f>IF(B684="","",COUNTA($B$4:B684))</f>
        <v/>
      </c>
      <c r="B684" s="12"/>
      <c r="C684" s="12"/>
      <c r="D684" s="12"/>
      <c r="E684" s="12"/>
      <c r="F684" s="12"/>
      <c r="G684" s="12"/>
      <c r="H684" s="12"/>
      <c r="I684" s="13"/>
      <c r="J684" s="12"/>
    </row>
    <row r="685" spans="1:10">
      <c r="A685" s="12" t="str">
        <f>IF(B685="","",COUNTA($B$4:B685))</f>
        <v/>
      </c>
      <c r="B685" s="12"/>
      <c r="C685" s="12"/>
      <c r="D685" s="12"/>
      <c r="E685" s="12"/>
      <c r="F685" s="12"/>
      <c r="G685" s="12"/>
      <c r="H685" s="12"/>
      <c r="I685" s="13"/>
      <c r="J685" s="12"/>
    </row>
    <row r="686" spans="1:10">
      <c r="A686" s="12" t="str">
        <f>IF(B686="","",COUNTA($B$4:B686))</f>
        <v/>
      </c>
      <c r="B686" s="12"/>
      <c r="C686" s="12"/>
      <c r="D686" s="12"/>
      <c r="E686" s="12"/>
      <c r="F686" s="12"/>
      <c r="G686" s="12"/>
      <c r="H686" s="12"/>
      <c r="I686" s="13"/>
      <c r="J686" s="12"/>
    </row>
    <row r="687" spans="1:10">
      <c r="A687" s="12" t="str">
        <f>IF(B687="","",COUNTA($B$4:B687))</f>
        <v/>
      </c>
      <c r="B687" s="12"/>
      <c r="C687" s="12"/>
      <c r="D687" s="12"/>
      <c r="E687" s="12"/>
      <c r="F687" s="12"/>
      <c r="G687" s="12"/>
      <c r="H687" s="12"/>
      <c r="I687" s="13"/>
      <c r="J687" s="12"/>
    </row>
    <row r="688" spans="1:10">
      <c r="A688" s="12" t="str">
        <f>IF(B688="","",COUNTA($B$4:B688))</f>
        <v/>
      </c>
      <c r="B688" s="12"/>
      <c r="C688" s="12"/>
      <c r="D688" s="12"/>
      <c r="E688" s="12"/>
      <c r="F688" s="12"/>
      <c r="G688" s="12"/>
      <c r="H688" s="12"/>
      <c r="I688" s="13"/>
      <c r="J688" s="12"/>
    </row>
    <row r="689" spans="1:10">
      <c r="A689" s="12" t="str">
        <f>IF(B689="","",COUNTA($B$4:B689))</f>
        <v/>
      </c>
      <c r="B689" s="12"/>
      <c r="C689" s="12"/>
      <c r="D689" s="12"/>
      <c r="E689" s="12"/>
      <c r="F689" s="12"/>
      <c r="G689" s="12"/>
      <c r="H689" s="12"/>
      <c r="I689" s="13"/>
      <c r="J689" s="12"/>
    </row>
    <row r="690" spans="1:10">
      <c r="A690" s="12" t="str">
        <f>IF(B690="","",COUNTA($B$4:B690))</f>
        <v/>
      </c>
      <c r="B690" s="12"/>
      <c r="C690" s="12"/>
      <c r="D690" s="12"/>
      <c r="E690" s="12"/>
      <c r="F690" s="12"/>
      <c r="G690" s="12"/>
      <c r="H690" s="12"/>
      <c r="I690" s="13"/>
      <c r="J690" s="12"/>
    </row>
    <row r="691" spans="1:10">
      <c r="A691" s="12" t="str">
        <f>IF(B691="","",COUNTA($B$4:B691))</f>
        <v/>
      </c>
      <c r="B691" s="12"/>
      <c r="C691" s="12"/>
      <c r="D691" s="12"/>
      <c r="E691" s="12"/>
      <c r="F691" s="12"/>
      <c r="G691" s="12"/>
      <c r="H691" s="12"/>
      <c r="I691" s="13"/>
      <c r="J691" s="12"/>
    </row>
    <row r="692" spans="1:10">
      <c r="A692" s="12" t="str">
        <f>IF(B692="","",COUNTA($B$4:B692))</f>
        <v/>
      </c>
      <c r="B692" s="12"/>
      <c r="C692" s="12"/>
      <c r="D692" s="12"/>
      <c r="E692" s="12"/>
      <c r="F692" s="12"/>
      <c r="G692" s="12"/>
      <c r="H692" s="12"/>
      <c r="I692" s="13"/>
      <c r="J692" s="12"/>
    </row>
    <row r="693" spans="1:10">
      <c r="A693" s="12" t="str">
        <f>IF(B693="","",COUNTA($B$4:B693))</f>
        <v/>
      </c>
      <c r="B693" s="12"/>
      <c r="C693" s="12"/>
      <c r="D693" s="12"/>
      <c r="E693" s="12"/>
      <c r="F693" s="12"/>
      <c r="G693" s="12"/>
      <c r="H693" s="12"/>
      <c r="I693" s="13"/>
      <c r="J693" s="12"/>
    </row>
    <row r="694" spans="1:10">
      <c r="A694" s="12" t="str">
        <f>IF(B694="","",COUNTA($B$4:B694))</f>
        <v/>
      </c>
      <c r="B694" s="12"/>
      <c r="C694" s="12"/>
      <c r="D694" s="12"/>
      <c r="E694" s="12"/>
      <c r="F694" s="12"/>
      <c r="G694" s="12"/>
      <c r="H694" s="12"/>
      <c r="I694" s="13"/>
      <c r="J694" s="12"/>
    </row>
    <row r="695" spans="1:10">
      <c r="A695" s="12" t="str">
        <f>IF(B695="","",COUNTA($B$4:B695))</f>
        <v/>
      </c>
      <c r="B695" s="12"/>
      <c r="C695" s="12"/>
      <c r="D695" s="12"/>
      <c r="E695" s="12"/>
      <c r="F695" s="12"/>
      <c r="G695" s="12"/>
      <c r="H695" s="12"/>
      <c r="I695" s="13"/>
      <c r="J695" s="12"/>
    </row>
    <row r="696" spans="1:10">
      <c r="A696" s="12" t="str">
        <f>IF(B696="","",COUNTA($B$4:B696))</f>
        <v/>
      </c>
      <c r="B696" s="12"/>
      <c r="C696" s="12"/>
      <c r="D696" s="12"/>
      <c r="E696" s="12"/>
      <c r="F696" s="12"/>
      <c r="G696" s="12"/>
      <c r="H696" s="12"/>
      <c r="I696" s="13"/>
      <c r="J696" s="12"/>
    </row>
    <row r="697" spans="1:10">
      <c r="A697" s="12" t="str">
        <f>IF(B697="","",COUNTA($B$4:B697))</f>
        <v/>
      </c>
      <c r="B697" s="12"/>
      <c r="C697" s="12"/>
      <c r="D697" s="12"/>
      <c r="E697" s="12"/>
      <c r="F697" s="12"/>
      <c r="G697" s="12"/>
      <c r="H697" s="12"/>
      <c r="I697" s="13"/>
      <c r="J697" s="12"/>
    </row>
    <row r="698" spans="1:10">
      <c r="A698" s="12" t="str">
        <f>IF(B698="","",COUNTA($B$4:B698))</f>
        <v/>
      </c>
      <c r="B698" s="12"/>
      <c r="C698" s="12"/>
      <c r="D698" s="12"/>
      <c r="E698" s="12"/>
      <c r="F698" s="12"/>
      <c r="G698" s="12"/>
      <c r="H698" s="12"/>
      <c r="I698" s="13"/>
      <c r="J698" s="12"/>
    </row>
    <row r="699" spans="1:10">
      <c r="A699" s="12" t="str">
        <f>IF(B699="","",COUNTA($B$4:B699))</f>
        <v/>
      </c>
      <c r="B699" s="12"/>
      <c r="C699" s="12"/>
      <c r="D699" s="12"/>
      <c r="E699" s="12"/>
      <c r="F699" s="12"/>
      <c r="G699" s="12"/>
      <c r="H699" s="12"/>
      <c r="I699" s="13"/>
      <c r="J699" s="12"/>
    </row>
    <row r="700" spans="1:10">
      <c r="A700" s="12" t="str">
        <f>IF(B700="","",COUNTA($B$4:B700))</f>
        <v/>
      </c>
      <c r="B700" s="12"/>
      <c r="C700" s="12"/>
      <c r="D700" s="12"/>
      <c r="E700" s="12"/>
      <c r="F700" s="12"/>
      <c r="G700" s="12"/>
      <c r="H700" s="12"/>
      <c r="I700" s="13"/>
      <c r="J700" s="12"/>
    </row>
    <row r="701" spans="1:10">
      <c r="A701" s="12" t="str">
        <f>IF(B701="","",COUNTA($B$4:B701))</f>
        <v/>
      </c>
      <c r="B701" s="12"/>
      <c r="C701" s="12"/>
      <c r="D701" s="12"/>
      <c r="E701" s="12"/>
      <c r="F701" s="12"/>
      <c r="G701" s="12"/>
      <c r="H701" s="12"/>
      <c r="I701" s="13"/>
      <c r="J701" s="12"/>
    </row>
    <row r="702" spans="1:10">
      <c r="A702" s="12" t="str">
        <f>IF(B702="","",COUNTA($B$4:B702))</f>
        <v/>
      </c>
      <c r="B702" s="12"/>
      <c r="C702" s="12"/>
      <c r="D702" s="12"/>
      <c r="E702" s="12"/>
      <c r="F702" s="12"/>
      <c r="G702" s="12"/>
      <c r="H702" s="12"/>
      <c r="I702" s="13"/>
      <c r="J702" s="12"/>
    </row>
    <row r="703" spans="1:10">
      <c r="A703" s="12" t="str">
        <f>IF(B703="","",COUNTA($B$4:B703))</f>
        <v/>
      </c>
      <c r="B703" s="12"/>
      <c r="C703" s="12"/>
      <c r="D703" s="12"/>
      <c r="E703" s="12"/>
      <c r="F703" s="12"/>
      <c r="G703" s="12"/>
      <c r="H703" s="12"/>
      <c r="I703" s="13"/>
      <c r="J703" s="12"/>
    </row>
    <row r="704" spans="1:10">
      <c r="A704" s="12" t="str">
        <f>IF(B704="","",COUNTA($B$4:B704))</f>
        <v/>
      </c>
      <c r="B704" s="12"/>
      <c r="C704" s="12"/>
      <c r="D704" s="12"/>
      <c r="E704" s="12"/>
      <c r="F704" s="12"/>
      <c r="G704" s="12"/>
      <c r="H704" s="12"/>
      <c r="I704" s="13"/>
      <c r="J704" s="12"/>
    </row>
    <row r="705" spans="1:10">
      <c r="A705" s="12" t="str">
        <f>IF(B705="","",COUNTA($B$4:B705))</f>
        <v/>
      </c>
      <c r="B705" s="12"/>
      <c r="C705" s="12"/>
      <c r="D705" s="12"/>
      <c r="E705" s="12"/>
      <c r="F705" s="12"/>
      <c r="G705" s="12"/>
      <c r="H705" s="12"/>
      <c r="I705" s="13"/>
      <c r="J705" s="12"/>
    </row>
    <row r="706" spans="1:10">
      <c r="A706" s="12" t="str">
        <f>IF(B706="","",COUNTA($B$4:B706))</f>
        <v/>
      </c>
      <c r="B706" s="12"/>
      <c r="C706" s="12"/>
      <c r="D706" s="12"/>
      <c r="E706" s="12"/>
      <c r="F706" s="12"/>
      <c r="G706" s="12"/>
      <c r="H706" s="12"/>
      <c r="I706" s="13"/>
      <c r="J706" s="12"/>
    </row>
    <row r="707" spans="1:10">
      <c r="A707" s="12" t="str">
        <f>IF(B707="","",COUNTA($B$4:B707))</f>
        <v/>
      </c>
      <c r="B707" s="12"/>
      <c r="C707" s="12"/>
      <c r="D707" s="12"/>
      <c r="E707" s="12"/>
      <c r="F707" s="12"/>
      <c r="G707" s="12"/>
      <c r="H707" s="12"/>
      <c r="I707" s="13"/>
      <c r="J707" s="12"/>
    </row>
    <row r="708" spans="1:10">
      <c r="A708" s="12" t="str">
        <f>IF(B708="","",COUNTA($B$4:B708))</f>
        <v/>
      </c>
      <c r="B708" s="12"/>
      <c r="C708" s="12"/>
      <c r="D708" s="12"/>
      <c r="E708" s="12"/>
      <c r="F708" s="12"/>
      <c r="G708" s="12"/>
      <c r="H708" s="12"/>
      <c r="I708" s="13"/>
      <c r="J708" s="12"/>
    </row>
    <row r="709" spans="1:10">
      <c r="A709" s="12" t="str">
        <f>IF(B709="","",COUNTA($B$4:B709))</f>
        <v/>
      </c>
      <c r="B709" s="12"/>
      <c r="C709" s="12"/>
      <c r="D709" s="12"/>
      <c r="E709" s="12"/>
      <c r="F709" s="12"/>
      <c r="G709" s="12"/>
      <c r="H709" s="12"/>
      <c r="I709" s="13"/>
      <c r="J709" s="12"/>
    </row>
    <row r="710" spans="1:10">
      <c r="A710" s="12" t="str">
        <f>IF(B710="","",COUNTA($B$4:B710))</f>
        <v/>
      </c>
      <c r="B710" s="12"/>
      <c r="C710" s="12"/>
      <c r="D710" s="12"/>
      <c r="E710" s="12"/>
      <c r="F710" s="12"/>
      <c r="G710" s="12"/>
      <c r="H710" s="12"/>
      <c r="I710" s="13"/>
      <c r="J710" s="12"/>
    </row>
    <row r="711" spans="1:10">
      <c r="A711" s="12" t="str">
        <f>IF(B711="","",COUNTA($B$4:B711))</f>
        <v/>
      </c>
      <c r="B711" s="12"/>
      <c r="C711" s="12"/>
      <c r="D711" s="12"/>
      <c r="E711" s="12"/>
      <c r="F711" s="12"/>
      <c r="G711" s="12"/>
      <c r="H711" s="12"/>
      <c r="I711" s="13"/>
      <c r="J711" s="12"/>
    </row>
    <row r="712" spans="1:10">
      <c r="A712" s="12" t="str">
        <f>IF(B712="","",COUNTA($B$4:B712))</f>
        <v/>
      </c>
      <c r="B712" s="12"/>
      <c r="C712" s="12"/>
      <c r="D712" s="12"/>
      <c r="E712" s="12"/>
      <c r="F712" s="12"/>
      <c r="G712" s="12"/>
      <c r="H712" s="12"/>
      <c r="I712" s="13"/>
      <c r="J712" s="12"/>
    </row>
    <row r="713" spans="1:10">
      <c r="A713" s="12" t="str">
        <f>IF(B713="","",COUNTA($B$4:B713))</f>
        <v/>
      </c>
      <c r="B713" s="12"/>
      <c r="C713" s="12"/>
      <c r="D713" s="12"/>
      <c r="E713" s="12"/>
      <c r="F713" s="12"/>
      <c r="G713" s="12"/>
      <c r="H713" s="12"/>
      <c r="I713" s="13"/>
      <c r="J713" s="12"/>
    </row>
    <row r="714" spans="1:10">
      <c r="A714" s="12" t="str">
        <f>IF(B714="","",COUNTA($B$4:B714))</f>
        <v/>
      </c>
      <c r="B714" s="12"/>
      <c r="C714" s="12"/>
      <c r="D714" s="12"/>
      <c r="E714" s="12"/>
      <c r="F714" s="12"/>
      <c r="G714" s="12"/>
      <c r="H714" s="12"/>
      <c r="I714" s="13"/>
      <c r="J714" s="12"/>
    </row>
    <row r="715" spans="1:10">
      <c r="A715" s="12" t="str">
        <f>IF(B715="","",COUNTA($B$4:B715))</f>
        <v/>
      </c>
      <c r="B715" s="12"/>
      <c r="C715" s="12"/>
      <c r="D715" s="12"/>
      <c r="E715" s="12"/>
      <c r="F715" s="12"/>
      <c r="G715" s="12"/>
      <c r="H715" s="12"/>
      <c r="I715" s="13"/>
      <c r="J715" s="12"/>
    </row>
    <row r="716" spans="1:10">
      <c r="A716" s="12" t="str">
        <f>IF(B716="","",COUNTA($B$4:B716))</f>
        <v/>
      </c>
      <c r="B716" s="12"/>
      <c r="C716" s="12"/>
      <c r="D716" s="12"/>
      <c r="E716" s="12"/>
      <c r="F716" s="12"/>
      <c r="G716" s="12"/>
      <c r="H716" s="12"/>
      <c r="I716" s="13"/>
      <c r="J716" s="12"/>
    </row>
    <row r="717" spans="1:10">
      <c r="A717" s="12" t="str">
        <f>IF(B717="","",COUNTA($B$4:B717))</f>
        <v/>
      </c>
      <c r="B717" s="12"/>
      <c r="C717" s="12"/>
      <c r="D717" s="12"/>
      <c r="E717" s="12"/>
      <c r="F717" s="12"/>
      <c r="G717" s="12"/>
      <c r="H717" s="12"/>
      <c r="I717" s="13"/>
      <c r="J717" s="12"/>
    </row>
    <row r="718" spans="1:10">
      <c r="A718" s="12" t="str">
        <f>IF(B718="","",COUNTA($B$4:B718))</f>
        <v/>
      </c>
      <c r="B718" s="12"/>
      <c r="C718" s="12"/>
      <c r="D718" s="12"/>
      <c r="E718" s="12"/>
      <c r="F718" s="12"/>
      <c r="G718" s="12"/>
      <c r="H718" s="12"/>
      <c r="I718" s="13"/>
      <c r="J718" s="12"/>
    </row>
    <row r="719" spans="1:10">
      <c r="A719" s="12" t="str">
        <f>IF(B719="","",COUNTA($B$4:B719))</f>
        <v/>
      </c>
      <c r="B719" s="12"/>
      <c r="C719" s="12"/>
      <c r="D719" s="12"/>
      <c r="E719" s="12"/>
      <c r="F719" s="12"/>
      <c r="G719" s="12"/>
      <c r="H719" s="12"/>
      <c r="I719" s="13"/>
      <c r="J719" s="12"/>
    </row>
    <row r="720" spans="1:10">
      <c r="A720" s="12" t="str">
        <f>IF(B720="","",COUNTA($B$4:B720))</f>
        <v/>
      </c>
      <c r="B720" s="12"/>
      <c r="C720" s="12"/>
      <c r="D720" s="12"/>
      <c r="E720" s="12"/>
      <c r="F720" s="12"/>
      <c r="G720" s="12"/>
      <c r="H720" s="12"/>
      <c r="I720" s="13"/>
      <c r="J720" s="12"/>
    </row>
    <row r="721" spans="1:10">
      <c r="A721" s="12" t="str">
        <f>IF(B721="","",COUNTA($B$4:B721))</f>
        <v/>
      </c>
      <c r="B721" s="12"/>
      <c r="C721" s="12"/>
      <c r="D721" s="12"/>
      <c r="E721" s="12"/>
      <c r="F721" s="12"/>
      <c r="G721" s="12"/>
      <c r="H721" s="12"/>
      <c r="I721" s="13"/>
      <c r="J721" s="12"/>
    </row>
    <row r="722" spans="1:10">
      <c r="A722" s="12" t="str">
        <f>IF(B722="","",COUNTA($B$4:B722))</f>
        <v/>
      </c>
      <c r="B722" s="12"/>
      <c r="C722" s="12"/>
      <c r="D722" s="12"/>
      <c r="E722" s="12"/>
      <c r="F722" s="12"/>
      <c r="G722" s="12"/>
      <c r="H722" s="12"/>
      <c r="I722" s="13"/>
      <c r="J722" s="12"/>
    </row>
    <row r="723" spans="1:10">
      <c r="A723" s="12" t="str">
        <f>IF(B723="","",COUNTA($B$4:B723))</f>
        <v/>
      </c>
      <c r="B723" s="12"/>
      <c r="C723" s="12"/>
      <c r="D723" s="12"/>
      <c r="E723" s="12"/>
      <c r="F723" s="12"/>
      <c r="G723" s="12"/>
      <c r="H723" s="12"/>
      <c r="I723" s="13"/>
      <c r="J723" s="12"/>
    </row>
    <row r="724" spans="1:10">
      <c r="A724" s="12" t="str">
        <f>IF(B724="","",COUNTA($B$4:B724))</f>
        <v/>
      </c>
      <c r="B724" s="12"/>
      <c r="C724" s="12"/>
      <c r="D724" s="12"/>
      <c r="E724" s="12"/>
      <c r="F724" s="12"/>
      <c r="G724" s="12"/>
      <c r="H724" s="12"/>
      <c r="I724" s="13"/>
      <c r="J724" s="12"/>
    </row>
    <row r="725" spans="1:10">
      <c r="A725" s="12" t="str">
        <f>IF(B725="","",COUNTA($B$4:B725))</f>
        <v/>
      </c>
      <c r="B725" s="12"/>
      <c r="C725" s="12"/>
      <c r="D725" s="12"/>
      <c r="E725" s="12"/>
      <c r="F725" s="12"/>
      <c r="G725" s="12"/>
      <c r="H725" s="12"/>
      <c r="I725" s="13"/>
      <c r="J725" s="12"/>
    </row>
    <row r="726" spans="1:10">
      <c r="A726" s="12" t="str">
        <f>IF(B726="","",COUNTA($B$4:B726))</f>
        <v/>
      </c>
      <c r="B726" s="12"/>
      <c r="C726" s="12"/>
      <c r="D726" s="12"/>
      <c r="E726" s="12"/>
      <c r="F726" s="12"/>
      <c r="G726" s="12"/>
      <c r="H726" s="12"/>
      <c r="I726" s="13"/>
      <c r="J726" s="12"/>
    </row>
    <row r="727" spans="1:10">
      <c r="A727" s="12" t="str">
        <f>IF(B727="","",COUNTA($B$4:B727))</f>
        <v/>
      </c>
      <c r="B727" s="12"/>
      <c r="C727" s="12"/>
      <c r="D727" s="12"/>
      <c r="E727" s="12"/>
      <c r="F727" s="12"/>
      <c r="G727" s="12"/>
      <c r="H727" s="12"/>
      <c r="I727" s="13"/>
      <c r="J727" s="12"/>
    </row>
    <row r="728" spans="1:10">
      <c r="A728" s="12" t="str">
        <f>IF(B728="","",COUNTA($B$4:B728))</f>
        <v/>
      </c>
      <c r="B728" s="12"/>
      <c r="C728" s="12"/>
      <c r="D728" s="12"/>
      <c r="E728" s="12"/>
      <c r="F728" s="12"/>
      <c r="G728" s="12"/>
      <c r="H728" s="12"/>
      <c r="I728" s="13"/>
      <c r="J728" s="12"/>
    </row>
    <row r="729" spans="1:10">
      <c r="A729" s="12" t="str">
        <f>IF(B729="","",COUNTA($B$4:B729))</f>
        <v/>
      </c>
      <c r="B729" s="12"/>
      <c r="C729" s="12"/>
      <c r="D729" s="12"/>
      <c r="E729" s="12"/>
      <c r="F729" s="12"/>
      <c r="G729" s="12"/>
      <c r="H729" s="12"/>
      <c r="I729" s="13"/>
      <c r="J729" s="12"/>
    </row>
    <row r="730" spans="1:10">
      <c r="A730" s="12" t="str">
        <f>IF(B730="","",COUNTA($B$4:B730))</f>
        <v/>
      </c>
      <c r="B730" s="12"/>
      <c r="C730" s="12"/>
      <c r="D730" s="12"/>
      <c r="E730" s="12"/>
      <c r="F730" s="12"/>
      <c r="G730" s="12"/>
      <c r="H730" s="12"/>
      <c r="I730" s="13"/>
      <c r="J730" s="12"/>
    </row>
    <row r="731" spans="1:10">
      <c r="A731" s="12" t="str">
        <f>IF(B731="","",COUNTA($B$4:B731))</f>
        <v/>
      </c>
      <c r="B731" s="12"/>
      <c r="C731" s="12"/>
      <c r="D731" s="12"/>
      <c r="E731" s="12"/>
      <c r="F731" s="12"/>
      <c r="G731" s="12"/>
      <c r="H731" s="12"/>
      <c r="I731" s="13"/>
      <c r="J731" s="12"/>
    </row>
    <row r="732" spans="1:10">
      <c r="A732" s="12" t="str">
        <f>IF(B732="","",COUNTA($B$4:B732))</f>
        <v/>
      </c>
      <c r="B732" s="12"/>
      <c r="C732" s="12"/>
      <c r="D732" s="12"/>
      <c r="E732" s="12"/>
      <c r="F732" s="12"/>
      <c r="G732" s="12"/>
      <c r="H732" s="12"/>
      <c r="I732" s="13"/>
      <c r="J732" s="12"/>
    </row>
    <row r="733" spans="1:10">
      <c r="A733" s="12" t="str">
        <f>IF(B733="","",COUNTA($B$4:B733))</f>
        <v/>
      </c>
      <c r="B733" s="12"/>
      <c r="C733" s="12"/>
      <c r="D733" s="12"/>
      <c r="E733" s="12"/>
      <c r="F733" s="12"/>
      <c r="G733" s="12"/>
      <c r="H733" s="12"/>
      <c r="I733" s="13"/>
      <c r="J733" s="12"/>
    </row>
    <row r="734" spans="1:10">
      <c r="A734" s="12" t="str">
        <f>IF(B734="","",COUNTA($B$4:B734))</f>
        <v/>
      </c>
      <c r="B734" s="12"/>
      <c r="C734" s="12"/>
      <c r="D734" s="12"/>
      <c r="E734" s="12"/>
      <c r="F734" s="12"/>
      <c r="G734" s="12"/>
      <c r="H734" s="12"/>
      <c r="I734" s="13"/>
      <c r="J734" s="12"/>
    </row>
    <row r="735" spans="1:10">
      <c r="A735" s="12" t="str">
        <f>IF(B735="","",COUNTA($B$4:B735))</f>
        <v/>
      </c>
      <c r="B735" s="12"/>
      <c r="C735" s="12"/>
      <c r="D735" s="12"/>
      <c r="E735" s="12"/>
      <c r="F735" s="12"/>
      <c r="G735" s="12"/>
      <c r="H735" s="12"/>
      <c r="I735" s="13"/>
      <c r="J735" s="12"/>
    </row>
    <row r="736" spans="1:10">
      <c r="A736" s="12" t="str">
        <f>IF(B736="","",COUNTA($B$4:B736))</f>
        <v/>
      </c>
      <c r="B736" s="12"/>
      <c r="C736" s="12"/>
      <c r="D736" s="12"/>
      <c r="E736" s="12"/>
      <c r="F736" s="12"/>
      <c r="G736" s="12"/>
      <c r="H736" s="12"/>
      <c r="I736" s="13"/>
      <c r="J736" s="12"/>
    </row>
    <row r="737" spans="1:10">
      <c r="A737" s="12" t="str">
        <f>IF(B737="","",COUNTA($B$4:B737))</f>
        <v/>
      </c>
      <c r="B737" s="12"/>
      <c r="C737" s="12"/>
      <c r="D737" s="12"/>
      <c r="E737" s="12"/>
      <c r="F737" s="12"/>
      <c r="G737" s="12"/>
      <c r="H737" s="12"/>
      <c r="I737" s="13"/>
      <c r="J737" s="12"/>
    </row>
    <row r="738" spans="1:10">
      <c r="A738" s="12" t="str">
        <f>IF(B738="","",COUNTA($B$4:B738))</f>
        <v/>
      </c>
      <c r="B738" s="12"/>
      <c r="C738" s="12"/>
      <c r="D738" s="12"/>
      <c r="E738" s="12"/>
      <c r="F738" s="12"/>
      <c r="G738" s="12"/>
      <c r="H738" s="12"/>
      <c r="I738" s="13"/>
      <c r="J738" s="12"/>
    </row>
    <row r="739" spans="1:10">
      <c r="A739" s="12" t="str">
        <f>IF(B739="","",COUNTA($B$4:B739))</f>
        <v/>
      </c>
      <c r="B739" s="12"/>
      <c r="C739" s="12"/>
      <c r="D739" s="12"/>
      <c r="E739" s="12"/>
      <c r="F739" s="12"/>
      <c r="G739" s="12"/>
      <c r="H739" s="12"/>
      <c r="I739" s="13"/>
      <c r="J739" s="12"/>
    </row>
    <row r="740" spans="1:10">
      <c r="A740" s="12" t="str">
        <f>IF(B740="","",COUNTA($B$4:B740))</f>
        <v/>
      </c>
      <c r="B740" s="12"/>
      <c r="C740" s="12"/>
      <c r="D740" s="12"/>
      <c r="E740" s="12"/>
      <c r="F740" s="12"/>
      <c r="G740" s="12"/>
      <c r="H740" s="12"/>
      <c r="I740" s="13"/>
      <c r="J740" s="12"/>
    </row>
    <row r="741" spans="1:10">
      <c r="A741" s="12" t="str">
        <f>IF(B741="","",COUNTA($B$4:B741))</f>
        <v/>
      </c>
      <c r="B741" s="12"/>
      <c r="C741" s="12"/>
      <c r="D741" s="12"/>
      <c r="E741" s="12"/>
      <c r="F741" s="12"/>
      <c r="G741" s="12"/>
      <c r="H741" s="12"/>
      <c r="I741" s="13"/>
      <c r="J741" s="12"/>
    </row>
    <row r="742" spans="1:10">
      <c r="A742" s="12" t="str">
        <f>IF(B742="","",COUNTA($B$4:B742))</f>
        <v/>
      </c>
      <c r="B742" s="12"/>
      <c r="C742" s="12"/>
      <c r="D742" s="12"/>
      <c r="E742" s="12"/>
      <c r="F742" s="12"/>
      <c r="G742" s="12"/>
      <c r="H742" s="12"/>
      <c r="I742" s="13"/>
      <c r="J742" s="12"/>
    </row>
    <row r="743" spans="1:10">
      <c r="A743" s="12" t="str">
        <f>IF(B743="","",COUNTA($B$4:B743))</f>
        <v/>
      </c>
      <c r="B743" s="12"/>
      <c r="C743" s="12"/>
      <c r="D743" s="12"/>
      <c r="E743" s="12"/>
      <c r="F743" s="12"/>
      <c r="G743" s="12"/>
      <c r="H743" s="12"/>
      <c r="I743" s="13"/>
      <c r="J743" s="12"/>
    </row>
    <row r="744" spans="1:10">
      <c r="A744" s="12" t="str">
        <f>IF(B744="","",COUNTA($B$4:B744))</f>
        <v/>
      </c>
      <c r="B744" s="12"/>
      <c r="C744" s="12"/>
      <c r="D744" s="12"/>
      <c r="E744" s="12"/>
      <c r="F744" s="12"/>
      <c r="G744" s="12"/>
      <c r="H744" s="12"/>
      <c r="I744" s="13"/>
      <c r="J744" s="12"/>
    </row>
    <row r="745" spans="1:10">
      <c r="A745" s="12" t="str">
        <f>IF(B745="","",COUNTA($B$4:B745))</f>
        <v/>
      </c>
      <c r="B745" s="12"/>
      <c r="C745" s="12"/>
      <c r="D745" s="12"/>
      <c r="E745" s="12"/>
      <c r="F745" s="12"/>
      <c r="G745" s="12"/>
      <c r="H745" s="12"/>
      <c r="I745" s="13"/>
      <c r="J745" s="12"/>
    </row>
    <row r="746" spans="1:10">
      <c r="A746" s="12" t="str">
        <f>IF(B746="","",COUNTA($B$4:B746))</f>
        <v/>
      </c>
      <c r="B746" s="12"/>
      <c r="C746" s="12"/>
      <c r="D746" s="12"/>
      <c r="E746" s="12"/>
      <c r="F746" s="12"/>
      <c r="G746" s="12"/>
      <c r="H746" s="12"/>
      <c r="I746" s="13"/>
      <c r="J746" s="12"/>
    </row>
    <row r="747" spans="1:10">
      <c r="A747" s="12" t="str">
        <f>IF(B747="","",COUNTA($B$4:B747))</f>
        <v/>
      </c>
      <c r="B747" s="12"/>
      <c r="C747" s="12"/>
      <c r="D747" s="12"/>
      <c r="E747" s="12"/>
      <c r="F747" s="12"/>
      <c r="G747" s="12"/>
      <c r="H747" s="12"/>
      <c r="I747" s="13"/>
      <c r="J747" s="12"/>
    </row>
    <row r="748" spans="1:10">
      <c r="A748" s="12" t="str">
        <f>IF(B748="","",COUNTA($B$4:B748))</f>
        <v/>
      </c>
      <c r="B748" s="12"/>
      <c r="C748" s="12"/>
      <c r="D748" s="12"/>
      <c r="E748" s="12"/>
      <c r="F748" s="12"/>
      <c r="G748" s="12"/>
      <c r="H748" s="12"/>
      <c r="I748" s="13"/>
      <c r="J748" s="12"/>
    </row>
    <row r="749" spans="1:10">
      <c r="A749" s="12" t="str">
        <f>IF(B749="","",COUNTA($B$4:B749))</f>
        <v/>
      </c>
      <c r="B749" s="12"/>
      <c r="C749" s="12"/>
      <c r="D749" s="12"/>
      <c r="E749" s="12"/>
      <c r="F749" s="12"/>
      <c r="G749" s="12"/>
      <c r="H749" s="12"/>
      <c r="I749" s="13"/>
      <c r="J749" s="12"/>
    </row>
    <row r="750" spans="1:10">
      <c r="A750" s="12" t="str">
        <f>IF(B750="","",COUNTA($B$4:B750))</f>
        <v/>
      </c>
      <c r="B750" s="12"/>
      <c r="C750" s="12"/>
      <c r="D750" s="12"/>
      <c r="E750" s="12"/>
      <c r="F750" s="12"/>
      <c r="G750" s="12"/>
      <c r="H750" s="12"/>
      <c r="I750" s="13"/>
      <c r="J750" s="12"/>
    </row>
    <row r="751" spans="1:10">
      <c r="A751" s="12" t="str">
        <f>IF(B751="","",COUNTA($B$4:B751))</f>
        <v/>
      </c>
      <c r="B751" s="12"/>
      <c r="C751" s="12"/>
      <c r="D751" s="12"/>
      <c r="E751" s="12"/>
      <c r="F751" s="12"/>
      <c r="G751" s="12"/>
      <c r="H751" s="12"/>
      <c r="I751" s="13"/>
      <c r="J751" s="12"/>
    </row>
    <row r="752" spans="1:10">
      <c r="A752" s="12" t="str">
        <f>IF(B752="","",COUNTA($B$4:B752))</f>
        <v/>
      </c>
      <c r="B752" s="12"/>
      <c r="C752" s="12"/>
      <c r="D752" s="12"/>
      <c r="E752" s="12"/>
      <c r="F752" s="12"/>
      <c r="G752" s="12"/>
      <c r="H752" s="12"/>
      <c r="I752" s="13"/>
      <c r="J752" s="12"/>
    </row>
    <row r="753" spans="1:10">
      <c r="A753" s="12" t="str">
        <f>IF(B753="","",COUNTA($B$4:B753))</f>
        <v/>
      </c>
      <c r="B753" s="12"/>
      <c r="C753" s="12"/>
      <c r="D753" s="12"/>
      <c r="E753" s="12"/>
      <c r="F753" s="12"/>
      <c r="G753" s="12"/>
      <c r="H753" s="12"/>
      <c r="I753" s="13"/>
      <c r="J753" s="12"/>
    </row>
    <row r="754" spans="1:10">
      <c r="A754" s="12" t="str">
        <f>IF(B754="","",COUNTA($B$4:B754))</f>
        <v/>
      </c>
      <c r="B754" s="12"/>
      <c r="C754" s="12"/>
      <c r="D754" s="12"/>
      <c r="E754" s="12"/>
      <c r="F754" s="12"/>
      <c r="G754" s="12"/>
      <c r="H754" s="12"/>
      <c r="I754" s="13"/>
      <c r="J754" s="12"/>
    </row>
    <row r="755" spans="1:10">
      <c r="A755" s="12" t="str">
        <f>IF(B755="","",COUNTA($B$4:B755))</f>
        <v/>
      </c>
      <c r="B755" s="12"/>
      <c r="C755" s="12"/>
      <c r="D755" s="12"/>
      <c r="E755" s="12"/>
      <c r="F755" s="12"/>
      <c r="G755" s="12"/>
      <c r="H755" s="12"/>
      <c r="I755" s="13"/>
      <c r="J755" s="12"/>
    </row>
    <row r="756" spans="1:10">
      <c r="A756" s="12" t="str">
        <f>IF(B756="","",COUNTA($B$4:B756))</f>
        <v/>
      </c>
      <c r="B756" s="12"/>
      <c r="C756" s="12"/>
      <c r="D756" s="12"/>
      <c r="E756" s="12"/>
      <c r="F756" s="12"/>
      <c r="G756" s="12"/>
      <c r="H756" s="12"/>
      <c r="I756" s="13"/>
      <c r="J756" s="12"/>
    </row>
    <row r="757" spans="1:10">
      <c r="A757" s="12" t="str">
        <f>IF(B757="","",COUNTA($B$4:B757))</f>
        <v/>
      </c>
      <c r="B757" s="12"/>
      <c r="C757" s="12"/>
      <c r="D757" s="12"/>
      <c r="E757" s="12"/>
      <c r="F757" s="12"/>
      <c r="G757" s="12"/>
      <c r="H757" s="12"/>
      <c r="I757" s="13"/>
      <c r="J757" s="12"/>
    </row>
    <row r="758" spans="1:10">
      <c r="A758" s="12" t="str">
        <f>IF(B758="","",COUNTA($B$4:B758))</f>
        <v/>
      </c>
      <c r="B758" s="12"/>
      <c r="C758" s="12"/>
      <c r="D758" s="12"/>
      <c r="E758" s="12"/>
      <c r="F758" s="12"/>
      <c r="G758" s="12"/>
      <c r="H758" s="12"/>
      <c r="I758" s="13"/>
      <c r="J758" s="12"/>
    </row>
    <row r="759" spans="1:10">
      <c r="A759" s="12" t="str">
        <f>IF(B759="","",COUNTA($B$4:B759))</f>
        <v/>
      </c>
      <c r="B759" s="12"/>
      <c r="C759" s="12"/>
      <c r="D759" s="12"/>
      <c r="E759" s="12"/>
      <c r="F759" s="12"/>
      <c r="G759" s="12"/>
      <c r="H759" s="12"/>
      <c r="I759" s="13"/>
      <c r="J759" s="12"/>
    </row>
    <row r="760" spans="1:10">
      <c r="A760" s="12" t="str">
        <f>IF(B760="","",COUNTA($B$4:B760))</f>
        <v/>
      </c>
      <c r="B760" s="12"/>
      <c r="C760" s="12"/>
      <c r="D760" s="12"/>
      <c r="E760" s="12"/>
      <c r="F760" s="12"/>
      <c r="G760" s="12"/>
      <c r="H760" s="12"/>
      <c r="I760" s="13"/>
      <c r="J760" s="12"/>
    </row>
    <row r="761" spans="1:10">
      <c r="A761" s="12" t="str">
        <f>IF(B761="","",COUNTA($B$4:B761))</f>
        <v/>
      </c>
      <c r="B761" s="12"/>
      <c r="C761" s="12"/>
      <c r="D761" s="12"/>
      <c r="E761" s="12"/>
      <c r="F761" s="12"/>
      <c r="G761" s="12"/>
      <c r="H761" s="12"/>
      <c r="I761" s="13"/>
      <c r="J761" s="12"/>
    </row>
    <row r="762" spans="1:10">
      <c r="A762" s="12" t="str">
        <f>IF(B762="","",COUNTA($B$4:B762))</f>
        <v/>
      </c>
      <c r="B762" s="12"/>
      <c r="C762" s="12"/>
      <c r="D762" s="12"/>
      <c r="E762" s="12"/>
      <c r="F762" s="12"/>
      <c r="G762" s="12"/>
      <c r="H762" s="12"/>
      <c r="I762" s="13"/>
      <c r="J762" s="12"/>
    </row>
    <row r="763" spans="1:10">
      <c r="A763" s="12" t="str">
        <f>IF(B763="","",COUNTA($B$4:B763))</f>
        <v/>
      </c>
      <c r="B763" s="12"/>
      <c r="C763" s="12"/>
      <c r="D763" s="12"/>
      <c r="E763" s="12"/>
      <c r="F763" s="12"/>
      <c r="G763" s="12"/>
      <c r="H763" s="12"/>
      <c r="I763" s="13"/>
      <c r="J763" s="12"/>
    </row>
    <row r="764" spans="1:10">
      <c r="A764" s="12" t="str">
        <f>IF(B764="","",COUNTA($B$4:B764))</f>
        <v/>
      </c>
      <c r="B764" s="12"/>
      <c r="C764" s="12"/>
      <c r="D764" s="12"/>
      <c r="E764" s="12"/>
      <c r="F764" s="12"/>
      <c r="G764" s="12"/>
      <c r="H764" s="12"/>
      <c r="I764" s="13"/>
      <c r="J764" s="12"/>
    </row>
    <row r="765" spans="1:10">
      <c r="A765" s="12" t="str">
        <f>IF(B765="","",COUNTA($B$4:B765))</f>
        <v/>
      </c>
      <c r="B765" s="12"/>
      <c r="C765" s="12"/>
      <c r="D765" s="12"/>
      <c r="E765" s="12"/>
      <c r="F765" s="12"/>
      <c r="G765" s="12"/>
      <c r="H765" s="12"/>
      <c r="I765" s="13"/>
      <c r="J765" s="12"/>
    </row>
    <row r="766" spans="1:10">
      <c r="A766" s="12" t="str">
        <f>IF(B766="","",COUNTA($B$4:B766))</f>
        <v/>
      </c>
      <c r="B766" s="12"/>
      <c r="C766" s="12"/>
      <c r="D766" s="12"/>
      <c r="E766" s="12"/>
      <c r="F766" s="12"/>
      <c r="G766" s="12"/>
      <c r="H766" s="12"/>
      <c r="I766" s="13"/>
      <c r="J766" s="12"/>
    </row>
    <row r="767" spans="1:10">
      <c r="A767" s="12" t="str">
        <f>IF(B767="","",COUNTA($B$4:B767))</f>
        <v/>
      </c>
      <c r="B767" s="12"/>
      <c r="C767" s="12"/>
      <c r="D767" s="12"/>
      <c r="E767" s="12"/>
      <c r="F767" s="12"/>
      <c r="G767" s="12"/>
      <c r="H767" s="12"/>
      <c r="I767" s="13"/>
      <c r="J767" s="12"/>
    </row>
    <row r="768" spans="1:10">
      <c r="A768" s="12" t="str">
        <f>IF(B768="","",COUNTA($B$4:B768))</f>
        <v/>
      </c>
      <c r="B768" s="12"/>
      <c r="C768" s="12"/>
      <c r="D768" s="12"/>
      <c r="E768" s="12"/>
      <c r="F768" s="12"/>
      <c r="G768" s="12"/>
      <c r="H768" s="12"/>
      <c r="I768" s="13"/>
      <c r="J768" s="12"/>
    </row>
    <row r="769" spans="1:10">
      <c r="A769" s="12" t="str">
        <f>IF(B769="","",COUNTA($B$4:B769))</f>
        <v/>
      </c>
      <c r="B769" s="12"/>
      <c r="C769" s="12"/>
      <c r="D769" s="12"/>
      <c r="E769" s="12"/>
      <c r="F769" s="12"/>
      <c r="G769" s="12"/>
      <c r="H769" s="12"/>
      <c r="I769" s="13"/>
      <c r="J769" s="12"/>
    </row>
    <row r="770" spans="1:10">
      <c r="A770" s="12" t="str">
        <f>IF(B770="","",COUNTA($B$4:B770))</f>
        <v/>
      </c>
      <c r="B770" s="12"/>
      <c r="C770" s="12"/>
      <c r="D770" s="12"/>
      <c r="E770" s="12"/>
      <c r="F770" s="12"/>
      <c r="G770" s="12"/>
      <c r="H770" s="12"/>
      <c r="I770" s="13"/>
      <c r="J770" s="12"/>
    </row>
    <row r="771" spans="1:10">
      <c r="A771" s="12" t="str">
        <f>IF(B771="","",COUNTA($B$4:B771))</f>
        <v/>
      </c>
      <c r="B771" s="12"/>
      <c r="C771" s="12"/>
      <c r="D771" s="12"/>
      <c r="E771" s="12"/>
      <c r="F771" s="12"/>
      <c r="G771" s="12"/>
      <c r="H771" s="12"/>
      <c r="I771" s="13"/>
      <c r="J771" s="12"/>
    </row>
    <row r="772" spans="1:10">
      <c r="A772" s="12" t="str">
        <f>IF(B772="","",COUNTA($B$4:B772))</f>
        <v/>
      </c>
      <c r="B772" s="12"/>
      <c r="C772" s="12"/>
      <c r="D772" s="12"/>
      <c r="E772" s="12"/>
      <c r="F772" s="12"/>
      <c r="G772" s="12"/>
      <c r="H772" s="12"/>
      <c r="I772" s="13"/>
      <c r="J772" s="12"/>
    </row>
    <row r="773" spans="1:10">
      <c r="A773" s="12" t="str">
        <f>IF(B773="","",COUNTA($B$4:B773))</f>
        <v/>
      </c>
      <c r="B773" s="12"/>
      <c r="C773" s="12"/>
      <c r="D773" s="12"/>
      <c r="E773" s="12"/>
      <c r="F773" s="12"/>
      <c r="G773" s="12"/>
      <c r="H773" s="12"/>
      <c r="I773" s="13"/>
      <c r="J773" s="12"/>
    </row>
    <row r="774" spans="1:10">
      <c r="A774" s="12" t="str">
        <f>IF(B774="","",COUNTA($B$4:B774))</f>
        <v/>
      </c>
      <c r="B774" s="12"/>
      <c r="C774" s="12"/>
      <c r="D774" s="12"/>
      <c r="E774" s="12"/>
      <c r="F774" s="12"/>
      <c r="G774" s="12"/>
      <c r="H774" s="12"/>
      <c r="I774" s="13"/>
      <c r="J774" s="12"/>
    </row>
    <row r="775" spans="1:10">
      <c r="A775" s="12" t="str">
        <f>IF(B775="","",COUNTA($B$4:B775))</f>
        <v/>
      </c>
      <c r="B775" s="12"/>
      <c r="C775" s="12"/>
      <c r="D775" s="12"/>
      <c r="E775" s="12"/>
      <c r="F775" s="12"/>
      <c r="G775" s="12"/>
      <c r="H775" s="12"/>
      <c r="I775" s="13"/>
      <c r="J775" s="12"/>
    </row>
    <row r="776" spans="1:10">
      <c r="A776" s="12" t="str">
        <f>IF(B776="","",COUNTA($B$4:B776))</f>
        <v/>
      </c>
      <c r="B776" s="12"/>
      <c r="C776" s="12"/>
      <c r="D776" s="12"/>
      <c r="E776" s="12"/>
      <c r="F776" s="12"/>
      <c r="G776" s="12"/>
      <c r="H776" s="12"/>
      <c r="I776" s="13"/>
      <c r="J776" s="12"/>
    </row>
    <row r="777" spans="1:10">
      <c r="A777" s="12" t="str">
        <f>IF(B777="","",COUNTA($B$4:B777))</f>
        <v/>
      </c>
      <c r="B777" s="12"/>
      <c r="C777" s="12"/>
      <c r="D777" s="12"/>
      <c r="E777" s="12"/>
      <c r="F777" s="12"/>
      <c r="G777" s="12"/>
      <c r="H777" s="12"/>
      <c r="I777" s="13"/>
      <c r="J777" s="12"/>
    </row>
    <row r="778" spans="1:10">
      <c r="A778" s="12" t="str">
        <f>IF(B778="","",COUNTA($B$4:B778))</f>
        <v/>
      </c>
      <c r="B778" s="12"/>
      <c r="C778" s="12"/>
      <c r="D778" s="12"/>
      <c r="E778" s="12"/>
      <c r="F778" s="12"/>
      <c r="G778" s="12"/>
      <c r="H778" s="12"/>
      <c r="I778" s="13"/>
      <c r="J778" s="12"/>
    </row>
    <row r="779" spans="1:10">
      <c r="A779" s="12" t="str">
        <f>IF(B779="","",COUNTA($B$4:B779))</f>
        <v/>
      </c>
      <c r="B779" s="12"/>
      <c r="C779" s="12"/>
      <c r="D779" s="12"/>
      <c r="E779" s="12"/>
      <c r="F779" s="12"/>
      <c r="G779" s="12"/>
      <c r="H779" s="12"/>
      <c r="I779" s="13"/>
      <c r="J779" s="12"/>
    </row>
    <row r="780" spans="1:10">
      <c r="A780" s="12" t="str">
        <f>IF(B780="","",COUNTA($B$4:B780))</f>
        <v/>
      </c>
      <c r="B780" s="12"/>
      <c r="C780" s="12"/>
      <c r="D780" s="12"/>
      <c r="E780" s="12"/>
      <c r="F780" s="12"/>
      <c r="G780" s="12"/>
      <c r="H780" s="12"/>
      <c r="I780" s="13"/>
      <c r="J780" s="12"/>
    </row>
    <row r="781" spans="1:10">
      <c r="A781" s="12" t="str">
        <f>IF(B781="","",COUNTA($B$4:B781))</f>
        <v/>
      </c>
      <c r="B781" s="12"/>
      <c r="C781" s="12"/>
      <c r="D781" s="12"/>
      <c r="E781" s="12"/>
      <c r="F781" s="12"/>
      <c r="G781" s="12"/>
      <c r="H781" s="12"/>
      <c r="I781" s="13"/>
      <c r="J781" s="12"/>
    </row>
    <row r="782" spans="1:10">
      <c r="A782" s="12" t="str">
        <f>IF(B782="","",COUNTA($B$4:B782))</f>
        <v/>
      </c>
      <c r="B782" s="12"/>
      <c r="C782" s="12"/>
      <c r="D782" s="12"/>
      <c r="E782" s="12"/>
      <c r="F782" s="12"/>
      <c r="G782" s="12"/>
      <c r="H782" s="12"/>
      <c r="I782" s="13"/>
      <c r="J782" s="12"/>
    </row>
    <row r="783" spans="1:10">
      <c r="A783" s="12" t="str">
        <f>IF(B783="","",COUNTA($B$4:B783))</f>
        <v/>
      </c>
      <c r="B783" s="12"/>
      <c r="C783" s="12"/>
      <c r="D783" s="12"/>
      <c r="E783" s="12"/>
      <c r="F783" s="12"/>
      <c r="G783" s="12"/>
      <c r="H783" s="12"/>
      <c r="I783" s="13"/>
      <c r="J783" s="12"/>
    </row>
    <row r="784" spans="1:10">
      <c r="A784" s="12" t="str">
        <f>IF(B784="","",COUNTA($B$4:B784))</f>
        <v/>
      </c>
      <c r="B784" s="12"/>
      <c r="C784" s="12"/>
      <c r="D784" s="12"/>
      <c r="E784" s="12"/>
      <c r="F784" s="12"/>
      <c r="G784" s="12"/>
      <c r="H784" s="12"/>
      <c r="I784" s="13"/>
      <c r="J784" s="12"/>
    </row>
    <row r="785" spans="1:10">
      <c r="A785" s="12" t="str">
        <f>IF(B785="","",COUNTA($B$4:B785))</f>
        <v/>
      </c>
      <c r="B785" s="12"/>
      <c r="C785" s="12"/>
      <c r="D785" s="12"/>
      <c r="E785" s="12"/>
      <c r="F785" s="12"/>
      <c r="G785" s="12"/>
      <c r="H785" s="12"/>
      <c r="I785" s="13"/>
      <c r="J785" s="12"/>
    </row>
    <row r="786" spans="1:10">
      <c r="A786" s="12" t="str">
        <f>IF(B786="","",COUNTA($B$4:B786))</f>
        <v/>
      </c>
      <c r="B786" s="12"/>
      <c r="C786" s="12"/>
      <c r="D786" s="12"/>
      <c r="E786" s="12"/>
      <c r="F786" s="12"/>
      <c r="G786" s="12"/>
      <c r="H786" s="12"/>
      <c r="I786" s="13"/>
      <c r="J786" s="12"/>
    </row>
    <row r="787" spans="1:10">
      <c r="A787" s="12" t="str">
        <f>IF(B787="","",COUNTA($B$4:B787))</f>
        <v/>
      </c>
      <c r="B787" s="12"/>
      <c r="C787" s="12"/>
      <c r="D787" s="12"/>
      <c r="E787" s="12"/>
      <c r="F787" s="12"/>
      <c r="G787" s="12"/>
      <c r="H787" s="12"/>
      <c r="I787" s="13"/>
      <c r="J787" s="12"/>
    </row>
    <row r="788" spans="1:10">
      <c r="A788" s="12" t="str">
        <f>IF(B788="","",COUNTA($B$4:B788))</f>
        <v/>
      </c>
      <c r="B788" s="12"/>
      <c r="C788" s="12"/>
      <c r="D788" s="12"/>
      <c r="E788" s="12"/>
      <c r="F788" s="12"/>
      <c r="G788" s="12"/>
      <c r="H788" s="12"/>
      <c r="I788" s="13"/>
      <c r="J788" s="12"/>
    </row>
    <row r="789" spans="1:10">
      <c r="A789" s="12" t="str">
        <f>IF(B789="","",COUNTA($B$4:B789))</f>
        <v/>
      </c>
      <c r="B789" s="12"/>
      <c r="C789" s="12"/>
      <c r="D789" s="12"/>
      <c r="E789" s="12"/>
      <c r="F789" s="12"/>
      <c r="G789" s="12"/>
      <c r="H789" s="12"/>
      <c r="I789" s="13"/>
      <c r="J789" s="12"/>
    </row>
    <row r="790" spans="1:10">
      <c r="A790" s="12" t="str">
        <f>IF(B790="","",COUNTA($B$4:B790))</f>
        <v/>
      </c>
      <c r="B790" s="12"/>
      <c r="C790" s="12"/>
      <c r="D790" s="12"/>
      <c r="E790" s="12"/>
      <c r="F790" s="12"/>
      <c r="G790" s="12"/>
      <c r="H790" s="12"/>
      <c r="I790" s="13"/>
      <c r="J790" s="12"/>
    </row>
    <row r="791" spans="1:10">
      <c r="A791" s="12" t="str">
        <f>IF(B791="","",COUNTA($B$4:B791))</f>
        <v/>
      </c>
      <c r="B791" s="12"/>
      <c r="C791" s="12"/>
      <c r="D791" s="12"/>
      <c r="E791" s="12"/>
      <c r="F791" s="12"/>
      <c r="G791" s="12"/>
      <c r="H791" s="12"/>
      <c r="I791" s="13"/>
      <c r="J791" s="12"/>
    </row>
    <row r="792" spans="1:10">
      <c r="A792" s="12" t="str">
        <f>IF(B792="","",COUNTA($B$4:B792))</f>
        <v/>
      </c>
      <c r="B792" s="12"/>
      <c r="C792" s="12"/>
      <c r="D792" s="12"/>
      <c r="E792" s="12"/>
      <c r="F792" s="12"/>
      <c r="G792" s="12"/>
      <c r="H792" s="12"/>
      <c r="I792" s="13"/>
      <c r="J792" s="12"/>
    </row>
    <row r="793" spans="1:10">
      <c r="A793" s="12" t="str">
        <f>IF(B793="","",COUNTA($B$4:B793))</f>
        <v/>
      </c>
      <c r="B793" s="12"/>
      <c r="C793" s="12"/>
      <c r="D793" s="12"/>
      <c r="E793" s="12"/>
      <c r="F793" s="12"/>
      <c r="G793" s="12"/>
      <c r="H793" s="12"/>
      <c r="I793" s="13"/>
      <c r="J793" s="12"/>
    </row>
    <row r="794" spans="1:10">
      <c r="A794" s="12" t="str">
        <f>IF(B794="","",COUNTA($B$4:B794))</f>
        <v/>
      </c>
      <c r="B794" s="12"/>
      <c r="C794" s="12"/>
      <c r="D794" s="12"/>
      <c r="E794" s="12"/>
      <c r="F794" s="12"/>
      <c r="G794" s="12"/>
      <c r="H794" s="12"/>
      <c r="I794" s="13"/>
      <c r="J794" s="12"/>
    </row>
    <row r="795" spans="1:10">
      <c r="A795" s="12" t="str">
        <f>IF(B795="","",COUNTA($B$4:B795))</f>
        <v/>
      </c>
      <c r="B795" s="12"/>
      <c r="C795" s="12"/>
      <c r="D795" s="12"/>
      <c r="E795" s="12"/>
      <c r="F795" s="12"/>
      <c r="G795" s="12"/>
      <c r="H795" s="12"/>
      <c r="I795" s="13"/>
      <c r="J795" s="12"/>
    </row>
    <row r="796" spans="1:10">
      <c r="A796" s="12" t="str">
        <f>IF(B796="","",COUNTA($B$4:B796))</f>
        <v/>
      </c>
      <c r="B796" s="12"/>
      <c r="C796" s="12"/>
      <c r="D796" s="12"/>
      <c r="E796" s="12"/>
      <c r="F796" s="12"/>
      <c r="G796" s="12"/>
      <c r="H796" s="12"/>
      <c r="I796" s="13"/>
      <c r="J796" s="12"/>
    </row>
    <row r="797" spans="1:10">
      <c r="A797" s="12" t="str">
        <f>IF(B797="","",COUNTA($B$4:B797))</f>
        <v/>
      </c>
      <c r="B797" s="12"/>
      <c r="C797" s="12"/>
      <c r="D797" s="12"/>
      <c r="E797" s="12"/>
      <c r="F797" s="12"/>
      <c r="G797" s="12"/>
      <c r="H797" s="12"/>
      <c r="I797" s="13"/>
      <c r="J797" s="12"/>
    </row>
    <row r="798" spans="1:10">
      <c r="A798" s="12" t="str">
        <f>IF(B798="","",COUNTA($B$4:B798))</f>
        <v/>
      </c>
      <c r="B798" s="12"/>
      <c r="C798" s="12"/>
      <c r="D798" s="12"/>
      <c r="E798" s="12"/>
      <c r="F798" s="12"/>
      <c r="G798" s="12"/>
      <c r="H798" s="12"/>
      <c r="I798" s="13"/>
      <c r="J798" s="12"/>
    </row>
    <row r="799" spans="1:10">
      <c r="A799" s="12" t="str">
        <f>IF(B799="","",COUNTA($B$4:B799))</f>
        <v/>
      </c>
      <c r="B799" s="12"/>
      <c r="C799" s="12"/>
      <c r="D799" s="12"/>
      <c r="E799" s="12"/>
      <c r="F799" s="12"/>
      <c r="G799" s="12"/>
      <c r="H799" s="12"/>
      <c r="I799" s="13"/>
      <c r="J799" s="12"/>
    </row>
    <row r="800" spans="1:10">
      <c r="A800" s="12" t="str">
        <f>IF(B800="","",COUNTA($B$4:B800))</f>
        <v/>
      </c>
      <c r="B800" s="12"/>
      <c r="C800" s="12"/>
      <c r="D800" s="12"/>
      <c r="E800" s="12"/>
      <c r="F800" s="12"/>
      <c r="G800" s="12"/>
      <c r="H800" s="12"/>
      <c r="I800" s="13"/>
      <c r="J800" s="12"/>
    </row>
    <row r="801" spans="1:10">
      <c r="A801" s="12" t="str">
        <f>IF(B801="","",COUNTA($B$4:B801))</f>
        <v/>
      </c>
      <c r="B801" s="12"/>
      <c r="C801" s="12"/>
      <c r="D801" s="12"/>
      <c r="E801" s="12"/>
      <c r="F801" s="12"/>
      <c r="G801" s="12"/>
      <c r="H801" s="12"/>
      <c r="I801" s="13"/>
      <c r="J801" s="12"/>
    </row>
    <row r="802" spans="1:10">
      <c r="A802" s="12" t="str">
        <f>IF(B802="","",COUNTA($B$4:B802))</f>
        <v/>
      </c>
      <c r="B802" s="12"/>
      <c r="C802" s="12"/>
      <c r="D802" s="12"/>
      <c r="E802" s="12"/>
      <c r="F802" s="12"/>
      <c r="G802" s="12"/>
      <c r="H802" s="12"/>
      <c r="I802" s="13"/>
      <c r="J802" s="12"/>
    </row>
    <row r="803" spans="1:10">
      <c r="A803" s="12" t="str">
        <f>IF(B803="","",COUNTA($B$4:B803))</f>
        <v/>
      </c>
      <c r="B803" s="12"/>
      <c r="C803" s="12"/>
      <c r="D803" s="12"/>
      <c r="E803" s="12"/>
      <c r="F803" s="12"/>
      <c r="G803" s="12"/>
      <c r="H803" s="12"/>
      <c r="I803" s="13"/>
      <c r="J803" s="12"/>
    </row>
    <row r="804" spans="1:10">
      <c r="A804" s="12" t="str">
        <f>IF(B804="","",COUNTA($B$4:B804))</f>
        <v/>
      </c>
      <c r="B804" s="12"/>
      <c r="C804" s="12"/>
      <c r="D804" s="12"/>
      <c r="E804" s="12"/>
      <c r="F804" s="12"/>
      <c r="G804" s="12"/>
      <c r="H804" s="12"/>
      <c r="I804" s="13"/>
      <c r="J804" s="12"/>
    </row>
    <row r="805" spans="1:10">
      <c r="A805" s="12" t="str">
        <f>IF(B805="","",COUNTA($B$4:B805))</f>
        <v/>
      </c>
      <c r="B805" s="12"/>
      <c r="C805" s="12"/>
      <c r="D805" s="12"/>
      <c r="E805" s="12"/>
      <c r="F805" s="12"/>
      <c r="G805" s="12"/>
      <c r="H805" s="12"/>
      <c r="I805" s="13"/>
      <c r="J805" s="12"/>
    </row>
    <row r="806" spans="1:10">
      <c r="A806" s="12" t="str">
        <f>IF(B806="","",COUNTA($B$4:B806))</f>
        <v/>
      </c>
      <c r="B806" s="12"/>
      <c r="C806" s="12"/>
      <c r="D806" s="12"/>
      <c r="E806" s="12"/>
      <c r="F806" s="12"/>
      <c r="G806" s="12"/>
      <c r="H806" s="12"/>
      <c r="I806" s="13"/>
      <c r="J806" s="12"/>
    </row>
    <row r="807" spans="1:10">
      <c r="A807" s="12" t="str">
        <f>IF(B807="","",COUNTA($B$4:B807))</f>
        <v/>
      </c>
      <c r="B807" s="12"/>
      <c r="C807" s="12"/>
      <c r="D807" s="12"/>
      <c r="E807" s="12"/>
      <c r="F807" s="12"/>
      <c r="G807" s="12"/>
      <c r="H807" s="12"/>
      <c r="I807" s="13"/>
      <c r="J807" s="12"/>
    </row>
    <row r="808" spans="1:10">
      <c r="A808" s="12" t="str">
        <f>IF(B808="","",COUNTA($B$4:B808))</f>
        <v/>
      </c>
      <c r="B808" s="12"/>
      <c r="C808" s="12"/>
      <c r="D808" s="12"/>
      <c r="E808" s="12"/>
      <c r="F808" s="12"/>
      <c r="G808" s="12"/>
      <c r="H808" s="12"/>
      <c r="I808" s="13"/>
      <c r="J808" s="12"/>
    </row>
    <row r="809" spans="1:10">
      <c r="A809" s="12" t="str">
        <f>IF(B809="","",COUNTA($B$4:B809))</f>
        <v/>
      </c>
      <c r="B809" s="12"/>
      <c r="C809" s="12"/>
      <c r="D809" s="12"/>
      <c r="E809" s="12"/>
      <c r="F809" s="12"/>
      <c r="G809" s="12"/>
      <c r="H809" s="12"/>
      <c r="I809" s="13"/>
      <c r="J809" s="12"/>
    </row>
    <row r="810" spans="1:10">
      <c r="A810" s="12" t="str">
        <f>IF(B810="","",COUNTA($B$4:B810))</f>
        <v/>
      </c>
      <c r="B810" s="12"/>
      <c r="C810" s="12"/>
      <c r="D810" s="12"/>
      <c r="E810" s="12"/>
      <c r="F810" s="12"/>
      <c r="G810" s="12"/>
      <c r="H810" s="12"/>
      <c r="I810" s="13"/>
      <c r="J810" s="12"/>
    </row>
    <row r="811" spans="1:10">
      <c r="A811" s="12" t="str">
        <f>IF(B811="","",COUNTA($B$4:B811))</f>
        <v/>
      </c>
      <c r="B811" s="12"/>
      <c r="C811" s="12"/>
      <c r="D811" s="12"/>
      <c r="E811" s="12"/>
      <c r="F811" s="12"/>
      <c r="G811" s="12"/>
      <c r="H811" s="12"/>
      <c r="I811" s="13"/>
      <c r="J811" s="12"/>
    </row>
    <row r="812" spans="1:10">
      <c r="A812" s="12" t="str">
        <f>IF(B812="","",COUNTA($B$4:B812))</f>
        <v/>
      </c>
      <c r="B812" s="12"/>
      <c r="C812" s="12"/>
      <c r="D812" s="12"/>
      <c r="E812" s="12"/>
      <c r="F812" s="12"/>
      <c r="G812" s="12"/>
      <c r="H812" s="12"/>
      <c r="I812" s="13"/>
      <c r="J812" s="12"/>
    </row>
    <row r="813" spans="1:10">
      <c r="A813" s="12" t="str">
        <f>IF(B813="","",COUNTA($B$4:B813))</f>
        <v/>
      </c>
      <c r="B813" s="12"/>
      <c r="C813" s="12"/>
      <c r="D813" s="12"/>
      <c r="E813" s="12"/>
      <c r="F813" s="12"/>
      <c r="G813" s="12"/>
      <c r="H813" s="12"/>
      <c r="I813" s="13"/>
      <c r="J813" s="12"/>
    </row>
  </sheetData>
  <autoFilter ref="A3:I801"/>
  <phoneticPr fontId="12"/>
  <pageMargins left="0.39370078740157483" right="0.39370078740157483" top="0.39370078740157483" bottom="0.39370078740157483" header="0.39370078740157483" footer="0.39370078740157483"/>
  <pageSetup paperSize="9" scale="65" fitToHeight="0" orientation="portrait"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pageSetUpPr autoPageBreaks="0"/>
  </sheetPr>
  <dimension ref="A1:J813"/>
  <sheetViews>
    <sheetView zoomScaleNormal="100" workbookViewId="0">
      <pane ySplit="3" topLeftCell="A4" activePane="bottomLeft" state="frozen"/>
      <selection activeCell="AM25" sqref="AM25"/>
      <selection pane="bottomLeft"/>
    </sheetView>
  </sheetViews>
  <sheetFormatPr defaultRowHeight="14.4"/>
  <cols>
    <col min="1" max="1" width="4.36328125" customWidth="1"/>
    <col min="2" max="2" width="21.7265625" bestFit="1" customWidth="1"/>
    <col min="3" max="3" width="27.36328125" bestFit="1" customWidth="1"/>
    <col min="4" max="4" width="22" bestFit="1" customWidth="1"/>
    <col min="5" max="5" width="20.7265625" bestFit="1" customWidth="1"/>
    <col min="6" max="6" width="6.08984375" bestFit="1" customWidth="1"/>
    <col min="7" max="7" width="8.90625" bestFit="1" customWidth="1"/>
    <col min="8" max="8" width="6.08984375" bestFit="1" customWidth="1"/>
    <col min="9" max="9" width="6.08984375" style="14" bestFit="1" customWidth="1"/>
    <col min="10" max="10" width="8.08984375" bestFit="1" customWidth="1"/>
  </cols>
  <sheetData>
    <row r="1" spans="1:10" ht="18.600000000000001">
      <c r="A1" s="7" t="str">
        <f ca="1">RIGHT(CELL("filename",A1),LEN(CELL("filename",A1))-FIND("]",CELL("filename",A1)))</f>
        <v>項目一覧 (項目別)</v>
      </c>
      <c r="B1" s="8"/>
      <c r="C1" s="8"/>
      <c r="D1" s="8"/>
      <c r="E1" s="8"/>
      <c r="F1" s="8"/>
      <c r="G1" s="8"/>
      <c r="H1" s="8"/>
      <c r="I1" s="9"/>
      <c r="J1" s="9"/>
    </row>
    <row r="2" spans="1:10">
      <c r="J2" s="14"/>
    </row>
    <row r="3" spans="1:10">
      <c r="A3" s="10" t="s">
        <v>87</v>
      </c>
      <c r="B3" s="10" t="s">
        <v>88</v>
      </c>
      <c r="C3" s="10" t="s">
        <v>89</v>
      </c>
      <c r="D3" s="10" t="s">
        <v>90</v>
      </c>
      <c r="E3" s="10" t="s">
        <v>1582</v>
      </c>
      <c r="F3" s="10" t="s">
        <v>91</v>
      </c>
      <c r="G3" s="10" t="s">
        <v>92</v>
      </c>
      <c r="H3" s="10" t="s">
        <v>93</v>
      </c>
      <c r="I3" s="10" t="s">
        <v>94</v>
      </c>
      <c r="J3" s="11" t="s">
        <v>95</v>
      </c>
    </row>
    <row r="4" spans="1:10">
      <c r="A4" s="12">
        <f>IF(B4="","",COUNTA($B$4:B4))</f>
        <v>1</v>
      </c>
      <c r="B4" s="12" t="s">
        <v>2012</v>
      </c>
      <c r="C4" s="12" t="s">
        <v>2019</v>
      </c>
      <c r="D4" s="12" t="s">
        <v>2020</v>
      </c>
      <c r="E4" s="12" t="s">
        <v>2019</v>
      </c>
      <c r="F4" s="12" t="s">
        <v>1861</v>
      </c>
      <c r="G4" s="12" t="s">
        <v>1862</v>
      </c>
      <c r="H4" s="12">
        <v>15</v>
      </c>
      <c r="I4" s="13" t="s">
        <v>1585</v>
      </c>
      <c r="J4" s="12"/>
    </row>
    <row r="5" spans="1:10">
      <c r="A5" s="12">
        <f>IF(B5="","",COUNTA($B$4:B5))</f>
        <v>2</v>
      </c>
      <c r="B5" s="12" t="s">
        <v>2054</v>
      </c>
      <c r="C5" s="12" t="s">
        <v>2019</v>
      </c>
      <c r="D5" s="12" t="s">
        <v>2020</v>
      </c>
      <c r="E5" s="12" t="s">
        <v>2019</v>
      </c>
      <c r="F5" s="12" t="s">
        <v>1861</v>
      </c>
      <c r="G5" s="12" t="s">
        <v>1862</v>
      </c>
      <c r="H5" s="12">
        <v>15</v>
      </c>
      <c r="I5" s="13" t="s">
        <v>1585</v>
      </c>
      <c r="J5" s="12"/>
    </row>
    <row r="6" spans="1:10">
      <c r="A6" s="12">
        <f>IF(B6="","",COUNTA($B$4:B6))</f>
        <v>3</v>
      </c>
      <c r="B6" s="12" t="s">
        <v>2012</v>
      </c>
      <c r="C6" s="12" t="s">
        <v>2021</v>
      </c>
      <c r="D6" s="12" t="s">
        <v>2022</v>
      </c>
      <c r="E6" s="12" t="s">
        <v>2021</v>
      </c>
      <c r="F6" s="12" t="s">
        <v>1899</v>
      </c>
      <c r="G6" s="12" t="s">
        <v>1900</v>
      </c>
      <c r="H6" s="12">
        <v>3</v>
      </c>
      <c r="I6" s="13" t="s">
        <v>1585</v>
      </c>
      <c r="J6" s="12"/>
    </row>
    <row r="7" spans="1:10">
      <c r="A7" s="12">
        <f>IF(B7="","",COUNTA($B$4:B7))</f>
        <v>4</v>
      </c>
      <c r="B7" s="12" t="s">
        <v>2054</v>
      </c>
      <c r="C7" s="12" t="s">
        <v>2021</v>
      </c>
      <c r="D7" s="12" t="s">
        <v>2022</v>
      </c>
      <c r="E7" s="12" t="s">
        <v>2021</v>
      </c>
      <c r="F7" s="12" t="s">
        <v>1899</v>
      </c>
      <c r="G7" s="12" t="s">
        <v>1900</v>
      </c>
      <c r="H7" s="12">
        <v>3</v>
      </c>
      <c r="I7" s="13" t="s">
        <v>1585</v>
      </c>
      <c r="J7" s="12"/>
    </row>
    <row r="8" spans="1:10">
      <c r="A8" s="12">
        <f>IF(B8="","",COUNTA($B$4:B8))</f>
        <v>5</v>
      </c>
      <c r="B8" s="12" t="s">
        <v>2012</v>
      </c>
      <c r="C8" s="12" t="s">
        <v>2032</v>
      </c>
      <c r="D8" s="12" t="s">
        <v>2033</v>
      </c>
      <c r="E8" s="12" t="s">
        <v>2032</v>
      </c>
      <c r="F8" s="12" t="s">
        <v>1861</v>
      </c>
      <c r="G8" s="12" t="s">
        <v>1862</v>
      </c>
      <c r="H8" s="12">
        <v>15</v>
      </c>
      <c r="I8" s="13" t="s">
        <v>1585</v>
      </c>
      <c r="J8" s="12"/>
    </row>
    <row r="9" spans="1:10">
      <c r="A9" s="12">
        <f>IF(B9="","",COUNTA($B$4:B9))</f>
        <v>6</v>
      </c>
      <c r="B9" s="12" t="s">
        <v>2054</v>
      </c>
      <c r="C9" s="12" t="s">
        <v>2032</v>
      </c>
      <c r="D9" s="12" t="s">
        <v>2033</v>
      </c>
      <c r="E9" s="12" t="s">
        <v>2032</v>
      </c>
      <c r="F9" s="12" t="s">
        <v>1861</v>
      </c>
      <c r="G9" s="12" t="s">
        <v>1862</v>
      </c>
      <c r="H9" s="12">
        <v>15</v>
      </c>
      <c r="I9" s="13" t="s">
        <v>1585</v>
      </c>
      <c r="J9" s="12"/>
    </row>
    <row r="10" spans="1:10">
      <c r="A10" s="12">
        <f>IF(B10="","",COUNTA($B$4:B10))</f>
        <v>7</v>
      </c>
      <c r="B10" s="12" t="s">
        <v>2012</v>
      </c>
      <c r="C10" s="12" t="s">
        <v>2034</v>
      </c>
      <c r="D10" s="12" t="s">
        <v>2035</v>
      </c>
      <c r="E10" s="12" t="s">
        <v>2034</v>
      </c>
      <c r="F10" s="12" t="s">
        <v>1899</v>
      </c>
      <c r="G10" s="12" t="s">
        <v>1900</v>
      </c>
      <c r="H10" s="12">
        <v>3</v>
      </c>
      <c r="I10" s="13" t="s">
        <v>1585</v>
      </c>
      <c r="J10" s="12"/>
    </row>
    <row r="11" spans="1:10">
      <c r="A11" s="12">
        <f>IF(B11="","",COUNTA($B$4:B11))</f>
        <v>8</v>
      </c>
      <c r="B11" s="12" t="s">
        <v>2054</v>
      </c>
      <c r="C11" s="12" t="s">
        <v>2034</v>
      </c>
      <c r="D11" s="12" t="s">
        <v>2035</v>
      </c>
      <c r="E11" s="12" t="s">
        <v>2034</v>
      </c>
      <c r="F11" s="12" t="s">
        <v>1899</v>
      </c>
      <c r="G11" s="12" t="s">
        <v>1900</v>
      </c>
      <c r="H11" s="12">
        <v>3</v>
      </c>
      <c r="I11" s="13" t="s">
        <v>1585</v>
      </c>
      <c r="J11" s="12"/>
    </row>
    <row r="12" spans="1:10">
      <c r="A12" s="12">
        <f>IF(B12="","",COUNTA($B$4:B12))</f>
        <v>9</v>
      </c>
      <c r="B12" s="12" t="s">
        <v>2153</v>
      </c>
      <c r="C12" s="12" t="s">
        <v>2155</v>
      </c>
      <c r="D12" s="12" t="s">
        <v>1484</v>
      </c>
      <c r="E12" s="12" t="s">
        <v>2155</v>
      </c>
      <c r="F12" s="12" t="s">
        <v>1861</v>
      </c>
      <c r="G12" s="12" t="s">
        <v>1862</v>
      </c>
      <c r="H12" s="12">
        <v>15</v>
      </c>
      <c r="I12" s="13" t="s">
        <v>1585</v>
      </c>
      <c r="J12" s="12"/>
    </row>
    <row r="13" spans="1:10">
      <c r="A13" s="12">
        <f>IF(B13="","",COUNTA($B$4:B13))</f>
        <v>10</v>
      </c>
      <c r="B13" s="12" t="s">
        <v>2153</v>
      </c>
      <c r="C13" s="12" t="s">
        <v>2156</v>
      </c>
      <c r="D13" s="12" t="s">
        <v>1397</v>
      </c>
      <c r="E13" s="12" t="s">
        <v>2156</v>
      </c>
      <c r="F13" s="12" t="s">
        <v>1861</v>
      </c>
      <c r="G13" s="12" t="s">
        <v>1862</v>
      </c>
      <c r="H13" s="12">
        <v>4</v>
      </c>
      <c r="I13" s="13" t="s">
        <v>1585</v>
      </c>
      <c r="J13" s="12"/>
    </row>
    <row r="14" spans="1:10">
      <c r="A14" s="12">
        <f>IF(B14="","",COUNTA($B$4:B14))</f>
        <v>11</v>
      </c>
      <c r="B14" s="12" t="s">
        <v>2153</v>
      </c>
      <c r="C14" s="12" t="s">
        <v>2157</v>
      </c>
      <c r="D14" s="12" t="s">
        <v>1485</v>
      </c>
      <c r="E14" s="12" t="s">
        <v>2157</v>
      </c>
      <c r="F14" s="12" t="s">
        <v>1899</v>
      </c>
      <c r="G14" s="12" t="s">
        <v>1900</v>
      </c>
      <c r="H14" s="12">
        <v>5</v>
      </c>
      <c r="I14" s="13" t="s">
        <v>1585</v>
      </c>
      <c r="J14" s="12"/>
    </row>
    <row r="15" spans="1:10">
      <c r="A15" s="12">
        <f>IF(B15="","",COUNTA($B$4:B15))</f>
        <v>12</v>
      </c>
      <c r="B15" s="12" t="s">
        <v>2153</v>
      </c>
      <c r="C15" s="12" t="s">
        <v>2168</v>
      </c>
      <c r="D15" s="12" t="s">
        <v>2169</v>
      </c>
      <c r="E15" s="12" t="s">
        <v>2168</v>
      </c>
      <c r="F15" s="12" t="s">
        <v>1899</v>
      </c>
      <c r="G15" s="12" t="s">
        <v>1900</v>
      </c>
      <c r="H15" s="12">
        <v>3</v>
      </c>
      <c r="I15" s="13" t="s">
        <v>1585</v>
      </c>
      <c r="J15" s="12"/>
    </row>
    <row r="16" spans="1:10">
      <c r="A16" s="12">
        <f>IF(B16="","",COUNTA($B$4:B16))</f>
        <v>13</v>
      </c>
      <c r="B16" s="12" t="s">
        <v>2190</v>
      </c>
      <c r="C16" s="12" t="s">
        <v>2168</v>
      </c>
      <c r="D16" s="12" t="s">
        <v>1488</v>
      </c>
      <c r="E16" s="12" t="s">
        <v>2168</v>
      </c>
      <c r="F16" s="12" t="s">
        <v>1899</v>
      </c>
      <c r="G16" s="12" t="s">
        <v>1900</v>
      </c>
      <c r="H16" s="12">
        <v>3</v>
      </c>
      <c r="I16" s="13" t="s">
        <v>1585</v>
      </c>
      <c r="J16" s="12"/>
    </row>
    <row r="17" spans="1:10">
      <c r="A17" s="12">
        <f>IF(B17="","",COUNTA($B$4:B17))</f>
        <v>14</v>
      </c>
      <c r="B17" s="12" t="s">
        <v>2153</v>
      </c>
      <c r="C17" s="12" t="s">
        <v>2166</v>
      </c>
      <c r="D17" s="12" t="s">
        <v>2150</v>
      </c>
      <c r="E17" s="12" t="s">
        <v>2166</v>
      </c>
      <c r="F17" s="12" t="s">
        <v>1861</v>
      </c>
      <c r="G17" s="12" t="s">
        <v>1862</v>
      </c>
      <c r="H17" s="12">
        <v>2</v>
      </c>
      <c r="I17" s="13" t="s">
        <v>1585</v>
      </c>
      <c r="J17" s="12"/>
    </row>
    <row r="18" spans="1:10">
      <c r="A18" s="12">
        <f>IF(B18="","",COUNTA($B$4:B18))</f>
        <v>15</v>
      </c>
      <c r="B18" s="12" t="s">
        <v>2190</v>
      </c>
      <c r="C18" s="12" t="s">
        <v>2166</v>
      </c>
      <c r="D18" s="12" t="s">
        <v>702</v>
      </c>
      <c r="E18" s="12" t="s">
        <v>2166</v>
      </c>
      <c r="F18" s="12" t="s">
        <v>1861</v>
      </c>
      <c r="G18" s="12" t="s">
        <v>1862</v>
      </c>
      <c r="H18" s="12">
        <v>2</v>
      </c>
      <c r="I18" s="13" t="s">
        <v>1585</v>
      </c>
      <c r="J18" s="12"/>
    </row>
    <row r="19" spans="1:10">
      <c r="A19" s="12">
        <f>IF(B19="","",COUNTA($B$4:B19))</f>
        <v>16</v>
      </c>
      <c r="B19" s="12" t="s">
        <v>2153</v>
      </c>
      <c r="C19" s="12" t="s">
        <v>2162</v>
      </c>
      <c r="D19" s="12" t="s">
        <v>384</v>
      </c>
      <c r="E19" s="12" t="s">
        <v>2162</v>
      </c>
      <c r="F19" s="12" t="s">
        <v>1861</v>
      </c>
      <c r="G19" s="12" t="s">
        <v>1862</v>
      </c>
      <c r="H19" s="12">
        <v>2</v>
      </c>
      <c r="I19" s="13" t="s">
        <v>1585</v>
      </c>
      <c r="J19" s="12"/>
    </row>
    <row r="20" spans="1:10">
      <c r="A20" s="12">
        <f>IF(B20="","",COUNTA($B$4:B20))</f>
        <v>17</v>
      </c>
      <c r="B20" s="12" t="s">
        <v>2190</v>
      </c>
      <c r="C20" s="12" t="s">
        <v>2162</v>
      </c>
      <c r="D20" s="12" t="s">
        <v>384</v>
      </c>
      <c r="E20" s="12" t="s">
        <v>2162</v>
      </c>
      <c r="F20" s="12" t="s">
        <v>1861</v>
      </c>
      <c r="G20" s="12" t="s">
        <v>1862</v>
      </c>
      <c r="H20" s="12">
        <v>2</v>
      </c>
      <c r="I20" s="13" t="s">
        <v>1585</v>
      </c>
      <c r="J20" s="12"/>
    </row>
    <row r="21" spans="1:10">
      <c r="A21" s="12">
        <f>IF(B21="","",COUNTA($B$4:B21))</f>
        <v>18</v>
      </c>
      <c r="B21" s="12" t="s">
        <v>2153</v>
      </c>
      <c r="C21" s="12" t="s">
        <v>2161</v>
      </c>
      <c r="D21" s="61"/>
      <c r="E21" s="12" t="s">
        <v>2161</v>
      </c>
      <c r="F21" s="12" t="s">
        <v>1879</v>
      </c>
      <c r="G21" s="12" t="s">
        <v>1880</v>
      </c>
      <c r="H21" s="12"/>
      <c r="I21" s="13" t="s">
        <v>1585</v>
      </c>
      <c r="J21" s="12"/>
    </row>
    <row r="22" spans="1:10">
      <c r="A22" s="12">
        <f>IF(B22="","",COUNTA($B$4:B22))</f>
        <v>19</v>
      </c>
      <c r="B22" s="12" t="s">
        <v>2190</v>
      </c>
      <c r="C22" s="12" t="s">
        <v>2161</v>
      </c>
      <c r="D22" s="61"/>
      <c r="E22" s="12" t="s">
        <v>2161</v>
      </c>
      <c r="F22" s="12" t="s">
        <v>1879</v>
      </c>
      <c r="G22" s="12" t="s">
        <v>1880</v>
      </c>
      <c r="H22" s="12"/>
      <c r="I22" s="13" t="s">
        <v>1585</v>
      </c>
      <c r="J22" s="12"/>
    </row>
    <row r="23" spans="1:10">
      <c r="A23" s="12">
        <f>IF(B23="","",COUNTA($B$4:B23))</f>
        <v>20</v>
      </c>
      <c r="B23" s="12" t="s">
        <v>2153</v>
      </c>
      <c r="C23" s="12" t="s">
        <v>2164</v>
      </c>
      <c r="D23" s="12" t="s">
        <v>2165</v>
      </c>
      <c r="E23" s="12" t="s">
        <v>2164</v>
      </c>
      <c r="F23" s="12" t="s">
        <v>1861</v>
      </c>
      <c r="G23" s="12" t="s">
        <v>1862</v>
      </c>
      <c r="H23" s="12">
        <v>2</v>
      </c>
      <c r="I23" s="13"/>
      <c r="J23" s="12"/>
    </row>
    <row r="24" spans="1:10">
      <c r="A24" s="12">
        <f>IF(B24="","",COUNTA($B$4:B24))</f>
        <v>21</v>
      </c>
      <c r="B24" s="12" t="s">
        <v>2190</v>
      </c>
      <c r="C24" s="12" t="s">
        <v>2164</v>
      </c>
      <c r="D24" s="12" t="s">
        <v>1487</v>
      </c>
      <c r="E24" s="12" t="s">
        <v>2164</v>
      </c>
      <c r="F24" s="12" t="s">
        <v>1861</v>
      </c>
      <c r="G24" s="12" t="s">
        <v>1862</v>
      </c>
      <c r="H24" s="12">
        <v>2</v>
      </c>
      <c r="I24" s="13"/>
      <c r="J24" s="12"/>
    </row>
    <row r="25" spans="1:10">
      <c r="A25" s="12">
        <f>IF(B25="","",COUNTA($B$4:B25))</f>
        <v>22</v>
      </c>
      <c r="B25" s="12" t="s">
        <v>2153</v>
      </c>
      <c r="C25" s="12" t="s">
        <v>2158</v>
      </c>
      <c r="D25" s="12" t="s">
        <v>1404</v>
      </c>
      <c r="E25" s="12" t="s">
        <v>2158</v>
      </c>
      <c r="F25" s="12" t="s">
        <v>1861</v>
      </c>
      <c r="G25" s="12" t="s">
        <v>1862</v>
      </c>
      <c r="H25" s="12">
        <v>15</v>
      </c>
      <c r="I25" s="13" t="s">
        <v>1585</v>
      </c>
      <c r="J25" s="12"/>
    </row>
    <row r="26" spans="1:10">
      <c r="A26" s="12">
        <f>IF(B26="","",COUNTA($B$4:B26))</f>
        <v>23</v>
      </c>
      <c r="B26" s="12" t="s">
        <v>2153</v>
      </c>
      <c r="C26" s="12" t="s">
        <v>2160</v>
      </c>
      <c r="D26" s="12" t="s">
        <v>1486</v>
      </c>
      <c r="E26" s="12" t="s">
        <v>2160</v>
      </c>
      <c r="F26" s="12" t="s">
        <v>1879</v>
      </c>
      <c r="G26" s="12" t="s">
        <v>1880</v>
      </c>
      <c r="H26" s="12"/>
      <c r="I26" s="13" t="s">
        <v>1585</v>
      </c>
      <c r="J26" s="12"/>
    </row>
    <row r="27" spans="1:10">
      <c r="A27" s="12">
        <f>IF(B27="","",COUNTA($B$4:B27))</f>
        <v>24</v>
      </c>
      <c r="B27" s="12" t="s">
        <v>2190</v>
      </c>
      <c r="C27" s="12" t="s">
        <v>2160</v>
      </c>
      <c r="D27" s="12" t="s">
        <v>1486</v>
      </c>
      <c r="E27" s="12" t="s">
        <v>2160</v>
      </c>
      <c r="F27" s="12" t="s">
        <v>1879</v>
      </c>
      <c r="G27" s="12" t="s">
        <v>1880</v>
      </c>
      <c r="H27" s="12"/>
      <c r="I27" s="13" t="s">
        <v>1585</v>
      </c>
      <c r="J27" s="12"/>
    </row>
    <row r="28" spans="1:10">
      <c r="A28" s="12">
        <f>IF(B28="","",COUNTA($B$4:B28))</f>
        <v>25</v>
      </c>
      <c r="B28" s="12" t="s">
        <v>2153</v>
      </c>
      <c r="C28" s="12" t="s">
        <v>2159</v>
      </c>
      <c r="D28" s="12" t="s">
        <v>627</v>
      </c>
      <c r="E28" s="12" t="s">
        <v>2159</v>
      </c>
      <c r="F28" s="12" t="s">
        <v>1861</v>
      </c>
      <c r="G28" s="12" t="s">
        <v>1862</v>
      </c>
      <c r="H28" s="12">
        <v>15</v>
      </c>
      <c r="I28" s="13" t="s">
        <v>1585</v>
      </c>
      <c r="J28" s="12"/>
    </row>
    <row r="29" spans="1:10">
      <c r="A29" s="12">
        <f>IF(B29="","",COUNTA($B$4:B29))</f>
        <v>26</v>
      </c>
      <c r="B29" s="12" t="s">
        <v>2190</v>
      </c>
      <c r="C29" s="12" t="s">
        <v>2159</v>
      </c>
      <c r="D29" s="12" t="s">
        <v>627</v>
      </c>
      <c r="E29" s="12" t="s">
        <v>2159</v>
      </c>
      <c r="F29" s="12" t="s">
        <v>1861</v>
      </c>
      <c r="G29" s="12" t="s">
        <v>1862</v>
      </c>
      <c r="H29" s="12">
        <v>15</v>
      </c>
      <c r="I29" s="13" t="s">
        <v>1585</v>
      </c>
      <c r="J29" s="12" t="s">
        <v>1918</v>
      </c>
    </row>
    <row r="30" spans="1:10">
      <c r="A30" s="12">
        <f>IF(B30="","",COUNTA($B$4:B30))</f>
        <v>27</v>
      </c>
      <c r="B30" s="12" t="s">
        <v>2153</v>
      </c>
      <c r="C30" s="12" t="s">
        <v>2163</v>
      </c>
      <c r="D30" s="12" t="s">
        <v>494</v>
      </c>
      <c r="E30" s="12" t="s">
        <v>2163</v>
      </c>
      <c r="F30" s="12" t="s">
        <v>1861</v>
      </c>
      <c r="G30" s="12" t="s">
        <v>1862</v>
      </c>
      <c r="H30" s="12">
        <v>4</v>
      </c>
      <c r="I30" s="13" t="s">
        <v>1585</v>
      </c>
      <c r="J30" s="12"/>
    </row>
    <row r="31" spans="1:10">
      <c r="A31" s="12">
        <f>IF(B31="","",COUNTA($B$4:B31))</f>
        <v>28</v>
      </c>
      <c r="B31" s="12" t="s">
        <v>2190</v>
      </c>
      <c r="C31" s="12" t="s">
        <v>2163</v>
      </c>
      <c r="D31" s="12" t="s">
        <v>494</v>
      </c>
      <c r="E31" s="12" t="s">
        <v>2163</v>
      </c>
      <c r="F31" s="12" t="s">
        <v>1861</v>
      </c>
      <c r="G31" s="12" t="s">
        <v>1862</v>
      </c>
      <c r="H31" s="12">
        <v>4</v>
      </c>
      <c r="I31" s="13" t="s">
        <v>1585</v>
      </c>
      <c r="J31" s="12"/>
    </row>
    <row r="32" spans="1:10">
      <c r="A32" s="12">
        <f>IF(B32="","",COUNTA($B$4:B32))</f>
        <v>29</v>
      </c>
      <c r="B32" s="12" t="s">
        <v>2153</v>
      </c>
      <c r="C32" s="12" t="s">
        <v>2167</v>
      </c>
      <c r="D32" s="61"/>
      <c r="E32" s="12" t="s">
        <v>2167</v>
      </c>
      <c r="F32" s="12" t="s">
        <v>1861</v>
      </c>
      <c r="G32" s="12" t="s">
        <v>1862</v>
      </c>
      <c r="H32" s="12">
        <v>2</v>
      </c>
      <c r="I32" s="13"/>
      <c r="J32" s="12"/>
    </row>
    <row r="33" spans="1:10">
      <c r="A33" s="12">
        <f>IF(B33="","",COUNTA($B$4:B33))</f>
        <v>30</v>
      </c>
      <c r="B33" s="12" t="s">
        <v>2190</v>
      </c>
      <c r="C33" s="12" t="s">
        <v>2167</v>
      </c>
      <c r="D33" s="61"/>
      <c r="E33" s="12" t="s">
        <v>2167</v>
      </c>
      <c r="F33" s="12" t="s">
        <v>1861</v>
      </c>
      <c r="G33" s="12" t="s">
        <v>1862</v>
      </c>
      <c r="H33" s="12">
        <v>2</v>
      </c>
      <c r="I33" s="13"/>
      <c r="J33" s="12"/>
    </row>
    <row r="34" spans="1:10">
      <c r="A34" s="12">
        <f>IF(B34="","",COUNTA($B$4:B34))</f>
        <v>31</v>
      </c>
      <c r="B34" s="12" t="s">
        <v>2153</v>
      </c>
      <c r="C34" s="12" t="s">
        <v>2170</v>
      </c>
      <c r="D34" s="12" t="s">
        <v>1489</v>
      </c>
      <c r="E34" s="12" t="s">
        <v>2170</v>
      </c>
      <c r="F34" s="12" t="s">
        <v>1899</v>
      </c>
      <c r="G34" s="12" t="s">
        <v>1900</v>
      </c>
      <c r="H34" s="12">
        <v>3</v>
      </c>
      <c r="I34" s="13" t="s">
        <v>1585</v>
      </c>
      <c r="J34" s="12"/>
    </row>
    <row r="35" spans="1:10">
      <c r="A35" s="12">
        <f>IF(B35="","",COUNTA($B$4:B35))</f>
        <v>32</v>
      </c>
      <c r="B35" s="12" t="s">
        <v>2190</v>
      </c>
      <c r="C35" s="12" t="s">
        <v>2170</v>
      </c>
      <c r="D35" s="12" t="s">
        <v>1489</v>
      </c>
      <c r="E35" s="12" t="s">
        <v>2170</v>
      </c>
      <c r="F35" s="12" t="s">
        <v>1899</v>
      </c>
      <c r="G35" s="12" t="s">
        <v>1900</v>
      </c>
      <c r="H35" s="12">
        <v>3</v>
      </c>
      <c r="I35" s="13" t="s">
        <v>1585</v>
      </c>
      <c r="J35" s="12"/>
    </row>
    <row r="36" spans="1:10">
      <c r="A36" s="12">
        <f>IF(B36="","",COUNTA($B$4:B36))</f>
        <v>33</v>
      </c>
      <c r="B36" s="12" t="s">
        <v>2012</v>
      </c>
      <c r="C36" s="12" t="s">
        <v>2014</v>
      </c>
      <c r="D36" s="12" t="s">
        <v>2015</v>
      </c>
      <c r="E36" s="12" t="s">
        <v>2014</v>
      </c>
      <c r="F36" s="12" t="s">
        <v>1861</v>
      </c>
      <c r="G36" s="12" t="s">
        <v>1862</v>
      </c>
      <c r="H36" s="12">
        <v>15</v>
      </c>
      <c r="I36" s="13" t="s">
        <v>1585</v>
      </c>
      <c r="J36" s="12"/>
    </row>
    <row r="37" spans="1:10">
      <c r="A37" s="12">
        <f>IF(B37="","",COUNTA($B$4:B37))</f>
        <v>34</v>
      </c>
      <c r="B37" s="12" t="s">
        <v>2054</v>
      </c>
      <c r="C37" s="12" t="s">
        <v>2014</v>
      </c>
      <c r="D37" s="12" t="s">
        <v>2015</v>
      </c>
      <c r="E37" s="12" t="s">
        <v>2014</v>
      </c>
      <c r="F37" s="12" t="s">
        <v>1861</v>
      </c>
      <c r="G37" s="12" t="s">
        <v>1862</v>
      </c>
      <c r="H37" s="12">
        <v>15</v>
      </c>
      <c r="I37" s="13" t="s">
        <v>1585</v>
      </c>
      <c r="J37" s="12"/>
    </row>
    <row r="38" spans="1:10">
      <c r="A38" s="12">
        <f>IF(B38="","",COUNTA($B$4:B38))</f>
        <v>35</v>
      </c>
      <c r="B38" s="12" t="s">
        <v>2012</v>
      </c>
      <c r="C38" s="12" t="s">
        <v>2031</v>
      </c>
      <c r="D38" s="61"/>
      <c r="E38" s="12" t="s">
        <v>2031</v>
      </c>
      <c r="F38" s="12"/>
      <c r="G38" s="12"/>
      <c r="H38" s="12"/>
      <c r="I38" s="13" t="s">
        <v>1585</v>
      </c>
      <c r="J38" s="12"/>
    </row>
    <row r="39" spans="1:10">
      <c r="A39" s="12">
        <f>IF(B39="","",COUNTA($B$4:B39))</f>
        <v>36</v>
      </c>
      <c r="B39" s="12" t="s">
        <v>2054</v>
      </c>
      <c r="C39" s="12" t="s">
        <v>2031</v>
      </c>
      <c r="D39" s="61"/>
      <c r="E39" s="12" t="s">
        <v>2031</v>
      </c>
      <c r="F39" s="12"/>
      <c r="G39" s="12"/>
      <c r="H39" s="12"/>
      <c r="I39" s="13" t="s">
        <v>1585</v>
      </c>
      <c r="J39" s="12"/>
    </row>
    <row r="40" spans="1:10">
      <c r="A40" s="12">
        <f>IF(B40="","",COUNTA($B$4:B40))</f>
        <v>37</v>
      </c>
      <c r="B40" s="12" t="s">
        <v>2012</v>
      </c>
      <c r="C40" s="12" t="s">
        <v>2029</v>
      </c>
      <c r="D40" s="12" t="s">
        <v>2030</v>
      </c>
      <c r="E40" s="12" t="s">
        <v>2029</v>
      </c>
      <c r="F40" s="12" t="s">
        <v>1899</v>
      </c>
      <c r="G40" s="12" t="s">
        <v>1900</v>
      </c>
      <c r="H40" s="12">
        <v>3</v>
      </c>
      <c r="I40" s="13" t="s">
        <v>1585</v>
      </c>
      <c r="J40" s="12"/>
    </row>
    <row r="41" spans="1:10">
      <c r="A41" s="12">
        <f>IF(B41="","",COUNTA($B$4:B41))</f>
        <v>38</v>
      </c>
      <c r="B41" s="12" t="s">
        <v>2054</v>
      </c>
      <c r="C41" s="12" t="s">
        <v>2029</v>
      </c>
      <c r="D41" s="12" t="s">
        <v>2030</v>
      </c>
      <c r="E41" s="12" t="s">
        <v>2029</v>
      </c>
      <c r="F41" s="12" t="s">
        <v>1899</v>
      </c>
      <c r="G41" s="12" t="s">
        <v>1900</v>
      </c>
      <c r="H41" s="12">
        <v>3</v>
      </c>
      <c r="I41" s="13" t="s">
        <v>1585</v>
      </c>
      <c r="J41" s="12"/>
    </row>
    <row r="42" spans="1:10">
      <c r="A42" s="12">
        <f>IF(B42="","",COUNTA($B$4:B42))</f>
        <v>39</v>
      </c>
      <c r="B42" s="12" t="s">
        <v>2012</v>
      </c>
      <c r="C42" s="12" t="s">
        <v>2027</v>
      </c>
      <c r="D42" s="12" t="s">
        <v>2028</v>
      </c>
      <c r="E42" s="12" t="s">
        <v>2027</v>
      </c>
      <c r="F42" s="12" t="s">
        <v>1899</v>
      </c>
      <c r="G42" s="12" t="s">
        <v>1900</v>
      </c>
      <c r="H42" s="12">
        <v>3</v>
      </c>
      <c r="I42" s="13" t="s">
        <v>1585</v>
      </c>
      <c r="J42" s="12"/>
    </row>
    <row r="43" spans="1:10">
      <c r="A43" s="12">
        <f>IF(B43="","",COUNTA($B$4:B43))</f>
        <v>40</v>
      </c>
      <c r="B43" s="12" t="s">
        <v>2054</v>
      </c>
      <c r="C43" s="12" t="s">
        <v>2027</v>
      </c>
      <c r="D43" s="12" t="s">
        <v>2028</v>
      </c>
      <c r="E43" s="12" t="s">
        <v>2027</v>
      </c>
      <c r="F43" s="12" t="s">
        <v>1899</v>
      </c>
      <c r="G43" s="12" t="s">
        <v>1900</v>
      </c>
      <c r="H43" s="12">
        <v>3</v>
      </c>
      <c r="I43" s="13" t="s">
        <v>1585</v>
      </c>
      <c r="J43" s="12"/>
    </row>
    <row r="44" spans="1:10">
      <c r="A44" s="12">
        <f>IF(B44="","",COUNTA($B$4:B44))</f>
        <v>41</v>
      </c>
      <c r="B44" s="12" t="s">
        <v>2012</v>
      </c>
      <c r="C44" s="12" t="s">
        <v>2023</v>
      </c>
      <c r="D44" s="12" t="s">
        <v>2024</v>
      </c>
      <c r="E44" s="12" t="s">
        <v>2023</v>
      </c>
      <c r="F44" s="12" t="s">
        <v>1861</v>
      </c>
      <c r="G44" s="12" t="s">
        <v>1862</v>
      </c>
      <c r="H44" s="12">
        <v>15</v>
      </c>
      <c r="I44" s="13" t="s">
        <v>1585</v>
      </c>
      <c r="J44" s="12"/>
    </row>
    <row r="45" spans="1:10">
      <c r="A45" s="12">
        <f>IF(B45="","",COUNTA($B$4:B45))</f>
        <v>42</v>
      </c>
      <c r="B45" s="12" t="s">
        <v>2054</v>
      </c>
      <c r="C45" s="12" t="s">
        <v>2023</v>
      </c>
      <c r="D45" s="12" t="s">
        <v>2024</v>
      </c>
      <c r="E45" s="12" t="s">
        <v>2023</v>
      </c>
      <c r="F45" s="12" t="s">
        <v>1861</v>
      </c>
      <c r="G45" s="12" t="s">
        <v>1862</v>
      </c>
      <c r="H45" s="12">
        <v>15</v>
      </c>
      <c r="I45" s="13" t="s">
        <v>1585</v>
      </c>
      <c r="J45" s="12"/>
    </row>
    <row r="46" spans="1:10">
      <c r="A46" s="12">
        <f>IF(B46="","",COUNTA($B$4:B46))</f>
        <v>43</v>
      </c>
      <c r="B46" s="12" t="s">
        <v>2012</v>
      </c>
      <c r="C46" s="12" t="s">
        <v>2025</v>
      </c>
      <c r="D46" s="12" t="s">
        <v>2026</v>
      </c>
      <c r="E46" s="12" t="s">
        <v>2025</v>
      </c>
      <c r="F46" s="12" t="s">
        <v>1899</v>
      </c>
      <c r="G46" s="12" t="s">
        <v>1900</v>
      </c>
      <c r="H46" s="12">
        <v>3</v>
      </c>
      <c r="I46" s="13" t="s">
        <v>1585</v>
      </c>
      <c r="J46" s="12"/>
    </row>
    <row r="47" spans="1:10">
      <c r="A47" s="12">
        <f>IF(B47="","",COUNTA($B$4:B47))</f>
        <v>44</v>
      </c>
      <c r="B47" s="12" t="s">
        <v>2054</v>
      </c>
      <c r="C47" s="12" t="s">
        <v>2025</v>
      </c>
      <c r="D47" s="12" t="s">
        <v>2026</v>
      </c>
      <c r="E47" s="12" t="s">
        <v>2025</v>
      </c>
      <c r="F47" s="12" t="s">
        <v>1899</v>
      </c>
      <c r="G47" s="12" t="s">
        <v>1900</v>
      </c>
      <c r="H47" s="12">
        <v>3</v>
      </c>
      <c r="I47" s="13" t="s">
        <v>1585</v>
      </c>
      <c r="J47" s="12"/>
    </row>
    <row r="48" spans="1:10">
      <c r="A48" s="12">
        <f>IF(B48="","",COUNTA($B$4:B48))</f>
        <v>45</v>
      </c>
      <c r="B48" s="12" t="s">
        <v>2012</v>
      </c>
      <c r="C48" s="12" t="s">
        <v>2016</v>
      </c>
      <c r="D48" s="12" t="s">
        <v>1993</v>
      </c>
      <c r="E48" s="12" t="s">
        <v>2016</v>
      </c>
      <c r="F48" s="12" t="s">
        <v>1861</v>
      </c>
      <c r="G48" s="12" t="s">
        <v>1862</v>
      </c>
      <c r="H48" s="12">
        <v>15</v>
      </c>
      <c r="I48" s="13" t="s">
        <v>1585</v>
      </c>
      <c r="J48" s="12"/>
    </row>
    <row r="49" spans="1:10">
      <c r="A49" s="12">
        <f>IF(B49="","",COUNTA($B$4:B49))</f>
        <v>46</v>
      </c>
      <c r="B49" s="12" t="s">
        <v>2054</v>
      </c>
      <c r="C49" s="12" t="s">
        <v>2016</v>
      </c>
      <c r="D49" s="12" t="s">
        <v>1993</v>
      </c>
      <c r="E49" s="12" t="s">
        <v>2016</v>
      </c>
      <c r="F49" s="12" t="s">
        <v>1861</v>
      </c>
      <c r="G49" s="12" t="s">
        <v>1862</v>
      </c>
      <c r="H49" s="12">
        <v>15</v>
      </c>
      <c r="I49" s="13" t="s">
        <v>1585</v>
      </c>
      <c r="J49" s="12"/>
    </row>
    <row r="50" spans="1:10">
      <c r="A50" s="12">
        <f>IF(B50="","",COUNTA($B$4:B50))</f>
        <v>47</v>
      </c>
      <c r="B50" s="12" t="s">
        <v>2012</v>
      </c>
      <c r="C50" s="12" t="s">
        <v>2017</v>
      </c>
      <c r="D50" s="12" t="s">
        <v>2018</v>
      </c>
      <c r="E50" s="12" t="s">
        <v>2017</v>
      </c>
      <c r="F50" s="12" t="s">
        <v>1899</v>
      </c>
      <c r="G50" s="12" t="s">
        <v>1900</v>
      </c>
      <c r="H50" s="12">
        <v>3</v>
      </c>
      <c r="I50" s="13" t="s">
        <v>1585</v>
      </c>
      <c r="J50" s="12"/>
    </row>
    <row r="51" spans="1:10">
      <c r="A51" s="12">
        <f>IF(B51="","",COUNTA($B$4:B51))</f>
        <v>48</v>
      </c>
      <c r="B51" s="12" t="s">
        <v>2054</v>
      </c>
      <c r="C51" s="12" t="s">
        <v>2017</v>
      </c>
      <c r="D51" s="12" t="s">
        <v>2018</v>
      </c>
      <c r="E51" s="12" t="s">
        <v>2017</v>
      </c>
      <c r="F51" s="12" t="s">
        <v>1899</v>
      </c>
      <c r="G51" s="12" t="s">
        <v>1900</v>
      </c>
      <c r="H51" s="12">
        <v>3</v>
      </c>
      <c r="I51" s="13" t="s">
        <v>1585</v>
      </c>
      <c r="J51" s="12"/>
    </row>
    <row r="52" spans="1:10">
      <c r="A52" s="12">
        <f>IF(B52="","",COUNTA($B$4:B52))</f>
        <v>49</v>
      </c>
      <c r="B52" s="12" t="s">
        <v>2139</v>
      </c>
      <c r="C52" s="12" t="s">
        <v>2149</v>
      </c>
      <c r="D52" s="12" t="s">
        <v>2150</v>
      </c>
      <c r="E52" s="12" t="s">
        <v>2149</v>
      </c>
      <c r="F52" s="12" t="s">
        <v>1861</v>
      </c>
      <c r="G52" s="12" t="s">
        <v>1862</v>
      </c>
      <c r="H52" s="12">
        <v>2</v>
      </c>
      <c r="I52" s="13"/>
      <c r="J52" s="12"/>
    </row>
    <row r="53" spans="1:10">
      <c r="A53" s="12">
        <f>IF(B53="","",COUNTA($B$4:B53))</f>
        <v>50</v>
      </c>
      <c r="B53" s="12" t="s">
        <v>2139</v>
      </c>
      <c r="C53" s="12" t="s">
        <v>2148</v>
      </c>
      <c r="D53" s="12" t="s">
        <v>1993</v>
      </c>
      <c r="E53" s="12" t="s">
        <v>2148</v>
      </c>
      <c r="F53" s="12" t="s">
        <v>1861</v>
      </c>
      <c r="G53" s="12" t="s">
        <v>1862</v>
      </c>
      <c r="H53" s="12">
        <v>2</v>
      </c>
      <c r="I53" s="13" t="s">
        <v>1585</v>
      </c>
      <c r="J53" s="12"/>
    </row>
    <row r="54" spans="1:10">
      <c r="A54" s="12">
        <f>IF(B54="","",COUNTA($B$4:B54))</f>
        <v>51</v>
      </c>
      <c r="B54" s="12" t="s">
        <v>2012</v>
      </c>
      <c r="C54" s="12" t="s">
        <v>2036</v>
      </c>
      <c r="D54" s="12" t="s">
        <v>2037</v>
      </c>
      <c r="E54" s="12" t="s">
        <v>2036</v>
      </c>
      <c r="F54" s="12" t="s">
        <v>1899</v>
      </c>
      <c r="G54" s="12" t="s">
        <v>1900</v>
      </c>
      <c r="H54" s="12">
        <v>3</v>
      </c>
      <c r="I54" s="13" t="s">
        <v>1585</v>
      </c>
      <c r="J54" s="12"/>
    </row>
    <row r="55" spans="1:10">
      <c r="A55" s="12">
        <f>IF(B55="","",COUNTA($B$4:B55))</f>
        <v>52</v>
      </c>
      <c r="B55" s="12" t="s">
        <v>2139</v>
      </c>
      <c r="C55" s="12" t="s">
        <v>2036</v>
      </c>
      <c r="D55" s="12" t="s">
        <v>2037</v>
      </c>
      <c r="E55" s="12" t="s">
        <v>2036</v>
      </c>
      <c r="F55" s="12" t="s">
        <v>1899</v>
      </c>
      <c r="G55" s="12" t="s">
        <v>1900</v>
      </c>
      <c r="H55" s="12">
        <v>3</v>
      </c>
      <c r="I55" s="13" t="s">
        <v>1585</v>
      </c>
      <c r="J55" s="12"/>
    </row>
    <row r="56" spans="1:10">
      <c r="A56" s="12">
        <f>IF(B56="","",COUNTA($B$4:B56))</f>
        <v>53</v>
      </c>
      <c r="B56" s="12" t="s">
        <v>2139</v>
      </c>
      <c r="C56" s="12" t="s">
        <v>2142</v>
      </c>
      <c r="D56" s="12" t="s">
        <v>2143</v>
      </c>
      <c r="E56" s="12" t="s">
        <v>2142</v>
      </c>
      <c r="F56" s="12" t="s">
        <v>1861</v>
      </c>
      <c r="G56" s="12" t="s">
        <v>1862</v>
      </c>
      <c r="H56" s="12">
        <v>11</v>
      </c>
      <c r="I56" s="13" t="s">
        <v>1585</v>
      </c>
      <c r="J56" s="12"/>
    </row>
    <row r="57" spans="1:10">
      <c r="A57" s="12">
        <f>IF(B57="","",COUNTA($B$4:B57))</f>
        <v>54</v>
      </c>
      <c r="B57" s="12" t="s">
        <v>2190</v>
      </c>
      <c r="C57" s="12" t="s">
        <v>2142</v>
      </c>
      <c r="D57" s="12" t="s">
        <v>1480</v>
      </c>
      <c r="E57" s="12" t="s">
        <v>2142</v>
      </c>
      <c r="F57" s="12" t="s">
        <v>1861</v>
      </c>
      <c r="G57" s="12" t="s">
        <v>1862</v>
      </c>
      <c r="H57" s="12">
        <v>10</v>
      </c>
      <c r="I57" s="13" t="s">
        <v>1585</v>
      </c>
      <c r="J57" s="12"/>
    </row>
    <row r="58" spans="1:10">
      <c r="A58" s="12">
        <f>IF(B58="","",COUNTA($B$4:B58))</f>
        <v>55</v>
      </c>
      <c r="B58" s="12" t="s">
        <v>2139</v>
      </c>
      <c r="C58" s="12" t="s">
        <v>2146</v>
      </c>
      <c r="D58" s="12" t="s">
        <v>2147</v>
      </c>
      <c r="E58" s="12" t="s">
        <v>2146</v>
      </c>
      <c r="F58" s="12" t="s">
        <v>1899</v>
      </c>
      <c r="G58" s="12" t="s">
        <v>1900</v>
      </c>
      <c r="H58" s="12">
        <v>3</v>
      </c>
      <c r="I58" s="13" t="s">
        <v>1585</v>
      </c>
      <c r="J58" s="12" t="s">
        <v>1447</v>
      </c>
    </row>
    <row r="59" spans="1:10">
      <c r="A59" s="12">
        <f>IF(B59="","",COUNTA($B$4:B59))</f>
        <v>56</v>
      </c>
      <c r="B59" s="12" t="s">
        <v>2190</v>
      </c>
      <c r="C59" s="12" t="s">
        <v>2146</v>
      </c>
      <c r="D59" s="12" t="s">
        <v>1481</v>
      </c>
      <c r="E59" s="12" t="s">
        <v>2146</v>
      </c>
      <c r="F59" s="12" t="s">
        <v>1899</v>
      </c>
      <c r="G59" s="12" t="s">
        <v>1900</v>
      </c>
      <c r="H59" s="12">
        <v>3</v>
      </c>
      <c r="I59" s="13" t="s">
        <v>1585</v>
      </c>
      <c r="J59" s="12"/>
    </row>
    <row r="60" spans="1:10">
      <c r="A60" s="12">
        <f>IF(B60="","",COUNTA($B$4:B60))</f>
        <v>57</v>
      </c>
      <c r="B60" s="12" t="s">
        <v>2190</v>
      </c>
      <c r="C60" s="12" t="s">
        <v>2191</v>
      </c>
      <c r="D60" s="61"/>
      <c r="E60" s="12" t="s">
        <v>2191</v>
      </c>
      <c r="F60" s="12" t="s">
        <v>1861</v>
      </c>
      <c r="G60" s="12" t="s">
        <v>1862</v>
      </c>
      <c r="H60" s="12">
        <v>4</v>
      </c>
      <c r="I60" s="13"/>
      <c r="J60" s="12" t="s">
        <v>1447</v>
      </c>
    </row>
    <row r="61" spans="1:10">
      <c r="A61" s="12">
        <f>IF(B61="","",COUNTA($B$4:B61))</f>
        <v>58</v>
      </c>
      <c r="B61" s="12" t="s">
        <v>2139</v>
      </c>
      <c r="C61" s="12" t="s">
        <v>2144</v>
      </c>
      <c r="D61" s="12" t="s">
        <v>2145</v>
      </c>
      <c r="E61" s="12" t="s">
        <v>2144</v>
      </c>
      <c r="F61" s="12" t="s">
        <v>1861</v>
      </c>
      <c r="G61" s="12" t="s">
        <v>1862</v>
      </c>
      <c r="H61" s="12">
        <v>11</v>
      </c>
      <c r="I61" s="13" t="s">
        <v>1585</v>
      </c>
      <c r="J61" s="12"/>
    </row>
    <row r="62" spans="1:10">
      <c r="A62" s="12">
        <f>IF(B62="","",COUNTA($B$4:B62))</f>
        <v>59</v>
      </c>
      <c r="B62" s="12" t="s">
        <v>1957</v>
      </c>
      <c r="C62" s="12" t="s">
        <v>1986</v>
      </c>
      <c r="D62" s="12" t="s">
        <v>1987</v>
      </c>
      <c r="E62" s="12" t="s">
        <v>1986</v>
      </c>
      <c r="F62" s="12" t="s">
        <v>1899</v>
      </c>
      <c r="G62" s="12" t="s">
        <v>1900</v>
      </c>
      <c r="H62" s="12">
        <v>5</v>
      </c>
      <c r="I62" s="13"/>
      <c r="J62" s="12"/>
    </row>
    <row r="63" spans="1:10">
      <c r="A63" s="12">
        <f>IF(B63="","",COUNTA($B$4:B63))</f>
        <v>60</v>
      </c>
      <c r="B63" s="12" t="s">
        <v>1957</v>
      </c>
      <c r="C63" s="12" t="s">
        <v>1965</v>
      </c>
      <c r="D63" s="12" t="s">
        <v>1966</v>
      </c>
      <c r="E63" s="12" t="s">
        <v>1965</v>
      </c>
      <c r="F63" s="12" t="s">
        <v>1861</v>
      </c>
      <c r="G63" s="12" t="s">
        <v>1862</v>
      </c>
      <c r="H63" s="12">
        <v>50</v>
      </c>
      <c r="I63" s="13"/>
      <c r="J63" s="12"/>
    </row>
    <row r="64" spans="1:10">
      <c r="A64" s="12">
        <f>IF(B64="","",COUNTA($B$4:B64))</f>
        <v>61</v>
      </c>
      <c r="B64" s="12" t="s">
        <v>1957</v>
      </c>
      <c r="C64" s="12" t="s">
        <v>1983</v>
      </c>
      <c r="D64" s="12" t="s">
        <v>1848</v>
      </c>
      <c r="E64" s="12" t="s">
        <v>1983</v>
      </c>
      <c r="F64" s="12" t="s">
        <v>1899</v>
      </c>
      <c r="G64" s="12" t="s">
        <v>1900</v>
      </c>
      <c r="H64" s="12">
        <v>5</v>
      </c>
      <c r="I64" s="13"/>
      <c r="J64" s="12"/>
    </row>
    <row r="65" spans="1:10">
      <c r="A65" s="12">
        <f>IF(B65="","",COUNTA($B$4:B65))</f>
        <v>62</v>
      </c>
      <c r="B65" s="12" t="s">
        <v>2196</v>
      </c>
      <c r="C65" s="12" t="s">
        <v>2197</v>
      </c>
      <c r="D65" s="61"/>
      <c r="E65" s="12" t="s">
        <v>2197</v>
      </c>
      <c r="F65" s="12" t="s">
        <v>1861</v>
      </c>
      <c r="G65" s="12" t="s">
        <v>1862</v>
      </c>
      <c r="H65" s="12">
        <v>11</v>
      </c>
      <c r="I65" s="13" t="s">
        <v>1585</v>
      </c>
      <c r="J65" s="12"/>
    </row>
    <row r="66" spans="1:10">
      <c r="A66" s="12">
        <f>IF(B66="","",COUNTA($B$4:B66))</f>
        <v>63</v>
      </c>
      <c r="B66" s="12" t="s">
        <v>1888</v>
      </c>
      <c r="C66" s="12" t="s">
        <v>1897</v>
      </c>
      <c r="D66" s="12" t="s">
        <v>1898</v>
      </c>
      <c r="E66" s="12" t="s">
        <v>1897</v>
      </c>
      <c r="F66" s="12" t="s">
        <v>1899</v>
      </c>
      <c r="G66" s="12" t="s">
        <v>1900</v>
      </c>
      <c r="H66" s="12">
        <v>2</v>
      </c>
      <c r="I66" s="13"/>
      <c r="J66" s="12"/>
    </row>
    <row r="67" spans="1:10">
      <c r="A67" s="12">
        <f>IF(B67="","",COUNTA($B$4:B67))</f>
        <v>64</v>
      </c>
      <c r="B67" s="12" t="s">
        <v>1957</v>
      </c>
      <c r="C67" s="12" t="s">
        <v>1897</v>
      </c>
      <c r="D67" s="12" t="s">
        <v>1898</v>
      </c>
      <c r="E67" s="12" t="s">
        <v>1897</v>
      </c>
      <c r="F67" s="12" t="s">
        <v>1899</v>
      </c>
      <c r="G67" s="12" t="s">
        <v>1900</v>
      </c>
      <c r="H67" s="12">
        <v>2</v>
      </c>
      <c r="I67" s="13"/>
      <c r="J67" s="12"/>
    </row>
    <row r="68" spans="1:10">
      <c r="A68" s="12">
        <f>IF(B68="","",COUNTA($B$4:B68))</f>
        <v>65</v>
      </c>
      <c r="B68" s="12" t="s">
        <v>1957</v>
      </c>
      <c r="C68" s="12" t="s">
        <v>1988</v>
      </c>
      <c r="D68" s="12" t="s">
        <v>1989</v>
      </c>
      <c r="E68" s="12" t="s">
        <v>1988</v>
      </c>
      <c r="F68" s="12" t="s">
        <v>1861</v>
      </c>
      <c r="G68" s="12" t="s">
        <v>1862</v>
      </c>
      <c r="H68" s="12">
        <v>30</v>
      </c>
      <c r="I68" s="13"/>
      <c r="J68" s="12"/>
    </row>
    <row r="69" spans="1:10">
      <c r="A69" s="12">
        <f>IF(B69="","",COUNTA($B$4:B69))</f>
        <v>66</v>
      </c>
      <c r="B69" s="12" t="s">
        <v>1957</v>
      </c>
      <c r="C69" s="12" t="s">
        <v>2002</v>
      </c>
      <c r="D69" s="12" t="s">
        <v>2003</v>
      </c>
      <c r="E69" s="12" t="s">
        <v>2002</v>
      </c>
      <c r="F69" s="12" t="s">
        <v>111</v>
      </c>
      <c r="G69" s="12" t="s">
        <v>109</v>
      </c>
      <c r="H69" s="12">
        <v>7</v>
      </c>
      <c r="I69" s="13">
        <v>2</v>
      </c>
      <c r="J69" s="12"/>
    </row>
    <row r="70" spans="1:10">
      <c r="A70" s="12">
        <f>IF(B70="","",COUNTA($B$4:B70))</f>
        <v>67</v>
      </c>
      <c r="B70" s="12" t="s">
        <v>1957</v>
      </c>
      <c r="C70" s="12" t="s">
        <v>2008</v>
      </c>
      <c r="D70" s="12" t="s">
        <v>2009</v>
      </c>
      <c r="E70" s="12" t="s">
        <v>2008</v>
      </c>
      <c r="F70" s="12" t="s">
        <v>111</v>
      </c>
      <c r="G70" s="12" t="s">
        <v>109</v>
      </c>
      <c r="H70" s="12">
        <v>7</v>
      </c>
      <c r="I70" s="13">
        <v>2</v>
      </c>
      <c r="J70" s="12"/>
    </row>
    <row r="71" spans="1:10">
      <c r="A71" s="12">
        <f>IF(B71="","",COUNTA($B$4:B71))</f>
        <v>68</v>
      </c>
      <c r="B71" s="12" t="s">
        <v>1858</v>
      </c>
      <c r="C71" s="12" t="s">
        <v>1869</v>
      </c>
      <c r="D71" s="12" t="s">
        <v>1870</v>
      </c>
      <c r="E71" s="12" t="s">
        <v>1869</v>
      </c>
      <c r="F71" s="12" t="s">
        <v>1861</v>
      </c>
      <c r="G71" s="12" t="s">
        <v>1862</v>
      </c>
      <c r="H71" s="12">
        <v>8</v>
      </c>
      <c r="I71" s="13"/>
      <c r="J71" s="12"/>
    </row>
    <row r="72" spans="1:10">
      <c r="A72" s="12">
        <f>IF(B72="","",COUNTA($B$4:B72))</f>
        <v>69</v>
      </c>
      <c r="B72" s="12" t="s">
        <v>1888</v>
      </c>
      <c r="C72" s="12" t="s">
        <v>1927</v>
      </c>
      <c r="D72" s="12" t="s">
        <v>1928</v>
      </c>
      <c r="E72" s="12" t="s">
        <v>1927</v>
      </c>
      <c r="F72" s="12" t="s">
        <v>1861</v>
      </c>
      <c r="G72" s="12" t="s">
        <v>1862</v>
      </c>
      <c r="H72" s="12">
        <v>1</v>
      </c>
      <c r="I72" s="13"/>
      <c r="J72" s="12"/>
    </row>
    <row r="73" spans="1:10">
      <c r="A73" s="12">
        <f>IF(B73="","",COUNTA($B$4:B73))</f>
        <v>70</v>
      </c>
      <c r="B73" s="12" t="s">
        <v>1932</v>
      </c>
      <c r="C73" s="12" t="s">
        <v>1927</v>
      </c>
      <c r="D73" s="12" t="s">
        <v>1928</v>
      </c>
      <c r="E73" s="12" t="s">
        <v>1927</v>
      </c>
      <c r="F73" s="12" t="s">
        <v>1861</v>
      </c>
      <c r="G73" s="12" t="s">
        <v>1862</v>
      </c>
      <c r="H73" s="12">
        <v>1</v>
      </c>
      <c r="I73" s="13"/>
      <c r="J73" s="12"/>
    </row>
    <row r="74" spans="1:10">
      <c r="A74" s="12">
        <f>IF(B74="","",COUNTA($B$4:B74))</f>
        <v>71</v>
      </c>
      <c r="B74" s="12" t="s">
        <v>2012</v>
      </c>
      <c r="C74" s="12" t="s">
        <v>2045</v>
      </c>
      <c r="D74" s="12" t="s">
        <v>2046</v>
      </c>
      <c r="E74" s="12" t="s">
        <v>2045</v>
      </c>
      <c r="F74" s="12" t="s">
        <v>1861</v>
      </c>
      <c r="G74" s="12" t="s">
        <v>1862</v>
      </c>
      <c r="H74" s="12">
        <v>3</v>
      </c>
      <c r="I74" s="13"/>
      <c r="J74" s="12"/>
    </row>
    <row r="75" spans="1:10">
      <c r="A75" s="12">
        <f>IF(B75="","",COUNTA($B$4:B75))</f>
        <v>72</v>
      </c>
      <c r="B75" s="12" t="s">
        <v>2054</v>
      </c>
      <c r="C75" s="12" t="s">
        <v>2045</v>
      </c>
      <c r="D75" s="12" t="s">
        <v>2046</v>
      </c>
      <c r="E75" s="12" t="s">
        <v>2045</v>
      </c>
      <c r="F75" s="12" t="s">
        <v>1861</v>
      </c>
      <c r="G75" s="12" t="s">
        <v>1862</v>
      </c>
      <c r="H75" s="12">
        <v>3</v>
      </c>
      <c r="I75" s="13"/>
      <c r="J75" s="12"/>
    </row>
    <row r="76" spans="1:10">
      <c r="A76" s="12">
        <f>IF(B76="","",COUNTA($B$4:B76))</f>
        <v>73</v>
      </c>
      <c r="B76" s="12" t="s">
        <v>2076</v>
      </c>
      <c r="C76" s="12" t="s">
        <v>2045</v>
      </c>
      <c r="D76" s="12" t="s">
        <v>1392</v>
      </c>
      <c r="E76" s="12" t="s">
        <v>1464</v>
      </c>
      <c r="F76" s="12" t="s">
        <v>111</v>
      </c>
      <c r="G76" s="12" t="s">
        <v>106</v>
      </c>
      <c r="H76" s="12">
        <v>3</v>
      </c>
      <c r="I76" s="13"/>
      <c r="J76" s="12"/>
    </row>
    <row r="77" spans="1:10">
      <c r="A77" s="12">
        <f>IF(B77="","",COUNTA($B$4:B77))</f>
        <v>74</v>
      </c>
      <c r="B77" s="12" t="s">
        <v>2139</v>
      </c>
      <c r="C77" s="12" t="s">
        <v>2045</v>
      </c>
      <c r="D77" s="12" t="s">
        <v>2046</v>
      </c>
      <c r="E77" s="12" t="s">
        <v>2045</v>
      </c>
      <c r="F77" s="12" t="s">
        <v>1861</v>
      </c>
      <c r="G77" s="12" t="s">
        <v>1862</v>
      </c>
      <c r="H77" s="12">
        <v>3</v>
      </c>
      <c r="I77" s="13"/>
      <c r="J77" s="12"/>
    </row>
    <row r="78" spans="1:10">
      <c r="A78" s="12">
        <f>IF(B78="","",COUNTA($B$4:B78))</f>
        <v>75</v>
      </c>
      <c r="B78" s="12" t="s">
        <v>2153</v>
      </c>
      <c r="C78" s="12" t="s">
        <v>2045</v>
      </c>
      <c r="D78" s="12" t="s">
        <v>1392</v>
      </c>
      <c r="E78" s="12" t="s">
        <v>2060</v>
      </c>
      <c r="F78" s="12" t="s">
        <v>1861</v>
      </c>
      <c r="G78" s="12" t="s">
        <v>1862</v>
      </c>
      <c r="H78" s="12">
        <v>3</v>
      </c>
      <c r="I78" s="13"/>
      <c r="J78" s="12"/>
    </row>
    <row r="79" spans="1:10">
      <c r="A79" s="12">
        <f>IF(B79="","",COUNTA($B$4:B79))</f>
        <v>76</v>
      </c>
      <c r="B79" s="12" t="s">
        <v>2076</v>
      </c>
      <c r="C79" s="12" t="s">
        <v>2117</v>
      </c>
      <c r="D79" s="61"/>
      <c r="E79" s="12"/>
      <c r="F79" s="12" t="s">
        <v>1861</v>
      </c>
      <c r="G79" s="12" t="s">
        <v>1862</v>
      </c>
      <c r="H79" s="12">
        <v>15</v>
      </c>
      <c r="I79" s="13" t="s">
        <v>1585</v>
      </c>
      <c r="J79" s="12"/>
    </row>
    <row r="80" spans="1:10">
      <c r="A80" s="12">
        <f>IF(B80="","",COUNTA($B$4:B80))</f>
        <v>77</v>
      </c>
      <c r="B80" s="12" t="s">
        <v>1932</v>
      </c>
      <c r="C80" s="12" t="s">
        <v>1941</v>
      </c>
      <c r="D80" s="12" t="s">
        <v>1942</v>
      </c>
      <c r="E80" s="12" t="s">
        <v>1941</v>
      </c>
      <c r="F80" s="12" t="s">
        <v>1861</v>
      </c>
      <c r="G80" s="12" t="s">
        <v>1862</v>
      </c>
      <c r="H80" s="12">
        <v>50</v>
      </c>
      <c r="I80" s="13"/>
      <c r="J80" s="12"/>
    </row>
    <row r="81" spans="1:10">
      <c r="A81" s="12">
        <f>IF(B81="","",COUNTA($B$4:B81))</f>
        <v>78</v>
      </c>
      <c r="B81" s="12" t="s">
        <v>2066</v>
      </c>
      <c r="C81" s="12" t="s">
        <v>1941</v>
      </c>
      <c r="D81" s="12" t="s">
        <v>1942</v>
      </c>
      <c r="E81" s="12" t="s">
        <v>1941</v>
      </c>
      <c r="F81" s="12" t="s">
        <v>1861</v>
      </c>
      <c r="G81" s="12" t="s">
        <v>1862</v>
      </c>
      <c r="H81" s="12">
        <v>50</v>
      </c>
      <c r="I81" s="13"/>
      <c r="J81" s="12"/>
    </row>
    <row r="82" spans="1:10">
      <c r="A82" s="12">
        <f>IF(B82="","",COUNTA($B$4:B82))</f>
        <v>79</v>
      </c>
      <c r="B82" s="12" t="s">
        <v>1888</v>
      </c>
      <c r="C82" s="12" t="s">
        <v>1921</v>
      </c>
      <c r="D82" s="12" t="s">
        <v>1922</v>
      </c>
      <c r="E82" s="12" t="s">
        <v>1921</v>
      </c>
      <c r="F82" s="12" t="s">
        <v>1861</v>
      </c>
      <c r="G82" s="12" t="s">
        <v>1862</v>
      </c>
      <c r="H82" s="12">
        <v>10</v>
      </c>
      <c r="I82" s="13"/>
      <c r="J82" s="12"/>
    </row>
    <row r="83" spans="1:10">
      <c r="A83" s="12">
        <f>IF(B83="","",COUNTA($B$4:B83))</f>
        <v>80</v>
      </c>
      <c r="B83" s="12" t="s">
        <v>1932</v>
      </c>
      <c r="C83" s="12" t="s">
        <v>1921</v>
      </c>
      <c r="D83" s="12" t="s">
        <v>1922</v>
      </c>
      <c r="E83" s="12" t="s">
        <v>1921</v>
      </c>
      <c r="F83" s="12" t="s">
        <v>1861</v>
      </c>
      <c r="G83" s="12" t="s">
        <v>1862</v>
      </c>
      <c r="H83" s="12">
        <v>10</v>
      </c>
      <c r="I83" s="13"/>
      <c r="J83" s="12"/>
    </row>
    <row r="84" spans="1:10">
      <c r="A84" s="12">
        <f>IF(B84="","",COUNTA($B$4:B84))</f>
        <v>81</v>
      </c>
      <c r="B84" s="12" t="s">
        <v>1957</v>
      </c>
      <c r="C84" s="12" t="s">
        <v>1921</v>
      </c>
      <c r="D84" s="12" t="s">
        <v>1922</v>
      </c>
      <c r="E84" s="12" t="s">
        <v>1921</v>
      </c>
      <c r="F84" s="12" t="s">
        <v>1861</v>
      </c>
      <c r="G84" s="12" t="s">
        <v>1862</v>
      </c>
      <c r="H84" s="12">
        <v>15</v>
      </c>
      <c r="I84" s="13"/>
      <c r="J84" s="12" t="s">
        <v>1447</v>
      </c>
    </row>
    <row r="85" spans="1:10">
      <c r="A85" s="12">
        <f>IF(B85="","",COUNTA($B$4:B85))</f>
        <v>82</v>
      </c>
      <c r="B85" s="12" t="s">
        <v>2012</v>
      </c>
      <c r="C85" s="12" t="s">
        <v>1921</v>
      </c>
      <c r="D85" s="12" t="s">
        <v>1922</v>
      </c>
      <c r="E85" s="12" t="s">
        <v>1921</v>
      </c>
      <c r="F85" s="12" t="s">
        <v>111</v>
      </c>
      <c r="G85" s="12" t="s">
        <v>106</v>
      </c>
      <c r="H85" s="12">
        <v>10</v>
      </c>
      <c r="I85" s="13"/>
      <c r="J85" s="12"/>
    </row>
    <row r="86" spans="1:10">
      <c r="A86" s="12">
        <f>IF(B86="","",COUNTA($B$4:B86))</f>
        <v>83</v>
      </c>
      <c r="B86" s="12" t="s">
        <v>2054</v>
      </c>
      <c r="C86" s="12" t="s">
        <v>1921</v>
      </c>
      <c r="D86" s="12" t="s">
        <v>1922</v>
      </c>
      <c r="E86" s="12" t="s">
        <v>1921</v>
      </c>
      <c r="F86" s="12" t="s">
        <v>1861</v>
      </c>
      <c r="G86" s="12" t="s">
        <v>1862</v>
      </c>
      <c r="H86" s="12">
        <v>10</v>
      </c>
      <c r="I86" s="13"/>
      <c r="J86" s="12"/>
    </row>
    <row r="87" spans="1:10">
      <c r="A87" s="12">
        <f>IF(B87="","",COUNTA($B$4:B87))</f>
        <v>84</v>
      </c>
      <c r="B87" s="12" t="s">
        <v>2066</v>
      </c>
      <c r="C87" s="12" t="s">
        <v>1921</v>
      </c>
      <c r="D87" s="12" t="s">
        <v>1922</v>
      </c>
      <c r="E87" s="12" t="s">
        <v>1921</v>
      </c>
      <c r="F87" s="12" t="s">
        <v>1861</v>
      </c>
      <c r="G87" s="12" t="s">
        <v>1862</v>
      </c>
      <c r="H87" s="12">
        <v>10</v>
      </c>
      <c r="I87" s="13"/>
      <c r="J87" s="12" t="s">
        <v>1447</v>
      </c>
    </row>
    <row r="88" spans="1:10">
      <c r="A88" s="12">
        <f>IF(B88="","",COUNTA($B$4:B88))</f>
        <v>85</v>
      </c>
      <c r="B88" s="12" t="s">
        <v>2069</v>
      </c>
      <c r="C88" s="12" t="s">
        <v>1921</v>
      </c>
      <c r="D88" s="12" t="s">
        <v>1449</v>
      </c>
      <c r="E88" s="12" t="s">
        <v>117</v>
      </c>
      <c r="F88" s="12" t="s">
        <v>111</v>
      </c>
      <c r="G88" s="12" t="s">
        <v>106</v>
      </c>
      <c r="H88" s="12">
        <v>15</v>
      </c>
      <c r="I88" s="13"/>
      <c r="J88" s="12" t="s">
        <v>1447</v>
      </c>
    </row>
    <row r="89" spans="1:10">
      <c r="A89" s="12">
        <f>IF(B89="","",COUNTA($B$4:B89))</f>
        <v>86</v>
      </c>
      <c r="B89" s="12" t="s">
        <v>2012</v>
      </c>
      <c r="C89" s="12" t="s">
        <v>2052</v>
      </c>
      <c r="D89" s="12" t="s">
        <v>2053</v>
      </c>
      <c r="E89" s="12" t="s">
        <v>2052</v>
      </c>
      <c r="F89" s="12" t="s">
        <v>1861</v>
      </c>
      <c r="G89" s="12" t="s">
        <v>1862</v>
      </c>
      <c r="H89" s="12">
        <v>10</v>
      </c>
      <c r="I89" s="13"/>
      <c r="J89" s="12" t="s">
        <v>1447</v>
      </c>
    </row>
    <row r="90" spans="1:10">
      <c r="A90" s="12">
        <f>IF(B90="","",COUNTA($B$4:B90))</f>
        <v>87</v>
      </c>
      <c r="B90" s="12" t="s">
        <v>2054</v>
      </c>
      <c r="C90" s="12" t="s">
        <v>2052</v>
      </c>
      <c r="D90" s="12" t="s">
        <v>2053</v>
      </c>
      <c r="E90" s="12" t="s">
        <v>2052</v>
      </c>
      <c r="F90" s="12" t="s">
        <v>1861</v>
      </c>
      <c r="G90" s="12" t="s">
        <v>1862</v>
      </c>
      <c r="H90" s="12">
        <v>10</v>
      </c>
      <c r="I90" s="13"/>
      <c r="J90" s="12" t="s">
        <v>1447</v>
      </c>
    </row>
    <row r="91" spans="1:10">
      <c r="A91" s="12">
        <f>IF(B91="","",COUNTA($B$4:B91))</f>
        <v>88</v>
      </c>
      <c r="B91" s="12" t="s">
        <v>1957</v>
      </c>
      <c r="C91" s="12" t="s">
        <v>1994</v>
      </c>
      <c r="D91" s="12" t="s">
        <v>1995</v>
      </c>
      <c r="E91" s="12" t="s">
        <v>1994</v>
      </c>
      <c r="F91" s="12" t="s">
        <v>1879</v>
      </c>
      <c r="G91" s="12" t="s">
        <v>1880</v>
      </c>
      <c r="H91" s="12"/>
      <c r="I91" s="13"/>
      <c r="J91" s="12"/>
    </row>
    <row r="92" spans="1:10">
      <c r="A92" s="12">
        <f>IF(B92="","",COUNTA($B$4:B92))</f>
        <v>89</v>
      </c>
      <c r="B92" s="12" t="s">
        <v>1888</v>
      </c>
      <c r="C92" s="12" t="s">
        <v>1919</v>
      </c>
      <c r="D92" s="12" t="s">
        <v>1920</v>
      </c>
      <c r="E92" s="12" t="s">
        <v>1919</v>
      </c>
      <c r="F92" s="12" t="s">
        <v>1861</v>
      </c>
      <c r="G92" s="12" t="s">
        <v>1862</v>
      </c>
      <c r="H92" s="12">
        <v>50</v>
      </c>
      <c r="I92" s="13"/>
      <c r="J92" s="12"/>
    </row>
    <row r="93" spans="1:10">
      <c r="A93" s="12">
        <f>IF(B93="","",COUNTA($B$4:B93))</f>
        <v>90</v>
      </c>
      <c r="B93" s="12" t="s">
        <v>1932</v>
      </c>
      <c r="C93" s="12" t="s">
        <v>1919</v>
      </c>
      <c r="D93" s="12" t="s">
        <v>1920</v>
      </c>
      <c r="E93" s="12" t="s">
        <v>1919</v>
      </c>
      <c r="F93" s="12" t="s">
        <v>1861</v>
      </c>
      <c r="G93" s="12" t="s">
        <v>1862</v>
      </c>
      <c r="H93" s="12">
        <v>50</v>
      </c>
      <c r="I93" s="13"/>
      <c r="J93" s="12"/>
    </row>
    <row r="94" spans="1:10">
      <c r="A94" s="12">
        <f>IF(B94="","",COUNTA($B$4:B94))</f>
        <v>91</v>
      </c>
      <c r="B94" s="12" t="s">
        <v>2066</v>
      </c>
      <c r="C94" s="12" t="s">
        <v>1919</v>
      </c>
      <c r="D94" s="12" t="s">
        <v>1920</v>
      </c>
      <c r="E94" s="12" t="s">
        <v>1919</v>
      </c>
      <c r="F94" s="12" t="s">
        <v>1861</v>
      </c>
      <c r="G94" s="12" t="s">
        <v>1862</v>
      </c>
      <c r="H94" s="12">
        <v>50</v>
      </c>
      <c r="I94" s="13"/>
      <c r="J94" s="12"/>
    </row>
    <row r="95" spans="1:10">
      <c r="A95" s="12">
        <f>IF(B95="","",COUNTA($B$4:B95))</f>
        <v>92</v>
      </c>
      <c r="B95" s="12" t="s">
        <v>2054</v>
      </c>
      <c r="C95" s="12" t="s">
        <v>2064</v>
      </c>
      <c r="D95" s="12" t="s">
        <v>2065</v>
      </c>
      <c r="E95" s="12" t="s">
        <v>2064</v>
      </c>
      <c r="F95" s="12" t="s">
        <v>1861</v>
      </c>
      <c r="G95" s="12" t="s">
        <v>1862</v>
      </c>
      <c r="H95" s="12">
        <v>10</v>
      </c>
      <c r="I95" s="13"/>
      <c r="J95" s="12"/>
    </row>
    <row r="96" spans="1:10">
      <c r="A96" s="12">
        <f>IF(B96="","",COUNTA($B$4:B96))</f>
        <v>93</v>
      </c>
      <c r="B96" s="12" t="s">
        <v>2076</v>
      </c>
      <c r="C96" s="12" t="s">
        <v>2089</v>
      </c>
      <c r="D96" s="12" t="s">
        <v>1114</v>
      </c>
      <c r="E96" s="12" t="s">
        <v>1474</v>
      </c>
      <c r="F96" s="12" t="s">
        <v>111</v>
      </c>
      <c r="G96" s="12" t="s">
        <v>106</v>
      </c>
      <c r="H96" s="12">
        <v>15</v>
      </c>
      <c r="I96" s="13"/>
      <c r="J96" s="12"/>
    </row>
    <row r="97" spans="1:10">
      <c r="A97" s="12">
        <f>IF(B97="","",COUNTA($B$4:B97))</f>
        <v>94</v>
      </c>
      <c r="B97" s="12" t="s">
        <v>2076</v>
      </c>
      <c r="C97" s="12" t="s">
        <v>2090</v>
      </c>
      <c r="D97" s="12" t="s">
        <v>1627</v>
      </c>
      <c r="E97" s="12" t="s">
        <v>1475</v>
      </c>
      <c r="F97" s="12" t="s">
        <v>111</v>
      </c>
      <c r="G97" s="12" t="s">
        <v>106</v>
      </c>
      <c r="H97" s="12">
        <v>15</v>
      </c>
      <c r="I97" s="13"/>
      <c r="J97" s="12"/>
    </row>
    <row r="98" spans="1:10">
      <c r="A98" s="12">
        <f>IF(B98="","",COUNTA($B$4:B98))</f>
        <v>95</v>
      </c>
      <c r="B98" s="12" t="s">
        <v>2124</v>
      </c>
      <c r="C98" s="12" t="s">
        <v>2136</v>
      </c>
      <c r="D98" s="12" t="s">
        <v>2137</v>
      </c>
      <c r="E98" s="12" t="s">
        <v>2136</v>
      </c>
      <c r="F98" s="12" t="s">
        <v>1861</v>
      </c>
      <c r="G98" s="12" t="s">
        <v>1862</v>
      </c>
      <c r="H98" s="12">
        <v>1</v>
      </c>
      <c r="I98" s="13"/>
      <c r="J98" s="12"/>
    </row>
    <row r="99" spans="1:10">
      <c r="A99" s="12">
        <f>IF(B99="","",COUNTA($B$4:B99))</f>
        <v>96</v>
      </c>
      <c r="B99" s="12" t="s">
        <v>2076</v>
      </c>
      <c r="C99" s="12" t="s">
        <v>2108</v>
      </c>
      <c r="D99" s="61"/>
      <c r="E99" s="12"/>
      <c r="F99" s="12" t="s">
        <v>1861</v>
      </c>
      <c r="G99" s="12" t="s">
        <v>1862</v>
      </c>
      <c r="H99" s="12">
        <v>15</v>
      </c>
      <c r="I99" s="13"/>
      <c r="J99" s="12" t="s">
        <v>1447</v>
      </c>
    </row>
    <row r="100" spans="1:10">
      <c r="A100" s="12">
        <f>IF(B100="","",COUNTA($B$4:B100))</f>
        <v>97</v>
      </c>
      <c r="B100" s="12" t="s">
        <v>2076</v>
      </c>
      <c r="C100" s="12" t="s">
        <v>2099</v>
      </c>
      <c r="D100" s="61"/>
      <c r="E100" s="12"/>
      <c r="F100" s="12" t="s">
        <v>1861</v>
      </c>
      <c r="G100" s="12" t="s">
        <v>1862</v>
      </c>
      <c r="H100" s="12">
        <v>15</v>
      </c>
      <c r="I100" s="13"/>
      <c r="J100" s="12"/>
    </row>
    <row r="101" spans="1:10">
      <c r="A101" s="12">
        <f>IF(B101="","",COUNTA($B$4:B101))</f>
        <v>98</v>
      </c>
      <c r="B101" s="12" t="s">
        <v>2076</v>
      </c>
      <c r="C101" s="12" t="s">
        <v>2102</v>
      </c>
      <c r="D101" s="61"/>
      <c r="E101" s="12"/>
      <c r="F101" s="12" t="s">
        <v>1861</v>
      </c>
      <c r="G101" s="12" t="s">
        <v>1862</v>
      </c>
      <c r="H101" s="12">
        <v>15</v>
      </c>
      <c r="I101" s="13"/>
      <c r="J101" s="12"/>
    </row>
    <row r="102" spans="1:10">
      <c r="A102" s="12">
        <f>IF(B102="","",COUNTA($B$4:B102))</f>
        <v>99</v>
      </c>
      <c r="B102" s="12" t="s">
        <v>2076</v>
      </c>
      <c r="C102" s="12" t="s">
        <v>2096</v>
      </c>
      <c r="D102" s="61"/>
      <c r="E102" s="12"/>
      <c r="F102" s="12" t="s">
        <v>1861</v>
      </c>
      <c r="G102" s="12" t="s">
        <v>1862</v>
      </c>
      <c r="H102" s="12">
        <v>15</v>
      </c>
      <c r="I102" s="13"/>
      <c r="J102" s="12" t="s">
        <v>1447</v>
      </c>
    </row>
    <row r="103" spans="1:10">
      <c r="A103" s="12">
        <f>IF(B103="","",COUNTA($B$4:B103))</f>
        <v>100</v>
      </c>
      <c r="B103" s="12" t="s">
        <v>2069</v>
      </c>
      <c r="C103" s="12" t="s">
        <v>2070</v>
      </c>
      <c r="D103" s="12" t="s">
        <v>1020</v>
      </c>
      <c r="E103" s="12" t="s">
        <v>1466</v>
      </c>
      <c r="F103" s="12" t="s">
        <v>86</v>
      </c>
      <c r="G103" s="12" t="s">
        <v>108</v>
      </c>
      <c r="H103" s="12"/>
      <c r="I103" s="13"/>
      <c r="J103" s="12"/>
    </row>
    <row r="104" spans="1:10">
      <c r="A104" s="12">
        <f>IF(B104="","",COUNTA($B$4:B104))</f>
        <v>101</v>
      </c>
      <c r="B104" s="12" t="s">
        <v>2120</v>
      </c>
      <c r="C104" s="12" t="s">
        <v>2123</v>
      </c>
      <c r="D104" s="12" t="s">
        <v>1414</v>
      </c>
      <c r="E104" s="12" t="s">
        <v>2123</v>
      </c>
      <c r="F104" s="12" t="s">
        <v>1899</v>
      </c>
      <c r="G104" s="12" t="s">
        <v>1900</v>
      </c>
      <c r="H104" s="12">
        <v>7</v>
      </c>
      <c r="I104" s="13">
        <v>1</v>
      </c>
      <c r="J104" s="12" t="s">
        <v>1447</v>
      </c>
    </row>
    <row r="105" spans="1:10">
      <c r="A105" s="12">
        <f>IF(B105="","",COUNTA($B$4:B105))</f>
        <v>102</v>
      </c>
      <c r="B105" s="12" t="s">
        <v>2139</v>
      </c>
      <c r="C105" s="12" t="s">
        <v>2123</v>
      </c>
      <c r="D105" s="12" t="s">
        <v>1414</v>
      </c>
      <c r="E105" s="12" t="s">
        <v>2123</v>
      </c>
      <c r="F105" s="12" t="s">
        <v>1899</v>
      </c>
      <c r="G105" s="12" t="s">
        <v>1900</v>
      </c>
      <c r="H105" s="12">
        <v>7</v>
      </c>
      <c r="I105" s="13">
        <v>1</v>
      </c>
      <c r="J105" s="12"/>
    </row>
    <row r="106" spans="1:10">
      <c r="A106" s="12">
        <f>IF(B106="","",COUNTA($B$4:B106))</f>
        <v>103</v>
      </c>
      <c r="B106" s="12" t="s">
        <v>2153</v>
      </c>
      <c r="C106" s="12" t="s">
        <v>2123</v>
      </c>
      <c r="D106" s="12" t="s">
        <v>1414</v>
      </c>
      <c r="E106" s="12" t="s">
        <v>2123</v>
      </c>
      <c r="F106" s="12" t="s">
        <v>1899</v>
      </c>
      <c r="G106" s="12" t="s">
        <v>1900</v>
      </c>
      <c r="H106" s="12">
        <v>7</v>
      </c>
      <c r="I106" s="13">
        <v>1</v>
      </c>
      <c r="J106" s="12"/>
    </row>
    <row r="107" spans="1:10">
      <c r="A107" s="12">
        <f>IF(B107="","",COUNTA($B$4:B107))</f>
        <v>104</v>
      </c>
      <c r="B107" s="12" t="s">
        <v>2190</v>
      </c>
      <c r="C107" s="12" t="s">
        <v>2123</v>
      </c>
      <c r="D107" s="12" t="s">
        <v>1414</v>
      </c>
      <c r="E107" s="12" t="s">
        <v>2123</v>
      </c>
      <c r="F107" s="12" t="s">
        <v>1899</v>
      </c>
      <c r="G107" s="12" t="s">
        <v>1900</v>
      </c>
      <c r="H107" s="12">
        <v>7</v>
      </c>
      <c r="I107" s="13">
        <v>1</v>
      </c>
      <c r="J107" s="12"/>
    </row>
    <row r="108" spans="1:10">
      <c r="A108" s="12">
        <f>IF(B108="","",COUNTA($B$4:B108))</f>
        <v>105</v>
      </c>
      <c r="B108" s="12" t="s">
        <v>2193</v>
      </c>
      <c r="C108" s="12" t="s">
        <v>2123</v>
      </c>
      <c r="D108" s="12" t="s">
        <v>1414</v>
      </c>
      <c r="E108" s="12" t="s">
        <v>2123</v>
      </c>
      <c r="F108" s="12" t="s">
        <v>1899</v>
      </c>
      <c r="G108" s="12" t="s">
        <v>1900</v>
      </c>
      <c r="H108" s="12">
        <v>7</v>
      </c>
      <c r="I108" s="13">
        <v>1</v>
      </c>
      <c r="J108" s="12"/>
    </row>
    <row r="109" spans="1:10">
      <c r="A109" s="12">
        <f>IF(B109="","",COUNTA($B$4:B109))</f>
        <v>106</v>
      </c>
      <c r="B109" s="12" t="s">
        <v>1957</v>
      </c>
      <c r="C109" s="12" t="s">
        <v>1971</v>
      </c>
      <c r="D109" s="12" t="s">
        <v>1972</v>
      </c>
      <c r="E109" s="12" t="s">
        <v>1971</v>
      </c>
      <c r="F109" s="12" t="s">
        <v>1861</v>
      </c>
      <c r="G109" s="12" t="s">
        <v>1862</v>
      </c>
      <c r="H109" s="12">
        <v>4</v>
      </c>
      <c r="I109" s="13"/>
      <c r="J109" s="12"/>
    </row>
    <row r="110" spans="1:10">
      <c r="A110" s="12">
        <f>IF(B110="","",COUNTA($B$4:B110))</f>
        <v>107</v>
      </c>
      <c r="B110" s="12" t="s">
        <v>1858</v>
      </c>
      <c r="C110" s="12" t="s">
        <v>1881</v>
      </c>
      <c r="D110" s="12" t="s">
        <v>1882</v>
      </c>
      <c r="E110" s="12" t="s">
        <v>1883</v>
      </c>
      <c r="F110" s="12" t="s">
        <v>1861</v>
      </c>
      <c r="G110" s="12" t="s">
        <v>1862</v>
      </c>
      <c r="H110" s="12">
        <v>10</v>
      </c>
      <c r="I110" s="13"/>
      <c r="J110" s="12"/>
    </row>
    <row r="111" spans="1:10">
      <c r="A111" s="12">
        <f>IF(B111="","",COUNTA($B$4:B111))</f>
        <v>108</v>
      </c>
      <c r="B111" s="12" t="s">
        <v>1888</v>
      </c>
      <c r="C111" s="12" t="s">
        <v>1881</v>
      </c>
      <c r="D111" s="12" t="s">
        <v>1931</v>
      </c>
      <c r="E111" s="12" t="s">
        <v>1881</v>
      </c>
      <c r="F111" s="12" t="s">
        <v>1861</v>
      </c>
      <c r="G111" s="12" t="s">
        <v>1862</v>
      </c>
      <c r="H111" s="12">
        <v>10</v>
      </c>
      <c r="I111" s="13"/>
      <c r="J111" s="12"/>
    </row>
    <row r="112" spans="1:10">
      <c r="A112" s="12">
        <f>IF(B112="","",COUNTA($B$4:B112))</f>
        <v>109</v>
      </c>
      <c r="B112" s="12" t="s">
        <v>1932</v>
      </c>
      <c r="C112" s="12" t="s">
        <v>1881</v>
      </c>
      <c r="D112" s="12" t="s">
        <v>1931</v>
      </c>
      <c r="E112" s="12" t="s">
        <v>1883</v>
      </c>
      <c r="F112" s="12" t="s">
        <v>1861</v>
      </c>
      <c r="G112" s="12" t="s">
        <v>1862</v>
      </c>
      <c r="H112" s="12">
        <v>10</v>
      </c>
      <c r="I112" s="13"/>
      <c r="J112" s="12"/>
    </row>
    <row r="113" spans="1:10">
      <c r="A113" s="12">
        <f>IF(B113="","",COUNTA($B$4:B113))</f>
        <v>110</v>
      </c>
      <c r="B113" s="12" t="s">
        <v>1957</v>
      </c>
      <c r="C113" s="12" t="s">
        <v>1881</v>
      </c>
      <c r="D113" s="12" t="s">
        <v>1931</v>
      </c>
      <c r="E113" s="12" t="s">
        <v>1881</v>
      </c>
      <c r="F113" s="12" t="s">
        <v>111</v>
      </c>
      <c r="G113" s="12" t="s">
        <v>106</v>
      </c>
      <c r="H113" s="12">
        <v>10</v>
      </c>
      <c r="I113" s="13"/>
      <c r="J113" s="12" t="s">
        <v>1447</v>
      </c>
    </row>
    <row r="114" spans="1:10">
      <c r="A114" s="12">
        <f>IF(B114="","",COUNTA($B$4:B114))</f>
        <v>111</v>
      </c>
      <c r="B114" s="12" t="s">
        <v>2012</v>
      </c>
      <c r="C114" s="12" t="s">
        <v>1881</v>
      </c>
      <c r="D114" s="12" t="s">
        <v>1931</v>
      </c>
      <c r="E114" s="12" t="s">
        <v>1883</v>
      </c>
      <c r="F114" s="12" t="s">
        <v>1861</v>
      </c>
      <c r="G114" s="12" t="s">
        <v>1862</v>
      </c>
      <c r="H114" s="12">
        <v>10</v>
      </c>
      <c r="I114" s="13"/>
      <c r="J114" s="12"/>
    </row>
    <row r="115" spans="1:10">
      <c r="A115" s="12">
        <f>IF(B115="","",COUNTA($B$4:B115))</f>
        <v>112</v>
      </c>
      <c r="B115" s="12" t="s">
        <v>2054</v>
      </c>
      <c r="C115" s="12" t="s">
        <v>1881</v>
      </c>
      <c r="D115" s="12" t="s">
        <v>1931</v>
      </c>
      <c r="E115" s="12" t="s">
        <v>1883</v>
      </c>
      <c r="F115" s="12" t="s">
        <v>1861</v>
      </c>
      <c r="G115" s="12" t="s">
        <v>1862</v>
      </c>
      <c r="H115" s="12">
        <v>10</v>
      </c>
      <c r="I115" s="13"/>
      <c r="J115" s="12"/>
    </row>
    <row r="116" spans="1:10">
      <c r="A116" s="12">
        <f>IF(B116="","",COUNTA($B$4:B116))</f>
        <v>113</v>
      </c>
      <c r="B116" s="12" t="s">
        <v>2066</v>
      </c>
      <c r="C116" s="12" t="s">
        <v>1881</v>
      </c>
      <c r="D116" s="12" t="s">
        <v>626</v>
      </c>
      <c r="E116" s="12" t="s">
        <v>1442</v>
      </c>
      <c r="F116" s="12" t="s">
        <v>111</v>
      </c>
      <c r="G116" s="12" t="s">
        <v>106</v>
      </c>
      <c r="H116" s="12">
        <v>10</v>
      </c>
      <c r="I116" s="13"/>
      <c r="J116" s="12"/>
    </row>
    <row r="117" spans="1:10">
      <c r="A117" s="12">
        <f>IF(B117="","",COUNTA($B$4:B117))</f>
        <v>114</v>
      </c>
      <c r="B117" s="12" t="s">
        <v>2069</v>
      </c>
      <c r="C117" s="12" t="s">
        <v>1881</v>
      </c>
      <c r="D117" s="12" t="s">
        <v>626</v>
      </c>
      <c r="E117" s="12" t="s">
        <v>1442</v>
      </c>
      <c r="F117" s="12" t="s">
        <v>111</v>
      </c>
      <c r="G117" s="12" t="s">
        <v>106</v>
      </c>
      <c r="H117" s="12">
        <v>10</v>
      </c>
      <c r="I117" s="13"/>
      <c r="J117" s="12"/>
    </row>
    <row r="118" spans="1:10">
      <c r="A118" s="12">
        <f>IF(B118="","",COUNTA($B$4:B118))</f>
        <v>115</v>
      </c>
      <c r="B118" s="12" t="s">
        <v>2118</v>
      </c>
      <c r="C118" s="12" t="s">
        <v>1881</v>
      </c>
      <c r="D118" s="12" t="s">
        <v>626</v>
      </c>
      <c r="E118" s="12" t="s">
        <v>1883</v>
      </c>
      <c r="F118" s="12" t="s">
        <v>1861</v>
      </c>
      <c r="G118" s="12" t="s">
        <v>1862</v>
      </c>
      <c r="H118" s="12">
        <v>10</v>
      </c>
      <c r="I118" s="13"/>
      <c r="J118" s="12"/>
    </row>
    <row r="119" spans="1:10">
      <c r="A119" s="12">
        <f>IF(B119="","",COUNTA($B$4:B119))</f>
        <v>116</v>
      </c>
      <c r="B119" s="12" t="s">
        <v>2120</v>
      </c>
      <c r="C119" s="12" t="s">
        <v>1881</v>
      </c>
      <c r="D119" s="12" t="s">
        <v>626</v>
      </c>
      <c r="E119" s="12" t="s">
        <v>1883</v>
      </c>
      <c r="F119" s="12" t="s">
        <v>1861</v>
      </c>
      <c r="G119" s="12" t="s">
        <v>1862</v>
      </c>
      <c r="H119" s="12">
        <v>10</v>
      </c>
      <c r="I119" s="13"/>
      <c r="J119" s="12"/>
    </row>
    <row r="120" spans="1:10">
      <c r="A120" s="12">
        <f>IF(B120="","",COUNTA($B$4:B120))</f>
        <v>117</v>
      </c>
      <c r="B120" s="12" t="s">
        <v>2124</v>
      </c>
      <c r="C120" s="12" t="s">
        <v>1881</v>
      </c>
      <c r="D120" s="12" t="s">
        <v>1931</v>
      </c>
      <c r="E120" s="12" t="s">
        <v>1883</v>
      </c>
      <c r="F120" s="12" t="s">
        <v>1861</v>
      </c>
      <c r="G120" s="12" t="s">
        <v>1862</v>
      </c>
      <c r="H120" s="12">
        <v>10</v>
      </c>
      <c r="I120" s="13"/>
      <c r="J120" s="12"/>
    </row>
    <row r="121" spans="1:10">
      <c r="A121" s="12">
        <f>IF(B121="","",COUNTA($B$4:B121))</f>
        <v>118</v>
      </c>
      <c r="B121" s="12" t="s">
        <v>2139</v>
      </c>
      <c r="C121" s="12" t="s">
        <v>1881</v>
      </c>
      <c r="D121" s="12" t="s">
        <v>626</v>
      </c>
      <c r="E121" s="12" t="s">
        <v>1881</v>
      </c>
      <c r="F121" s="12" t="s">
        <v>1861</v>
      </c>
      <c r="G121" s="12" t="s">
        <v>1862</v>
      </c>
      <c r="H121" s="12">
        <v>10</v>
      </c>
      <c r="I121" s="13"/>
      <c r="J121" s="12"/>
    </row>
    <row r="122" spans="1:10">
      <c r="A122" s="12">
        <f>IF(B122="","",COUNTA($B$4:B122))</f>
        <v>119</v>
      </c>
      <c r="B122" s="12" t="s">
        <v>2153</v>
      </c>
      <c r="C122" s="12" t="s">
        <v>1881</v>
      </c>
      <c r="D122" s="12" t="s">
        <v>626</v>
      </c>
      <c r="E122" s="12" t="s">
        <v>1881</v>
      </c>
      <c r="F122" s="12" t="s">
        <v>1861</v>
      </c>
      <c r="G122" s="12" t="s">
        <v>1862</v>
      </c>
      <c r="H122" s="12">
        <v>10</v>
      </c>
      <c r="I122" s="13"/>
      <c r="J122" s="12"/>
    </row>
    <row r="123" spans="1:10">
      <c r="A123" s="12">
        <f>IF(B123="","",COUNTA($B$4:B123))</f>
        <v>120</v>
      </c>
      <c r="B123" s="12" t="s">
        <v>2190</v>
      </c>
      <c r="C123" s="12" t="s">
        <v>1881</v>
      </c>
      <c r="D123" s="12" t="s">
        <v>626</v>
      </c>
      <c r="E123" s="12" t="s">
        <v>1883</v>
      </c>
      <c r="F123" s="12" t="s">
        <v>1861</v>
      </c>
      <c r="G123" s="12" t="s">
        <v>1862</v>
      </c>
      <c r="H123" s="12">
        <v>10</v>
      </c>
      <c r="I123" s="13"/>
      <c r="J123" s="12" t="s">
        <v>1447</v>
      </c>
    </row>
    <row r="124" spans="1:10">
      <c r="A124" s="12">
        <f>IF(B124="","",COUNTA($B$4:B124))</f>
        <v>121</v>
      </c>
      <c r="B124" s="12" t="s">
        <v>2193</v>
      </c>
      <c r="C124" s="12" t="s">
        <v>1881</v>
      </c>
      <c r="D124" s="12" t="s">
        <v>626</v>
      </c>
      <c r="E124" s="12" t="s">
        <v>1883</v>
      </c>
      <c r="F124" s="12" t="s">
        <v>1861</v>
      </c>
      <c r="G124" s="12" t="s">
        <v>1862</v>
      </c>
      <c r="H124" s="12">
        <v>10</v>
      </c>
      <c r="I124" s="13"/>
      <c r="J124" s="12"/>
    </row>
    <row r="125" spans="1:10">
      <c r="A125" s="12">
        <f>IF(B125="","",COUNTA($B$4:B125))</f>
        <v>122</v>
      </c>
      <c r="B125" s="12" t="s">
        <v>1494</v>
      </c>
      <c r="C125" s="12" t="s">
        <v>1442</v>
      </c>
      <c r="D125" s="12" t="s">
        <v>626</v>
      </c>
      <c r="E125" s="12" t="s">
        <v>1443</v>
      </c>
      <c r="F125" s="12" t="s">
        <v>111</v>
      </c>
      <c r="G125" s="12" t="s">
        <v>106</v>
      </c>
      <c r="H125" s="12">
        <v>10</v>
      </c>
      <c r="I125" s="13"/>
      <c r="J125" s="12"/>
    </row>
    <row r="126" spans="1:10">
      <c r="A126" s="12">
        <f>IF(B126="","",COUNTA($B$4:B126))</f>
        <v>123</v>
      </c>
      <c r="B126" s="12" t="s">
        <v>1858</v>
      </c>
      <c r="C126" s="12" t="s">
        <v>1884</v>
      </c>
      <c r="D126" s="12" t="s">
        <v>1885</v>
      </c>
      <c r="E126" s="12" t="s">
        <v>1884</v>
      </c>
      <c r="F126" s="12" t="s">
        <v>1861</v>
      </c>
      <c r="G126" s="12" t="s">
        <v>1862</v>
      </c>
      <c r="H126" s="12">
        <v>10</v>
      </c>
      <c r="I126" s="13" t="s">
        <v>1585</v>
      </c>
      <c r="J126" s="12"/>
    </row>
    <row r="127" spans="1:10">
      <c r="A127" s="12">
        <f>IF(B127="","",COUNTA($B$4:B127))</f>
        <v>124</v>
      </c>
      <c r="B127" s="12" t="s">
        <v>1888</v>
      </c>
      <c r="C127" s="12" t="s">
        <v>1884</v>
      </c>
      <c r="D127" s="12" t="s">
        <v>1885</v>
      </c>
      <c r="E127" s="12" t="s">
        <v>1884</v>
      </c>
      <c r="F127" s="12" t="s">
        <v>1861</v>
      </c>
      <c r="G127" s="12" t="s">
        <v>1862</v>
      </c>
      <c r="H127" s="12">
        <v>10</v>
      </c>
      <c r="I127" s="13" t="s">
        <v>1585</v>
      </c>
      <c r="J127" s="12"/>
    </row>
    <row r="128" spans="1:10">
      <c r="A128" s="12">
        <f>IF(B128="","",COUNTA($B$4:B128))</f>
        <v>125</v>
      </c>
      <c r="B128" s="12" t="s">
        <v>1932</v>
      </c>
      <c r="C128" s="12" t="s">
        <v>1884</v>
      </c>
      <c r="D128" s="12" t="s">
        <v>1885</v>
      </c>
      <c r="E128" s="12" t="s">
        <v>1884</v>
      </c>
      <c r="F128" s="12" t="s">
        <v>1861</v>
      </c>
      <c r="G128" s="12" t="s">
        <v>1862</v>
      </c>
      <c r="H128" s="12">
        <v>10</v>
      </c>
      <c r="I128" s="13" t="s">
        <v>1585</v>
      </c>
      <c r="J128" s="12" t="s">
        <v>1447</v>
      </c>
    </row>
    <row r="129" spans="1:10">
      <c r="A129" s="12">
        <f>IF(B129="","",COUNTA($B$4:B129))</f>
        <v>126</v>
      </c>
      <c r="B129" s="12" t="s">
        <v>1957</v>
      </c>
      <c r="C129" s="12" t="s">
        <v>1884</v>
      </c>
      <c r="D129" s="12" t="s">
        <v>1885</v>
      </c>
      <c r="E129" s="12" t="s">
        <v>1884</v>
      </c>
      <c r="F129" s="12" t="s">
        <v>1861</v>
      </c>
      <c r="G129" s="12" t="s">
        <v>1862</v>
      </c>
      <c r="H129" s="12">
        <v>10</v>
      </c>
      <c r="I129" s="13" t="s">
        <v>1585</v>
      </c>
      <c r="J129" s="12"/>
    </row>
    <row r="130" spans="1:10">
      <c r="A130" s="12">
        <f>IF(B130="","",COUNTA($B$4:B130))</f>
        <v>127</v>
      </c>
      <c r="B130" s="12" t="s">
        <v>2012</v>
      </c>
      <c r="C130" s="12" t="s">
        <v>1884</v>
      </c>
      <c r="D130" s="12" t="s">
        <v>1885</v>
      </c>
      <c r="E130" s="12" t="s">
        <v>1884</v>
      </c>
      <c r="F130" s="12" t="s">
        <v>1861</v>
      </c>
      <c r="G130" s="12" t="s">
        <v>1862</v>
      </c>
      <c r="H130" s="12">
        <v>10</v>
      </c>
      <c r="I130" s="13" t="s">
        <v>1585</v>
      </c>
      <c r="J130" s="12"/>
    </row>
    <row r="131" spans="1:10">
      <c r="A131" s="12">
        <f>IF(B131="","",COUNTA($B$4:B131))</f>
        <v>128</v>
      </c>
      <c r="B131" s="12" t="s">
        <v>2054</v>
      </c>
      <c r="C131" s="12" t="s">
        <v>1884</v>
      </c>
      <c r="D131" s="12" t="s">
        <v>1885</v>
      </c>
      <c r="E131" s="12" t="s">
        <v>1884</v>
      </c>
      <c r="F131" s="12" t="s">
        <v>1861</v>
      </c>
      <c r="G131" s="12" t="s">
        <v>1862</v>
      </c>
      <c r="H131" s="12">
        <v>10</v>
      </c>
      <c r="I131" s="13" t="s">
        <v>1585</v>
      </c>
      <c r="J131" s="12"/>
    </row>
    <row r="132" spans="1:10">
      <c r="A132" s="12">
        <f>IF(B132="","",COUNTA($B$4:B132))</f>
        <v>129</v>
      </c>
      <c r="B132" s="12" t="s">
        <v>2066</v>
      </c>
      <c r="C132" s="12" t="s">
        <v>1884</v>
      </c>
      <c r="D132" s="12" t="s">
        <v>390</v>
      </c>
      <c r="E132" s="12" t="s">
        <v>114</v>
      </c>
      <c r="F132" s="12" t="s">
        <v>111</v>
      </c>
      <c r="G132" s="12" t="s">
        <v>106</v>
      </c>
      <c r="H132" s="12">
        <v>10</v>
      </c>
      <c r="I132" s="13" t="s">
        <v>1585</v>
      </c>
      <c r="J132" s="12"/>
    </row>
    <row r="133" spans="1:10">
      <c r="A133" s="12">
        <f>IF(B133="","",COUNTA($B$4:B133))</f>
        <v>130</v>
      </c>
      <c r="B133" s="12" t="s">
        <v>2069</v>
      </c>
      <c r="C133" s="12" t="s">
        <v>1884</v>
      </c>
      <c r="D133" s="12" t="s">
        <v>390</v>
      </c>
      <c r="E133" s="12" t="s">
        <v>114</v>
      </c>
      <c r="F133" s="12" t="s">
        <v>111</v>
      </c>
      <c r="G133" s="12" t="s">
        <v>106</v>
      </c>
      <c r="H133" s="12">
        <v>10</v>
      </c>
      <c r="I133" s="13"/>
      <c r="J133" s="12"/>
    </row>
    <row r="134" spans="1:10">
      <c r="A134" s="12">
        <f>IF(B134="","",COUNTA($B$4:B134))</f>
        <v>131</v>
      </c>
      <c r="B134" s="12" t="s">
        <v>2118</v>
      </c>
      <c r="C134" s="12" t="s">
        <v>1884</v>
      </c>
      <c r="D134" s="12" t="s">
        <v>390</v>
      </c>
      <c r="E134" s="12" t="s">
        <v>1884</v>
      </c>
      <c r="F134" s="12" t="s">
        <v>1861</v>
      </c>
      <c r="G134" s="12" t="s">
        <v>1862</v>
      </c>
      <c r="H134" s="12">
        <v>10</v>
      </c>
      <c r="I134" s="13" t="s">
        <v>1585</v>
      </c>
      <c r="J134" s="12"/>
    </row>
    <row r="135" spans="1:10">
      <c r="A135" s="12">
        <f>IF(B135="","",COUNTA($B$4:B135))</f>
        <v>132</v>
      </c>
      <c r="B135" s="12" t="s">
        <v>2120</v>
      </c>
      <c r="C135" s="12" t="s">
        <v>1884</v>
      </c>
      <c r="D135" s="12" t="s">
        <v>390</v>
      </c>
      <c r="E135" s="12" t="s">
        <v>1884</v>
      </c>
      <c r="F135" s="12" t="s">
        <v>1861</v>
      </c>
      <c r="G135" s="12" t="s">
        <v>1862</v>
      </c>
      <c r="H135" s="12">
        <v>10</v>
      </c>
      <c r="I135" s="13" t="s">
        <v>1585</v>
      </c>
      <c r="J135" s="12"/>
    </row>
    <row r="136" spans="1:10">
      <c r="A136" s="12">
        <f>IF(B136="","",COUNTA($B$4:B136))</f>
        <v>133</v>
      </c>
      <c r="B136" s="12" t="s">
        <v>2124</v>
      </c>
      <c r="C136" s="12" t="s">
        <v>1884</v>
      </c>
      <c r="D136" s="12" t="s">
        <v>1885</v>
      </c>
      <c r="E136" s="12" t="s">
        <v>1884</v>
      </c>
      <c r="F136" s="12" t="s">
        <v>1861</v>
      </c>
      <c r="G136" s="12" t="s">
        <v>1862</v>
      </c>
      <c r="H136" s="12">
        <v>10</v>
      </c>
      <c r="I136" s="13" t="s">
        <v>1585</v>
      </c>
      <c r="J136" s="12"/>
    </row>
    <row r="137" spans="1:10">
      <c r="A137" s="12">
        <f>IF(B137="","",COUNTA($B$4:B137))</f>
        <v>134</v>
      </c>
      <c r="B137" s="12" t="s">
        <v>2139</v>
      </c>
      <c r="C137" s="12" t="s">
        <v>1884</v>
      </c>
      <c r="D137" s="12" t="s">
        <v>1885</v>
      </c>
      <c r="E137" s="12" t="s">
        <v>1884</v>
      </c>
      <c r="F137" s="12" t="s">
        <v>1861</v>
      </c>
      <c r="G137" s="12" t="s">
        <v>1862</v>
      </c>
      <c r="H137" s="12">
        <v>10</v>
      </c>
      <c r="I137" s="13" t="s">
        <v>1585</v>
      </c>
      <c r="J137" s="12"/>
    </row>
    <row r="138" spans="1:10">
      <c r="A138" s="12">
        <f>IF(B138="","",COUNTA($B$4:B138))</f>
        <v>135</v>
      </c>
      <c r="B138" s="12" t="s">
        <v>2153</v>
      </c>
      <c r="C138" s="12" t="s">
        <v>1884</v>
      </c>
      <c r="D138" s="12" t="s">
        <v>390</v>
      </c>
      <c r="E138" s="12" t="s">
        <v>1884</v>
      </c>
      <c r="F138" s="12" t="s">
        <v>1861</v>
      </c>
      <c r="G138" s="12" t="s">
        <v>1862</v>
      </c>
      <c r="H138" s="12">
        <v>10</v>
      </c>
      <c r="I138" s="13" t="s">
        <v>1585</v>
      </c>
      <c r="J138" s="12" t="s">
        <v>1447</v>
      </c>
    </row>
    <row r="139" spans="1:10">
      <c r="A139" s="12">
        <f>IF(B139="","",COUNTA($B$4:B139))</f>
        <v>136</v>
      </c>
      <c r="B139" s="12" t="s">
        <v>2190</v>
      </c>
      <c r="C139" s="12" t="s">
        <v>1884</v>
      </c>
      <c r="D139" s="12" t="s">
        <v>390</v>
      </c>
      <c r="E139" s="12" t="s">
        <v>1884</v>
      </c>
      <c r="F139" s="12" t="s">
        <v>1861</v>
      </c>
      <c r="G139" s="12" t="s">
        <v>1862</v>
      </c>
      <c r="H139" s="12">
        <v>10</v>
      </c>
      <c r="I139" s="13" t="s">
        <v>1585</v>
      </c>
      <c r="J139" s="12"/>
    </row>
    <row r="140" spans="1:10">
      <c r="A140" s="12">
        <f>IF(B140="","",COUNTA($B$4:B140))</f>
        <v>137</v>
      </c>
      <c r="B140" s="12" t="s">
        <v>2193</v>
      </c>
      <c r="C140" s="12" t="s">
        <v>1884</v>
      </c>
      <c r="D140" s="12" t="s">
        <v>390</v>
      </c>
      <c r="E140" s="12" t="s">
        <v>1884</v>
      </c>
      <c r="F140" s="12" t="s">
        <v>1861</v>
      </c>
      <c r="G140" s="12" t="s">
        <v>1862</v>
      </c>
      <c r="H140" s="12">
        <v>10</v>
      </c>
      <c r="I140" s="13" t="s">
        <v>1585</v>
      </c>
      <c r="J140" s="12"/>
    </row>
    <row r="141" spans="1:10">
      <c r="A141" s="12">
        <f>IF(B141="","",COUNTA($B$4:B141))</f>
        <v>138</v>
      </c>
      <c r="B141" s="12" t="s">
        <v>1494</v>
      </c>
      <c r="C141" s="12" t="s">
        <v>114</v>
      </c>
      <c r="D141" s="12" t="s">
        <v>390</v>
      </c>
      <c r="E141" s="12" t="s">
        <v>114</v>
      </c>
      <c r="F141" s="12" t="s">
        <v>111</v>
      </c>
      <c r="G141" s="12" t="s">
        <v>106</v>
      </c>
      <c r="H141" s="12">
        <v>10</v>
      </c>
      <c r="I141" s="13" t="s">
        <v>1585</v>
      </c>
      <c r="J141" s="12"/>
    </row>
    <row r="142" spans="1:10">
      <c r="A142" s="12">
        <f>IF(B142="","",COUNTA($B$4:B142))</f>
        <v>139</v>
      </c>
      <c r="B142" s="12" t="s">
        <v>1858</v>
      </c>
      <c r="C142" s="12" t="s">
        <v>1886</v>
      </c>
      <c r="D142" s="12" t="s">
        <v>1887</v>
      </c>
      <c r="E142" s="12" t="s">
        <v>1886</v>
      </c>
      <c r="F142" s="12" t="s">
        <v>1879</v>
      </c>
      <c r="G142" s="12" t="s">
        <v>1880</v>
      </c>
      <c r="H142" s="12"/>
      <c r="I142" s="13" t="s">
        <v>1585</v>
      </c>
      <c r="J142" s="12"/>
    </row>
    <row r="143" spans="1:10">
      <c r="A143" s="12">
        <f>IF(B143="","",COUNTA($B$4:B143))</f>
        <v>140</v>
      </c>
      <c r="B143" s="12" t="s">
        <v>1888</v>
      </c>
      <c r="C143" s="12" t="s">
        <v>1886</v>
      </c>
      <c r="D143" s="12" t="s">
        <v>1887</v>
      </c>
      <c r="E143" s="12" t="s">
        <v>1886</v>
      </c>
      <c r="F143" s="12" t="s">
        <v>1879</v>
      </c>
      <c r="G143" s="12" t="s">
        <v>1880</v>
      </c>
      <c r="H143" s="12"/>
      <c r="I143" s="13" t="s">
        <v>1585</v>
      </c>
      <c r="J143" s="12"/>
    </row>
    <row r="144" spans="1:10">
      <c r="A144" s="12">
        <f>IF(B144="","",COUNTA($B$4:B144))</f>
        <v>141</v>
      </c>
      <c r="B144" s="12" t="s">
        <v>1932</v>
      </c>
      <c r="C144" s="12" t="s">
        <v>1886</v>
      </c>
      <c r="D144" s="12" t="s">
        <v>1887</v>
      </c>
      <c r="E144" s="12" t="s">
        <v>1886</v>
      </c>
      <c r="F144" s="12" t="s">
        <v>1879</v>
      </c>
      <c r="G144" s="12" t="s">
        <v>1880</v>
      </c>
      <c r="H144" s="12"/>
      <c r="I144" s="13" t="s">
        <v>1585</v>
      </c>
      <c r="J144" s="12" t="s">
        <v>1447</v>
      </c>
    </row>
    <row r="145" spans="1:10">
      <c r="A145" s="12">
        <f>IF(B145="","",COUNTA($B$4:B145))</f>
        <v>142</v>
      </c>
      <c r="B145" s="12" t="s">
        <v>1957</v>
      </c>
      <c r="C145" s="12" t="s">
        <v>1886</v>
      </c>
      <c r="D145" s="12" t="s">
        <v>1887</v>
      </c>
      <c r="E145" s="12" t="s">
        <v>1886</v>
      </c>
      <c r="F145" s="12" t="s">
        <v>1879</v>
      </c>
      <c r="G145" s="12" t="s">
        <v>1880</v>
      </c>
      <c r="H145" s="12"/>
      <c r="I145" s="13" t="s">
        <v>1585</v>
      </c>
      <c r="J145" s="12"/>
    </row>
    <row r="146" spans="1:10">
      <c r="A146" s="12">
        <f>IF(B146="","",COUNTA($B$4:B146))</f>
        <v>143</v>
      </c>
      <c r="B146" s="12" t="s">
        <v>2012</v>
      </c>
      <c r="C146" s="12" t="s">
        <v>1886</v>
      </c>
      <c r="D146" s="12" t="s">
        <v>1887</v>
      </c>
      <c r="E146" s="12" t="s">
        <v>1886</v>
      </c>
      <c r="F146" s="12" t="s">
        <v>1879</v>
      </c>
      <c r="G146" s="12" t="s">
        <v>1880</v>
      </c>
      <c r="H146" s="12"/>
      <c r="I146" s="13" t="s">
        <v>1585</v>
      </c>
      <c r="J146" s="12"/>
    </row>
    <row r="147" spans="1:10">
      <c r="A147" s="12">
        <f>IF(B147="","",COUNTA($B$4:B147))</f>
        <v>144</v>
      </c>
      <c r="B147" s="12" t="s">
        <v>2054</v>
      </c>
      <c r="C147" s="12" t="s">
        <v>1886</v>
      </c>
      <c r="D147" s="12" t="s">
        <v>1887</v>
      </c>
      <c r="E147" s="12" t="s">
        <v>1886</v>
      </c>
      <c r="F147" s="12" t="s">
        <v>1879</v>
      </c>
      <c r="G147" s="12" t="s">
        <v>1880</v>
      </c>
      <c r="H147" s="12"/>
      <c r="I147" s="13" t="s">
        <v>1585</v>
      </c>
      <c r="J147" s="12"/>
    </row>
    <row r="148" spans="1:10">
      <c r="A148" s="12">
        <f>IF(B148="","",COUNTA($B$4:B148))</f>
        <v>145</v>
      </c>
      <c r="B148" s="12" t="s">
        <v>2066</v>
      </c>
      <c r="C148" s="12" t="s">
        <v>1886</v>
      </c>
      <c r="D148" s="12" t="s">
        <v>394</v>
      </c>
      <c r="E148" s="12" t="s">
        <v>115</v>
      </c>
      <c r="F148" s="12" t="s">
        <v>86</v>
      </c>
      <c r="G148" s="12" t="s">
        <v>108</v>
      </c>
      <c r="H148" s="12"/>
      <c r="I148" s="13" t="s">
        <v>1585</v>
      </c>
      <c r="J148" s="12"/>
    </row>
    <row r="149" spans="1:10">
      <c r="A149" s="12">
        <f>IF(B149="","",COUNTA($B$4:B149))</f>
        <v>146</v>
      </c>
      <c r="B149" s="12" t="s">
        <v>2069</v>
      </c>
      <c r="C149" s="12" t="s">
        <v>1886</v>
      </c>
      <c r="D149" s="12" t="s">
        <v>394</v>
      </c>
      <c r="E149" s="12" t="s">
        <v>115</v>
      </c>
      <c r="F149" s="12" t="s">
        <v>86</v>
      </c>
      <c r="G149" s="12" t="s">
        <v>1472</v>
      </c>
      <c r="H149" s="12"/>
      <c r="I149" s="13"/>
      <c r="J149" s="12"/>
    </row>
    <row r="150" spans="1:10">
      <c r="A150" s="12">
        <f>IF(B150="","",COUNTA($B$4:B150))</f>
        <v>147</v>
      </c>
      <c r="B150" s="12" t="s">
        <v>2118</v>
      </c>
      <c r="C150" s="12" t="s">
        <v>1886</v>
      </c>
      <c r="D150" s="12" t="s">
        <v>394</v>
      </c>
      <c r="E150" s="12" t="s">
        <v>1886</v>
      </c>
      <c r="F150" s="12" t="s">
        <v>1879</v>
      </c>
      <c r="G150" s="12" t="s">
        <v>1880</v>
      </c>
      <c r="H150" s="12"/>
      <c r="I150" s="13" t="s">
        <v>1585</v>
      </c>
      <c r="J150" s="12"/>
    </row>
    <row r="151" spans="1:10">
      <c r="A151" s="12">
        <f>IF(B151="","",COUNTA($B$4:B151))</f>
        <v>148</v>
      </c>
      <c r="B151" s="12" t="s">
        <v>2120</v>
      </c>
      <c r="C151" s="12" t="s">
        <v>1886</v>
      </c>
      <c r="D151" s="12" t="s">
        <v>1887</v>
      </c>
      <c r="E151" s="12" t="s">
        <v>1886</v>
      </c>
      <c r="F151" s="12" t="s">
        <v>1879</v>
      </c>
      <c r="G151" s="12" t="s">
        <v>1880</v>
      </c>
      <c r="H151" s="12"/>
      <c r="I151" s="13" t="s">
        <v>1585</v>
      </c>
      <c r="J151" s="12" t="s">
        <v>1447</v>
      </c>
    </row>
    <row r="152" spans="1:10">
      <c r="A152" s="12">
        <f>IF(B152="","",COUNTA($B$4:B152))</f>
        <v>149</v>
      </c>
      <c r="B152" s="12" t="s">
        <v>2124</v>
      </c>
      <c r="C152" s="12" t="s">
        <v>1886</v>
      </c>
      <c r="D152" s="12" t="s">
        <v>1887</v>
      </c>
      <c r="E152" s="12" t="s">
        <v>1886</v>
      </c>
      <c r="F152" s="12" t="s">
        <v>1879</v>
      </c>
      <c r="G152" s="12" t="s">
        <v>1880</v>
      </c>
      <c r="H152" s="12"/>
      <c r="I152" s="13" t="s">
        <v>1585</v>
      </c>
      <c r="J152" s="12"/>
    </row>
    <row r="153" spans="1:10">
      <c r="A153" s="12">
        <f>IF(B153="","",COUNTA($B$4:B153))</f>
        <v>150</v>
      </c>
      <c r="B153" s="12" t="s">
        <v>2139</v>
      </c>
      <c r="C153" s="12" t="s">
        <v>1886</v>
      </c>
      <c r="D153" s="12" t="s">
        <v>394</v>
      </c>
      <c r="E153" s="12" t="s">
        <v>1886</v>
      </c>
      <c r="F153" s="12" t="s">
        <v>1879</v>
      </c>
      <c r="G153" s="12" t="s">
        <v>2152</v>
      </c>
      <c r="H153" s="12"/>
      <c r="I153" s="13" t="s">
        <v>1585</v>
      </c>
      <c r="J153" s="12"/>
    </row>
    <row r="154" spans="1:10">
      <c r="A154" s="12">
        <f>IF(B154="","",COUNTA($B$4:B154))</f>
        <v>151</v>
      </c>
      <c r="B154" s="12" t="s">
        <v>2153</v>
      </c>
      <c r="C154" s="12" t="s">
        <v>1886</v>
      </c>
      <c r="D154" s="12" t="s">
        <v>394</v>
      </c>
      <c r="E154" s="12" t="s">
        <v>1886</v>
      </c>
      <c r="F154" s="12" t="s">
        <v>1879</v>
      </c>
      <c r="G154" s="12" t="s">
        <v>2152</v>
      </c>
      <c r="H154" s="12"/>
      <c r="I154" s="13" t="s">
        <v>1585</v>
      </c>
      <c r="J154" s="12"/>
    </row>
    <row r="155" spans="1:10">
      <c r="A155" s="12">
        <f>IF(B155="","",COUNTA($B$4:B155))</f>
        <v>152</v>
      </c>
      <c r="B155" s="12" t="s">
        <v>2190</v>
      </c>
      <c r="C155" s="12" t="s">
        <v>1886</v>
      </c>
      <c r="D155" s="12" t="s">
        <v>394</v>
      </c>
      <c r="E155" s="12" t="s">
        <v>1886</v>
      </c>
      <c r="F155" s="12" t="s">
        <v>1879</v>
      </c>
      <c r="G155" s="12" t="s">
        <v>1880</v>
      </c>
      <c r="H155" s="12"/>
      <c r="I155" s="13" t="s">
        <v>1585</v>
      </c>
      <c r="J155" s="12"/>
    </row>
    <row r="156" spans="1:10">
      <c r="A156" s="12">
        <f>IF(B156="","",COUNTA($B$4:B156))</f>
        <v>153</v>
      </c>
      <c r="B156" s="12" t="s">
        <v>2193</v>
      </c>
      <c r="C156" s="12" t="s">
        <v>1886</v>
      </c>
      <c r="D156" s="12" t="s">
        <v>394</v>
      </c>
      <c r="E156" s="12" t="s">
        <v>1886</v>
      </c>
      <c r="F156" s="12" t="s">
        <v>1879</v>
      </c>
      <c r="G156" s="12" t="s">
        <v>1880</v>
      </c>
      <c r="H156" s="12"/>
      <c r="I156" s="13" t="s">
        <v>1585</v>
      </c>
      <c r="J156" s="12"/>
    </row>
    <row r="157" spans="1:10">
      <c r="A157" s="12">
        <f>IF(B157="","",COUNTA($B$4:B157))</f>
        <v>154</v>
      </c>
      <c r="B157" s="12" t="s">
        <v>1494</v>
      </c>
      <c r="C157" s="12" t="s">
        <v>115</v>
      </c>
      <c r="D157" s="12" t="s">
        <v>394</v>
      </c>
      <c r="E157" s="12" t="s">
        <v>115</v>
      </c>
      <c r="F157" s="12" t="s">
        <v>86</v>
      </c>
      <c r="G157" s="12" t="s">
        <v>108</v>
      </c>
      <c r="H157" s="12"/>
      <c r="I157" s="13" t="s">
        <v>1585</v>
      </c>
      <c r="J157" s="12"/>
    </row>
    <row r="158" spans="1:10">
      <c r="A158" s="12">
        <f>IF(B158="","",COUNTA($B$4:B158))</f>
        <v>155</v>
      </c>
      <c r="B158" s="12" t="s">
        <v>2153</v>
      </c>
      <c r="C158" s="12" t="s">
        <v>2188</v>
      </c>
      <c r="D158" s="12" t="s">
        <v>1492</v>
      </c>
      <c r="E158" s="12" t="s">
        <v>2188</v>
      </c>
      <c r="F158" s="12" t="s">
        <v>1899</v>
      </c>
      <c r="G158" s="12" t="s">
        <v>1900</v>
      </c>
      <c r="H158" s="12">
        <v>7</v>
      </c>
      <c r="I158" s="13">
        <v>3</v>
      </c>
      <c r="J158" s="12" t="s">
        <v>1447</v>
      </c>
    </row>
    <row r="159" spans="1:10">
      <c r="A159" s="12">
        <f>IF(B159="","",COUNTA($B$4:B159))</f>
        <v>156</v>
      </c>
      <c r="B159" s="12" t="s">
        <v>1888</v>
      </c>
      <c r="C159" s="12" t="s">
        <v>1929</v>
      </c>
      <c r="D159" s="12" t="s">
        <v>1930</v>
      </c>
      <c r="E159" s="12" t="s">
        <v>1929</v>
      </c>
      <c r="F159" s="12" t="s">
        <v>1861</v>
      </c>
      <c r="G159" s="12" t="s">
        <v>1862</v>
      </c>
      <c r="H159" s="12">
        <v>1</v>
      </c>
      <c r="I159" s="13"/>
      <c r="J159" s="12"/>
    </row>
    <row r="160" spans="1:10">
      <c r="A160" s="12">
        <f>IF(B160="","",COUNTA($B$4:B160))</f>
        <v>157</v>
      </c>
      <c r="B160" s="12" t="s">
        <v>1932</v>
      </c>
      <c r="C160" s="12" t="s">
        <v>1929</v>
      </c>
      <c r="D160" s="12" t="s">
        <v>1930</v>
      </c>
      <c r="E160" s="12" t="s">
        <v>1929</v>
      </c>
      <c r="F160" s="12" t="s">
        <v>1861</v>
      </c>
      <c r="G160" s="12" t="s">
        <v>1862</v>
      </c>
      <c r="H160" s="12">
        <v>1</v>
      </c>
      <c r="I160" s="13"/>
      <c r="J160" s="12"/>
    </row>
    <row r="161" spans="1:10">
      <c r="A161" s="12">
        <f>IF(B161="","",COUNTA($B$4:B161))</f>
        <v>158</v>
      </c>
      <c r="B161" s="12" t="s">
        <v>2076</v>
      </c>
      <c r="C161" s="12" t="s">
        <v>2087</v>
      </c>
      <c r="D161" s="12" t="s">
        <v>1463</v>
      </c>
      <c r="E161" s="12"/>
      <c r="F161" s="12" t="s">
        <v>111</v>
      </c>
      <c r="G161" s="12" t="s">
        <v>106</v>
      </c>
      <c r="H161" s="12">
        <v>15</v>
      </c>
      <c r="I161" s="13"/>
      <c r="J161" s="12" t="s">
        <v>1447</v>
      </c>
    </row>
    <row r="162" spans="1:10">
      <c r="A162" s="12">
        <f>IF(B162="","",COUNTA($B$4:B162))</f>
        <v>159</v>
      </c>
      <c r="B162" s="12" t="s">
        <v>2076</v>
      </c>
      <c r="C162" s="12" t="s">
        <v>2088</v>
      </c>
      <c r="D162" s="12" t="s">
        <v>1106</v>
      </c>
      <c r="E162" s="12"/>
      <c r="F162" s="12" t="s">
        <v>111</v>
      </c>
      <c r="G162" s="12" t="s">
        <v>106</v>
      </c>
      <c r="H162" s="12">
        <v>15</v>
      </c>
      <c r="I162" s="13"/>
      <c r="J162" s="12"/>
    </row>
    <row r="163" spans="1:10">
      <c r="A163" s="12">
        <f>IF(B163="","",COUNTA($B$4:B163))</f>
        <v>160</v>
      </c>
      <c r="B163" s="12" t="s">
        <v>1957</v>
      </c>
      <c r="C163" s="12" t="s">
        <v>1967</v>
      </c>
      <c r="D163" s="12" t="s">
        <v>1968</v>
      </c>
      <c r="E163" s="12" t="s">
        <v>1967</v>
      </c>
      <c r="F163" s="12" t="s">
        <v>1861</v>
      </c>
      <c r="G163" s="12" t="s">
        <v>1862</v>
      </c>
      <c r="H163" s="12">
        <v>30</v>
      </c>
      <c r="I163" s="13"/>
      <c r="J163" s="12"/>
    </row>
    <row r="164" spans="1:10">
      <c r="A164" s="12">
        <f>IF(B164="","",COUNTA($B$4:B164))</f>
        <v>161</v>
      </c>
      <c r="B164" s="12" t="s">
        <v>2012</v>
      </c>
      <c r="C164" s="12" t="s">
        <v>1967</v>
      </c>
      <c r="D164" s="12" t="s">
        <v>1968</v>
      </c>
      <c r="E164" s="12" t="s">
        <v>1967</v>
      </c>
      <c r="F164" s="12" t="s">
        <v>1861</v>
      </c>
      <c r="G164" s="12" t="s">
        <v>1862</v>
      </c>
      <c r="H164" s="12">
        <v>30</v>
      </c>
      <c r="I164" s="13"/>
      <c r="J164" s="12"/>
    </row>
    <row r="165" spans="1:10">
      <c r="A165" s="12">
        <f>IF(B165="","",COUNTA($B$4:B165))</f>
        <v>162</v>
      </c>
      <c r="B165" s="12" t="s">
        <v>2054</v>
      </c>
      <c r="C165" s="12" t="s">
        <v>1967</v>
      </c>
      <c r="D165" s="12" t="s">
        <v>1968</v>
      </c>
      <c r="E165" s="12" t="s">
        <v>1967</v>
      </c>
      <c r="F165" s="12" t="s">
        <v>1861</v>
      </c>
      <c r="G165" s="12" t="s">
        <v>1862</v>
      </c>
      <c r="H165" s="12">
        <v>30</v>
      </c>
      <c r="I165" s="13"/>
      <c r="J165" s="12"/>
    </row>
    <row r="166" spans="1:10">
      <c r="A166" s="12">
        <f>IF(B166="","",COUNTA($B$4:B166))</f>
        <v>163</v>
      </c>
      <c r="B166" s="12" t="s">
        <v>1932</v>
      </c>
      <c r="C166" s="12" t="s">
        <v>1943</v>
      </c>
      <c r="D166" s="12" t="s">
        <v>1944</v>
      </c>
      <c r="E166" s="12" t="s">
        <v>1943</v>
      </c>
      <c r="F166" s="12" t="s">
        <v>1861</v>
      </c>
      <c r="G166" s="12" t="s">
        <v>1862</v>
      </c>
      <c r="H166" s="12">
        <v>1</v>
      </c>
      <c r="I166" s="13"/>
      <c r="J166" s="12"/>
    </row>
    <row r="167" spans="1:10">
      <c r="A167" s="12">
        <f>IF(B167="","",COUNTA($B$4:B167))</f>
        <v>164</v>
      </c>
      <c r="B167" s="12" t="s">
        <v>2118</v>
      </c>
      <c r="C167" s="12" t="s">
        <v>2119</v>
      </c>
      <c r="D167" s="12" t="s">
        <v>1478</v>
      </c>
      <c r="E167" s="12" t="s">
        <v>2119</v>
      </c>
      <c r="F167" s="12" t="s">
        <v>1879</v>
      </c>
      <c r="G167" s="12" t="s">
        <v>1880</v>
      </c>
      <c r="H167" s="12"/>
      <c r="I167" s="13"/>
      <c r="J167" s="12"/>
    </row>
    <row r="168" spans="1:10">
      <c r="A168" s="12">
        <f>IF(B168="","",COUNTA($B$4:B168))</f>
        <v>165</v>
      </c>
      <c r="B168" s="12" t="s">
        <v>1932</v>
      </c>
      <c r="C168" s="12" t="s">
        <v>1955</v>
      </c>
      <c r="D168" s="12" t="s">
        <v>1956</v>
      </c>
      <c r="E168" s="12" t="s">
        <v>1955</v>
      </c>
      <c r="F168" s="12" t="s">
        <v>1861</v>
      </c>
      <c r="G168" s="12" t="s">
        <v>1862</v>
      </c>
      <c r="H168" s="12">
        <v>1</v>
      </c>
      <c r="I168" s="13"/>
      <c r="J168" s="12"/>
    </row>
    <row r="169" spans="1:10">
      <c r="A169" s="12">
        <f>IF(B169="","",COUNTA($B$4:B169))</f>
        <v>166</v>
      </c>
      <c r="B169" s="12" t="s">
        <v>1888</v>
      </c>
      <c r="C169" s="12" t="s">
        <v>1909</v>
      </c>
      <c r="D169" s="12" t="s">
        <v>1910</v>
      </c>
      <c r="E169" s="12" t="s">
        <v>1911</v>
      </c>
      <c r="F169" s="12" t="s">
        <v>1899</v>
      </c>
      <c r="G169" s="12" t="s">
        <v>1900</v>
      </c>
      <c r="H169" s="12">
        <v>5</v>
      </c>
      <c r="I169" s="13" t="s">
        <v>1585</v>
      </c>
      <c r="J169" s="12"/>
    </row>
    <row r="170" spans="1:10">
      <c r="A170" s="12">
        <f>IF(B170="","",COUNTA($B$4:B170))</f>
        <v>167</v>
      </c>
      <c r="B170" s="12" t="s">
        <v>1932</v>
      </c>
      <c r="C170" s="12" t="s">
        <v>1909</v>
      </c>
      <c r="D170" s="12" t="s">
        <v>1910</v>
      </c>
      <c r="E170" s="12" t="s">
        <v>1911</v>
      </c>
      <c r="F170" s="12" t="s">
        <v>1899</v>
      </c>
      <c r="G170" s="12" t="s">
        <v>1900</v>
      </c>
      <c r="H170" s="12">
        <v>5</v>
      </c>
      <c r="I170" s="13" t="s">
        <v>1585</v>
      </c>
      <c r="J170" s="12"/>
    </row>
    <row r="171" spans="1:10">
      <c r="A171" s="12">
        <f>IF(B171="","",COUNTA($B$4:B171))</f>
        <v>168</v>
      </c>
      <c r="B171" s="12" t="s">
        <v>1957</v>
      </c>
      <c r="C171" s="12" t="s">
        <v>1909</v>
      </c>
      <c r="D171" s="12" t="s">
        <v>1979</v>
      </c>
      <c r="E171" s="12" t="s">
        <v>1911</v>
      </c>
      <c r="F171" s="12" t="s">
        <v>1899</v>
      </c>
      <c r="G171" s="12" t="s">
        <v>1900</v>
      </c>
      <c r="H171" s="12">
        <v>5</v>
      </c>
      <c r="I171" s="13" t="s">
        <v>1585</v>
      </c>
      <c r="J171" s="12" t="s">
        <v>1918</v>
      </c>
    </row>
    <row r="172" spans="1:10">
      <c r="A172" s="12">
        <f>IF(B172="","",COUNTA($B$4:B172))</f>
        <v>169</v>
      </c>
      <c r="B172" s="12" t="s">
        <v>2066</v>
      </c>
      <c r="C172" s="12" t="s">
        <v>1911</v>
      </c>
      <c r="D172" s="12" t="s">
        <v>1910</v>
      </c>
      <c r="E172" s="12" t="s">
        <v>1911</v>
      </c>
      <c r="F172" s="12" t="s">
        <v>1899</v>
      </c>
      <c r="G172" s="12" t="s">
        <v>1900</v>
      </c>
      <c r="H172" s="12">
        <v>5</v>
      </c>
      <c r="I172" s="13" t="s">
        <v>1585</v>
      </c>
      <c r="J172" s="12"/>
    </row>
    <row r="173" spans="1:10">
      <c r="A173" s="12">
        <f>IF(B173="","",COUNTA($B$4:B173))</f>
        <v>170</v>
      </c>
      <c r="B173" s="12" t="s">
        <v>1957</v>
      </c>
      <c r="C173" s="289" t="s">
        <v>1984</v>
      </c>
      <c r="D173" s="290" t="s">
        <v>1985</v>
      </c>
      <c r="E173" s="289" t="s">
        <v>1984</v>
      </c>
      <c r="F173" s="12" t="s">
        <v>1899</v>
      </c>
      <c r="G173" s="12" t="s">
        <v>1900</v>
      </c>
      <c r="H173" s="12">
        <v>5</v>
      </c>
      <c r="I173" s="13"/>
      <c r="J173" s="12"/>
    </row>
    <row r="174" spans="1:10">
      <c r="A174" s="12">
        <f>IF(B174="","",COUNTA($B$4:B174))</f>
        <v>171</v>
      </c>
      <c r="B174" s="12" t="s">
        <v>2076</v>
      </c>
      <c r="C174" s="12" t="s">
        <v>2106</v>
      </c>
      <c r="D174" s="61"/>
      <c r="E174" s="12"/>
      <c r="F174" s="12" t="s">
        <v>1861</v>
      </c>
      <c r="G174" s="12" t="s">
        <v>1862</v>
      </c>
      <c r="H174" s="12">
        <v>15</v>
      </c>
      <c r="I174" s="13"/>
      <c r="J174" s="12"/>
    </row>
    <row r="175" spans="1:10">
      <c r="A175" s="12">
        <f>IF(B175="","",COUNTA($B$4:B175))</f>
        <v>172</v>
      </c>
      <c r="B175" s="12" t="s">
        <v>2076</v>
      </c>
      <c r="C175" s="12" t="s">
        <v>2100</v>
      </c>
      <c r="D175" s="61"/>
      <c r="E175" s="12"/>
      <c r="F175" s="12" t="s">
        <v>1861</v>
      </c>
      <c r="G175" s="12" t="s">
        <v>1862</v>
      </c>
      <c r="H175" s="12">
        <v>15</v>
      </c>
      <c r="I175" s="13"/>
      <c r="J175" s="12"/>
    </row>
    <row r="176" spans="1:10">
      <c r="A176" s="12">
        <f>IF(B176="","",COUNTA($B$4:B176))</f>
        <v>173</v>
      </c>
      <c r="B176" s="12" t="s">
        <v>2076</v>
      </c>
      <c r="C176" s="12" t="s">
        <v>2103</v>
      </c>
      <c r="D176" s="61"/>
      <c r="E176" s="12"/>
      <c r="F176" s="12" t="s">
        <v>1861</v>
      </c>
      <c r="G176" s="12" t="s">
        <v>1862</v>
      </c>
      <c r="H176" s="12">
        <v>15</v>
      </c>
      <c r="I176" s="13"/>
      <c r="J176" s="12"/>
    </row>
    <row r="177" spans="1:10">
      <c r="A177" s="12">
        <f>IF(B177="","",COUNTA($B$4:B177))</f>
        <v>174</v>
      </c>
      <c r="B177" s="12" t="s">
        <v>2076</v>
      </c>
      <c r="C177" s="12" t="s">
        <v>2110</v>
      </c>
      <c r="D177" s="61"/>
      <c r="E177" s="12"/>
      <c r="F177" s="12" t="s">
        <v>1861</v>
      </c>
      <c r="G177" s="12" t="s">
        <v>1862</v>
      </c>
      <c r="H177" s="12">
        <v>15</v>
      </c>
      <c r="I177" s="13"/>
      <c r="J177" s="12"/>
    </row>
    <row r="178" spans="1:10">
      <c r="A178" s="12">
        <f>IF(B178="","",COUNTA($B$4:B178))</f>
        <v>175</v>
      </c>
      <c r="B178" s="12" t="s">
        <v>2076</v>
      </c>
      <c r="C178" s="12" t="s">
        <v>2094</v>
      </c>
      <c r="D178" s="61"/>
      <c r="E178" s="12"/>
      <c r="F178" s="12" t="s">
        <v>1861</v>
      </c>
      <c r="G178" s="12" t="s">
        <v>1862</v>
      </c>
      <c r="H178" s="12">
        <v>15</v>
      </c>
      <c r="I178" s="13"/>
      <c r="J178" s="12"/>
    </row>
    <row r="179" spans="1:10">
      <c r="A179" s="12">
        <f>IF(B179="","",COUNTA($B$4:B179))</f>
        <v>176</v>
      </c>
      <c r="B179" s="12" t="s">
        <v>2076</v>
      </c>
      <c r="C179" s="12" t="s">
        <v>2097</v>
      </c>
      <c r="D179" s="61"/>
      <c r="E179" s="12"/>
      <c r="F179" s="12" t="s">
        <v>1861</v>
      </c>
      <c r="G179" s="12" t="s">
        <v>1862</v>
      </c>
      <c r="H179" s="12">
        <v>15</v>
      </c>
      <c r="I179" s="13"/>
      <c r="J179" s="12" t="s">
        <v>1447</v>
      </c>
    </row>
    <row r="180" spans="1:10">
      <c r="A180" s="12">
        <f>IF(B180="","",COUNTA($B$4:B180))</f>
        <v>177</v>
      </c>
      <c r="B180" s="12" t="s">
        <v>1957</v>
      </c>
      <c r="C180" s="12" t="s">
        <v>1977</v>
      </c>
      <c r="D180" s="12" t="s">
        <v>1978</v>
      </c>
      <c r="E180" s="12" t="s">
        <v>1977</v>
      </c>
      <c r="F180" s="12" t="s">
        <v>1861</v>
      </c>
      <c r="G180" s="12" t="s">
        <v>1862</v>
      </c>
      <c r="H180" s="12">
        <v>2</v>
      </c>
      <c r="I180" s="13"/>
      <c r="J180" s="12"/>
    </row>
    <row r="181" spans="1:10">
      <c r="A181" s="12">
        <f>IF(B181="","",COUNTA($B$4:B181))</f>
        <v>178</v>
      </c>
      <c r="B181" s="12" t="s">
        <v>2076</v>
      </c>
      <c r="C181" s="12" t="s">
        <v>2085</v>
      </c>
      <c r="D181" s="61"/>
      <c r="E181" s="12"/>
      <c r="F181" s="12" t="s">
        <v>111</v>
      </c>
      <c r="G181" s="12" t="s">
        <v>106</v>
      </c>
      <c r="H181" s="12">
        <v>15</v>
      </c>
      <c r="I181" s="13"/>
      <c r="J181" s="12" t="s">
        <v>1918</v>
      </c>
    </row>
    <row r="182" spans="1:10">
      <c r="A182" s="12">
        <f>IF(B182="","",COUNTA($B$4:B182))</f>
        <v>179</v>
      </c>
      <c r="B182" s="12" t="s">
        <v>2069</v>
      </c>
      <c r="C182" s="12" t="s">
        <v>2073</v>
      </c>
      <c r="D182" s="12" t="s">
        <v>1028</v>
      </c>
      <c r="E182" s="12" t="s">
        <v>1469</v>
      </c>
      <c r="F182" s="12" t="s">
        <v>107</v>
      </c>
      <c r="G182" s="12" t="s">
        <v>109</v>
      </c>
      <c r="H182" s="12">
        <v>5</v>
      </c>
      <c r="I182" s="13"/>
      <c r="J182" s="12"/>
    </row>
    <row r="183" spans="1:10">
      <c r="A183" s="12">
        <f>IF(B183="","",COUNTA($B$4:B183))</f>
        <v>180</v>
      </c>
      <c r="B183" s="12" t="s">
        <v>2076</v>
      </c>
      <c r="C183" s="12" t="s">
        <v>2105</v>
      </c>
      <c r="D183" s="61"/>
      <c r="E183" s="12"/>
      <c r="F183" s="12" t="s">
        <v>1861</v>
      </c>
      <c r="G183" s="12" t="s">
        <v>1862</v>
      </c>
      <c r="H183" s="12">
        <v>15</v>
      </c>
      <c r="I183" s="13"/>
      <c r="J183" s="12"/>
    </row>
    <row r="184" spans="1:10">
      <c r="A184" s="12">
        <f>IF(B184="","",COUNTA($B$4:B184))</f>
        <v>181</v>
      </c>
      <c r="B184" s="12" t="s">
        <v>2076</v>
      </c>
      <c r="C184" s="12" t="s">
        <v>2109</v>
      </c>
      <c r="D184" s="61"/>
      <c r="E184" s="12"/>
      <c r="F184" s="12" t="s">
        <v>1861</v>
      </c>
      <c r="G184" s="12" t="s">
        <v>1862</v>
      </c>
      <c r="H184" s="12">
        <v>15</v>
      </c>
      <c r="I184" s="13"/>
      <c r="J184" s="12"/>
    </row>
    <row r="185" spans="1:10">
      <c r="A185" s="12">
        <f>IF(B185="","",COUNTA($B$4:B185))</f>
        <v>182</v>
      </c>
      <c r="B185" s="12" t="s">
        <v>2190</v>
      </c>
      <c r="C185" s="12" t="s">
        <v>2192</v>
      </c>
      <c r="D185" s="61"/>
      <c r="E185" s="12" t="s">
        <v>2192</v>
      </c>
      <c r="F185" s="12" t="s">
        <v>1899</v>
      </c>
      <c r="G185" s="12" t="s">
        <v>1900</v>
      </c>
      <c r="H185" s="12">
        <v>8</v>
      </c>
      <c r="I185" s="13"/>
      <c r="J185" s="12" t="s">
        <v>1447</v>
      </c>
    </row>
    <row r="186" spans="1:10">
      <c r="A186" s="12">
        <f>IF(B186="","",COUNTA($B$4:B186))</f>
        <v>183</v>
      </c>
      <c r="B186" s="12" t="s">
        <v>1494</v>
      </c>
      <c r="C186" s="12" t="s">
        <v>1501</v>
      </c>
      <c r="D186" s="61"/>
      <c r="E186" s="12" t="s">
        <v>139</v>
      </c>
      <c r="F186" s="12" t="s">
        <v>107</v>
      </c>
      <c r="G186" s="12" t="s">
        <v>109</v>
      </c>
      <c r="H186" s="12">
        <v>7</v>
      </c>
      <c r="I186" s="13" t="s">
        <v>1493</v>
      </c>
      <c r="J186" s="12" t="s">
        <v>1447</v>
      </c>
    </row>
    <row r="187" spans="1:10">
      <c r="A187" s="12">
        <f>IF(B187="","",COUNTA($B$4:B187))</f>
        <v>184</v>
      </c>
      <c r="B187" s="12" t="s">
        <v>1494</v>
      </c>
      <c r="C187" s="12" t="s">
        <v>138</v>
      </c>
      <c r="D187" s="61"/>
      <c r="E187" s="12" t="s">
        <v>138</v>
      </c>
      <c r="F187" s="12" t="s">
        <v>107</v>
      </c>
      <c r="G187" s="12" t="s">
        <v>109</v>
      </c>
      <c r="H187" s="12">
        <v>6</v>
      </c>
      <c r="I187" s="13" t="s">
        <v>1585</v>
      </c>
      <c r="J187" s="12"/>
    </row>
    <row r="188" spans="1:10">
      <c r="A188" s="12">
        <f>IF(B188="","",COUNTA($B$4:B188))</f>
        <v>185</v>
      </c>
      <c r="B188" s="12" t="s">
        <v>1494</v>
      </c>
      <c r="C188" s="12" t="s">
        <v>1500</v>
      </c>
      <c r="D188" s="61"/>
      <c r="E188" s="12" t="s">
        <v>139</v>
      </c>
      <c r="F188" s="12" t="s">
        <v>107</v>
      </c>
      <c r="G188" s="12" t="s">
        <v>109</v>
      </c>
      <c r="H188" s="12">
        <v>7</v>
      </c>
      <c r="I188" s="13" t="s">
        <v>1493</v>
      </c>
      <c r="J188" s="12"/>
    </row>
    <row r="189" spans="1:10">
      <c r="A189" s="12">
        <f>IF(B189="","",COUNTA($B$4:B189))</f>
        <v>186</v>
      </c>
      <c r="B189" s="12" t="s">
        <v>1957</v>
      </c>
      <c r="C189" s="12" t="s">
        <v>2006</v>
      </c>
      <c r="D189" s="12" t="s">
        <v>2007</v>
      </c>
      <c r="E189" s="12" t="s">
        <v>2006</v>
      </c>
      <c r="F189" s="12" t="s">
        <v>111</v>
      </c>
      <c r="G189" s="12" t="s">
        <v>109</v>
      </c>
      <c r="H189" s="12">
        <v>7</v>
      </c>
      <c r="I189" s="13">
        <v>2</v>
      </c>
      <c r="J189" s="12"/>
    </row>
    <row r="190" spans="1:10">
      <c r="A190" s="12">
        <f>IF(B190="","",COUNTA($B$4:B190))</f>
        <v>187</v>
      </c>
      <c r="B190" s="12" t="s">
        <v>2076</v>
      </c>
      <c r="C190" s="12" t="s">
        <v>2081</v>
      </c>
      <c r="D190" s="61"/>
      <c r="E190" s="12"/>
      <c r="F190" s="12" t="s">
        <v>111</v>
      </c>
      <c r="G190" s="12" t="s">
        <v>106</v>
      </c>
      <c r="H190" s="12">
        <v>15</v>
      </c>
      <c r="I190" s="13"/>
      <c r="J190" s="12"/>
    </row>
    <row r="191" spans="1:10">
      <c r="A191" s="12">
        <f>IF(B191="","",COUNTA($B$4:B191))</f>
        <v>188</v>
      </c>
      <c r="B191" s="12" t="s">
        <v>2076</v>
      </c>
      <c r="C191" s="12" t="s">
        <v>2080</v>
      </c>
      <c r="D191" s="61"/>
      <c r="E191" s="12"/>
      <c r="F191" s="12"/>
      <c r="G191" s="12"/>
      <c r="H191" s="12"/>
      <c r="I191" s="13"/>
      <c r="J191" s="12"/>
    </row>
    <row r="192" spans="1:10">
      <c r="A192" s="12">
        <f>IF(B192="","",COUNTA($B$4:B192))</f>
        <v>189</v>
      </c>
      <c r="B192" s="12" t="s">
        <v>2153</v>
      </c>
      <c r="C192" s="12" t="s">
        <v>2154</v>
      </c>
      <c r="D192" s="12" t="s">
        <v>1483</v>
      </c>
      <c r="E192" s="12" t="s">
        <v>2154</v>
      </c>
      <c r="F192" s="12" t="s">
        <v>1861</v>
      </c>
      <c r="G192" s="12" t="s">
        <v>1862</v>
      </c>
      <c r="H192" s="12">
        <v>15</v>
      </c>
      <c r="I192" s="13" t="s">
        <v>1585</v>
      </c>
      <c r="J192" s="12"/>
    </row>
    <row r="193" spans="1:10">
      <c r="A193" s="12">
        <f>IF(B193="","",COUNTA($B$4:B193))</f>
        <v>190</v>
      </c>
      <c r="B193" s="12" t="s">
        <v>2190</v>
      </c>
      <c r="C193" s="12" t="s">
        <v>2154</v>
      </c>
      <c r="D193" s="61"/>
      <c r="E193" s="12" t="s">
        <v>2154</v>
      </c>
      <c r="F193" s="12" t="s">
        <v>1861</v>
      </c>
      <c r="G193" s="12" t="s">
        <v>1862</v>
      </c>
      <c r="H193" s="12">
        <v>15</v>
      </c>
      <c r="I193" s="13" t="s">
        <v>1585</v>
      </c>
      <c r="J193" s="12"/>
    </row>
    <row r="194" spans="1:10">
      <c r="A194" s="12">
        <f>IF(B194="","",COUNTA($B$4:B194))</f>
        <v>191</v>
      </c>
      <c r="B194" s="12" t="s">
        <v>2139</v>
      </c>
      <c r="C194" s="12" t="s">
        <v>2140</v>
      </c>
      <c r="D194" s="12" t="s">
        <v>2141</v>
      </c>
      <c r="E194" s="12" t="s">
        <v>2140</v>
      </c>
      <c r="F194" s="12" t="s">
        <v>1861</v>
      </c>
      <c r="G194" s="12" t="s">
        <v>1862</v>
      </c>
      <c r="H194" s="12">
        <v>15</v>
      </c>
      <c r="I194" s="13" t="s">
        <v>1585</v>
      </c>
      <c r="J194" s="12" t="s">
        <v>1447</v>
      </c>
    </row>
    <row r="195" spans="1:10">
      <c r="A195" s="12">
        <f>IF(B195="","",COUNTA($B$4:B195))</f>
        <v>192</v>
      </c>
      <c r="B195" s="12" t="s">
        <v>1494</v>
      </c>
      <c r="C195" s="12" t="s">
        <v>1499</v>
      </c>
      <c r="D195" s="61"/>
      <c r="E195" s="12" t="s">
        <v>1499</v>
      </c>
      <c r="F195" s="12" t="s">
        <v>107</v>
      </c>
      <c r="G195" s="12" t="s">
        <v>109</v>
      </c>
      <c r="H195" s="12">
        <v>6</v>
      </c>
      <c r="I195" s="13" t="s">
        <v>1585</v>
      </c>
      <c r="J195" s="12"/>
    </row>
    <row r="196" spans="1:10">
      <c r="A196" s="12">
        <f>IF(B196="","",COUNTA($B$4:B196))</f>
        <v>193</v>
      </c>
      <c r="B196" s="12" t="s">
        <v>1494</v>
      </c>
      <c r="C196" s="12" t="s">
        <v>137</v>
      </c>
      <c r="D196" s="61"/>
      <c r="E196" s="12" t="s">
        <v>137</v>
      </c>
      <c r="F196" s="12" t="s">
        <v>107</v>
      </c>
      <c r="G196" s="12" t="s">
        <v>109</v>
      </c>
      <c r="H196" s="12">
        <v>6</v>
      </c>
      <c r="I196" s="13" t="s">
        <v>1585</v>
      </c>
      <c r="J196" s="12"/>
    </row>
    <row r="197" spans="1:10">
      <c r="A197" s="12">
        <f>IF(B197="","",COUNTA($B$4:B197))</f>
        <v>194</v>
      </c>
      <c r="B197" s="12" t="s">
        <v>1494</v>
      </c>
      <c r="C197" s="12" t="s">
        <v>1498</v>
      </c>
      <c r="D197" s="61"/>
      <c r="E197" s="12" t="s">
        <v>1498</v>
      </c>
      <c r="F197" s="12" t="s">
        <v>107</v>
      </c>
      <c r="G197" s="12" t="s">
        <v>109</v>
      </c>
      <c r="H197" s="12">
        <v>7</v>
      </c>
      <c r="I197" s="13" t="s">
        <v>1493</v>
      </c>
      <c r="J197" s="12"/>
    </row>
    <row r="198" spans="1:10">
      <c r="A198" s="12">
        <f>IF(B198="","",COUNTA($B$4:B198))</f>
        <v>195</v>
      </c>
      <c r="B198" s="12" t="s">
        <v>2054</v>
      </c>
      <c r="C198" s="12" t="s">
        <v>2058</v>
      </c>
      <c r="D198" s="12" t="s">
        <v>2059</v>
      </c>
      <c r="E198" s="12" t="s">
        <v>2058</v>
      </c>
      <c r="F198" s="12" t="s">
        <v>1861</v>
      </c>
      <c r="G198" s="12" t="s">
        <v>1862</v>
      </c>
      <c r="H198" s="12">
        <v>3</v>
      </c>
      <c r="I198" s="13"/>
      <c r="J198" s="12"/>
    </row>
    <row r="199" spans="1:10">
      <c r="A199" s="12">
        <f>IF(B199="","",COUNTA($B$4:B199))</f>
        <v>196</v>
      </c>
      <c r="B199" s="12" t="s">
        <v>2153</v>
      </c>
      <c r="C199" s="12" t="s">
        <v>2058</v>
      </c>
      <c r="D199" s="12" t="s">
        <v>2059</v>
      </c>
      <c r="E199" s="12" t="s">
        <v>2058</v>
      </c>
      <c r="F199" s="12" t="s">
        <v>1861</v>
      </c>
      <c r="G199" s="12" t="s">
        <v>1862</v>
      </c>
      <c r="H199" s="12">
        <v>3</v>
      </c>
      <c r="I199" s="13"/>
      <c r="J199" s="12"/>
    </row>
    <row r="200" spans="1:10">
      <c r="A200" s="12">
        <f>IF(B200="","",COUNTA($B$4:B200))</f>
        <v>197</v>
      </c>
      <c r="B200" s="12" t="s">
        <v>2190</v>
      </c>
      <c r="C200" s="12" t="s">
        <v>2058</v>
      </c>
      <c r="D200" s="61"/>
      <c r="E200" s="12" t="s">
        <v>2058</v>
      </c>
      <c r="F200" s="12" t="s">
        <v>1861</v>
      </c>
      <c r="G200" s="12" t="s">
        <v>1862</v>
      </c>
      <c r="H200" s="12">
        <v>3</v>
      </c>
      <c r="I200" s="13"/>
      <c r="J200" s="12"/>
    </row>
    <row r="201" spans="1:10">
      <c r="A201" s="12">
        <f>IF(B201="","",COUNTA($B$4:B201))</f>
        <v>198</v>
      </c>
      <c r="B201" s="12" t="s">
        <v>2054</v>
      </c>
      <c r="C201" s="12" t="s">
        <v>2060</v>
      </c>
      <c r="D201" s="12" t="s">
        <v>2061</v>
      </c>
      <c r="E201" s="12" t="s">
        <v>2060</v>
      </c>
      <c r="F201" s="12" t="s">
        <v>1861</v>
      </c>
      <c r="G201" s="12" t="s">
        <v>1862</v>
      </c>
      <c r="H201" s="12">
        <v>3</v>
      </c>
      <c r="I201" s="13"/>
      <c r="J201" s="12"/>
    </row>
    <row r="202" spans="1:10">
      <c r="A202" s="12">
        <f>IF(B202="","",COUNTA($B$4:B202))</f>
        <v>199</v>
      </c>
      <c r="B202" s="12" t="s">
        <v>2190</v>
      </c>
      <c r="C202" s="12" t="s">
        <v>2060</v>
      </c>
      <c r="D202" s="61"/>
      <c r="E202" s="12" t="s">
        <v>2060</v>
      </c>
      <c r="F202" s="12" t="s">
        <v>1861</v>
      </c>
      <c r="G202" s="12" t="s">
        <v>1862</v>
      </c>
      <c r="H202" s="12">
        <v>3</v>
      </c>
      <c r="I202" s="13"/>
      <c r="J202" s="12" t="s">
        <v>1447</v>
      </c>
    </row>
    <row r="203" spans="1:10">
      <c r="A203" s="12">
        <f>IF(B203="","",COUNTA($B$4:B203))</f>
        <v>200</v>
      </c>
      <c r="B203" s="12" t="s">
        <v>2054</v>
      </c>
      <c r="C203" s="12" t="s">
        <v>2056</v>
      </c>
      <c r="D203" s="12" t="s">
        <v>2057</v>
      </c>
      <c r="E203" s="12" t="s">
        <v>2056</v>
      </c>
      <c r="F203" s="12" t="s">
        <v>1879</v>
      </c>
      <c r="G203" s="12" t="s">
        <v>1880</v>
      </c>
      <c r="H203" s="12"/>
      <c r="I203" s="13"/>
      <c r="J203" s="12"/>
    </row>
    <row r="204" spans="1:10">
      <c r="A204" s="12">
        <f>IF(B204="","",COUNTA($B$4:B204))</f>
        <v>201</v>
      </c>
      <c r="B204" s="12" t="s">
        <v>2153</v>
      </c>
      <c r="C204" s="12" t="s">
        <v>2056</v>
      </c>
      <c r="D204" s="12" t="s">
        <v>2057</v>
      </c>
      <c r="E204" s="12" t="s">
        <v>2056</v>
      </c>
      <c r="F204" s="12" t="s">
        <v>1879</v>
      </c>
      <c r="G204" s="12" t="s">
        <v>1880</v>
      </c>
      <c r="H204" s="12"/>
      <c r="I204" s="13"/>
      <c r="J204" s="12" t="s">
        <v>1447</v>
      </c>
    </row>
    <row r="205" spans="1:10">
      <c r="A205" s="12">
        <f>IF(B205="","",COUNTA($B$4:B205))</f>
        <v>202</v>
      </c>
      <c r="B205" s="12" t="s">
        <v>2190</v>
      </c>
      <c r="C205" s="12" t="s">
        <v>2056</v>
      </c>
      <c r="D205" s="61"/>
      <c r="E205" s="12" t="s">
        <v>2056</v>
      </c>
      <c r="F205" s="12" t="s">
        <v>1879</v>
      </c>
      <c r="G205" s="12" t="s">
        <v>1880</v>
      </c>
      <c r="H205" s="12"/>
      <c r="I205" s="13"/>
      <c r="J205" s="12"/>
    </row>
    <row r="206" spans="1:10">
      <c r="A206" s="12">
        <f>IF(B206="","",COUNTA($B$4:B206))</f>
        <v>203</v>
      </c>
      <c r="B206" s="12" t="s">
        <v>2069</v>
      </c>
      <c r="C206" s="12" t="s">
        <v>2075</v>
      </c>
      <c r="D206" s="12" t="s">
        <v>424</v>
      </c>
      <c r="E206" s="12" t="s">
        <v>1471</v>
      </c>
      <c r="F206" s="12" t="s">
        <v>111</v>
      </c>
      <c r="G206" s="12" t="s">
        <v>106</v>
      </c>
      <c r="H206" s="12">
        <v>4</v>
      </c>
      <c r="I206" s="13"/>
      <c r="J206" s="12"/>
    </row>
    <row r="207" spans="1:10">
      <c r="A207" s="12">
        <f>IF(B207="","",COUNTA($B$4:B207))</f>
        <v>204</v>
      </c>
      <c r="B207" s="12" t="s">
        <v>2069</v>
      </c>
      <c r="C207" s="12" t="s">
        <v>2074</v>
      </c>
      <c r="D207" s="12" t="s">
        <v>426</v>
      </c>
      <c r="E207" s="12" t="s">
        <v>1470</v>
      </c>
      <c r="F207" s="12" t="s">
        <v>111</v>
      </c>
      <c r="G207" s="12" t="s">
        <v>106</v>
      </c>
      <c r="H207" s="12">
        <v>4</v>
      </c>
      <c r="I207" s="13"/>
      <c r="J207" s="12"/>
    </row>
    <row r="208" spans="1:10">
      <c r="A208" s="12">
        <f>IF(B208="","",COUNTA($B$4:B208))</f>
        <v>205</v>
      </c>
      <c r="B208" s="12" t="s">
        <v>2076</v>
      </c>
      <c r="C208" s="12" t="s">
        <v>2086</v>
      </c>
      <c r="D208" s="12" t="s">
        <v>649</v>
      </c>
      <c r="E208" s="12" t="s">
        <v>1473</v>
      </c>
      <c r="F208" s="12" t="s">
        <v>111</v>
      </c>
      <c r="G208" s="12" t="s">
        <v>106</v>
      </c>
      <c r="H208" s="12">
        <v>15</v>
      </c>
      <c r="I208" s="13"/>
      <c r="J208" s="12" t="s">
        <v>1447</v>
      </c>
    </row>
    <row r="209" spans="1:10">
      <c r="A209" s="12">
        <f>IF(B209="","",COUNTA($B$4:B209))</f>
        <v>206</v>
      </c>
      <c r="B209" s="12" t="s">
        <v>1957</v>
      </c>
      <c r="C209" s="12" t="s">
        <v>1996</v>
      </c>
      <c r="D209" s="12" t="s">
        <v>1997</v>
      </c>
      <c r="E209" s="12" t="s">
        <v>1996</v>
      </c>
      <c r="F209" s="12" t="s">
        <v>1861</v>
      </c>
      <c r="G209" s="12" t="s">
        <v>1862</v>
      </c>
      <c r="H209" s="12">
        <v>3</v>
      </c>
      <c r="I209" s="13"/>
      <c r="J209" s="12"/>
    </row>
    <row r="210" spans="1:10">
      <c r="A210" s="12">
        <f>IF(B210="","",COUNTA($B$4:B210))</f>
        <v>207</v>
      </c>
      <c r="B210" s="12" t="s">
        <v>2196</v>
      </c>
      <c r="C210" s="12" t="s">
        <v>2198</v>
      </c>
      <c r="D210" s="61"/>
      <c r="E210" s="12" t="s">
        <v>2198</v>
      </c>
      <c r="F210" s="12" t="s">
        <v>1861</v>
      </c>
      <c r="G210" s="12" t="s">
        <v>1880</v>
      </c>
      <c r="H210" s="12">
        <v>7</v>
      </c>
      <c r="I210" s="13"/>
      <c r="J210" s="12"/>
    </row>
    <row r="211" spans="1:10">
      <c r="A211" s="12">
        <f>IF(B211="","",COUNTA($B$4:B211))</f>
        <v>208</v>
      </c>
      <c r="B211" s="12" t="s">
        <v>2193</v>
      </c>
      <c r="C211" s="12" t="s">
        <v>2194</v>
      </c>
      <c r="D211" s="61"/>
      <c r="E211" s="12" t="s">
        <v>2195</v>
      </c>
      <c r="F211" s="12" t="s">
        <v>1861</v>
      </c>
      <c r="G211" s="12" t="s">
        <v>1880</v>
      </c>
      <c r="H211" s="12">
        <v>7</v>
      </c>
      <c r="I211" s="13"/>
      <c r="J211" s="12"/>
    </row>
    <row r="212" spans="1:10">
      <c r="A212" s="12">
        <f>IF(B212="","",COUNTA($B$4:B212))</f>
        <v>209</v>
      </c>
      <c r="B212" s="12" t="s">
        <v>2153</v>
      </c>
      <c r="C212" s="12" t="s">
        <v>2189</v>
      </c>
      <c r="D212" s="61"/>
      <c r="E212" s="12" t="s">
        <v>2189</v>
      </c>
      <c r="F212" s="12" t="s">
        <v>1899</v>
      </c>
      <c r="G212" s="12" t="s">
        <v>1900</v>
      </c>
      <c r="H212" s="12">
        <v>1</v>
      </c>
      <c r="I212" s="13"/>
      <c r="J212" s="12"/>
    </row>
    <row r="213" spans="1:10">
      <c r="A213" s="12">
        <f>IF(B213="","",COUNTA($B$4:B213))</f>
        <v>210</v>
      </c>
      <c r="B213" s="12" t="s">
        <v>1888</v>
      </c>
      <c r="C213" s="12" t="s">
        <v>1916</v>
      </c>
      <c r="D213" s="12" t="s">
        <v>1917</v>
      </c>
      <c r="E213" s="12" t="s">
        <v>1916</v>
      </c>
      <c r="F213" s="12" t="s">
        <v>1899</v>
      </c>
      <c r="G213" s="12" t="s">
        <v>1900</v>
      </c>
      <c r="H213" s="12">
        <v>5</v>
      </c>
      <c r="I213" s="13"/>
      <c r="J213" s="12"/>
    </row>
    <row r="214" spans="1:10">
      <c r="A214" s="12">
        <f>IF(B214="","",COUNTA($B$4:B214))</f>
        <v>211</v>
      </c>
      <c r="B214" s="12" t="s">
        <v>2054</v>
      </c>
      <c r="C214" s="12" t="s">
        <v>1916</v>
      </c>
      <c r="D214" s="12" t="s">
        <v>1917</v>
      </c>
      <c r="E214" s="12" t="s">
        <v>1916</v>
      </c>
      <c r="F214" s="12" t="s">
        <v>1899</v>
      </c>
      <c r="G214" s="12" t="s">
        <v>1900</v>
      </c>
      <c r="H214" s="12">
        <v>5</v>
      </c>
      <c r="I214" s="13"/>
      <c r="J214" s="12"/>
    </row>
    <row r="215" spans="1:10">
      <c r="A215" s="12">
        <f>IF(B215="","",COUNTA($B$4:B215))</f>
        <v>212</v>
      </c>
      <c r="B215" s="12" t="s">
        <v>2118</v>
      </c>
      <c r="C215" s="12" t="s">
        <v>1916</v>
      </c>
      <c r="D215" s="12" t="s">
        <v>432</v>
      </c>
      <c r="E215" s="12" t="s">
        <v>1916</v>
      </c>
      <c r="F215" s="12" t="s">
        <v>1899</v>
      </c>
      <c r="G215" s="12" t="s">
        <v>1900</v>
      </c>
      <c r="H215" s="12">
        <v>7</v>
      </c>
      <c r="I215" s="13">
        <v>3</v>
      </c>
      <c r="J215" s="12"/>
    </row>
    <row r="216" spans="1:10">
      <c r="A216" s="12">
        <f>IF(B216="","",COUNTA($B$4:B216))</f>
        <v>213</v>
      </c>
      <c r="B216" s="12" t="s">
        <v>2120</v>
      </c>
      <c r="C216" s="12" t="s">
        <v>1916</v>
      </c>
      <c r="D216" s="12" t="s">
        <v>432</v>
      </c>
      <c r="E216" s="12" t="s">
        <v>1916</v>
      </c>
      <c r="F216" s="12" t="s">
        <v>1899</v>
      </c>
      <c r="G216" s="12" t="s">
        <v>1900</v>
      </c>
      <c r="H216" s="12">
        <v>7</v>
      </c>
      <c r="I216" s="13">
        <v>3</v>
      </c>
      <c r="J216" s="12" t="s">
        <v>1447</v>
      </c>
    </row>
    <row r="217" spans="1:10">
      <c r="A217" s="12">
        <f>IF(B217="","",COUNTA($B$4:B217))</f>
        <v>214</v>
      </c>
      <c r="B217" s="12" t="s">
        <v>2139</v>
      </c>
      <c r="C217" s="12" t="s">
        <v>1916</v>
      </c>
      <c r="D217" s="12" t="s">
        <v>1917</v>
      </c>
      <c r="E217" s="12" t="s">
        <v>1916</v>
      </c>
      <c r="F217" s="12" t="s">
        <v>1899</v>
      </c>
      <c r="G217" s="12" t="s">
        <v>1900</v>
      </c>
      <c r="H217" s="12">
        <v>7</v>
      </c>
      <c r="I217" s="13">
        <v>3</v>
      </c>
      <c r="J217" s="12"/>
    </row>
    <row r="218" spans="1:10">
      <c r="A218" s="12">
        <f>IF(B218="","",COUNTA($B$4:B218))</f>
        <v>215</v>
      </c>
      <c r="B218" s="12" t="s">
        <v>2153</v>
      </c>
      <c r="C218" s="12" t="s">
        <v>1916</v>
      </c>
      <c r="D218" s="12" t="s">
        <v>432</v>
      </c>
      <c r="E218" s="12" t="s">
        <v>1916</v>
      </c>
      <c r="F218" s="12" t="s">
        <v>1899</v>
      </c>
      <c r="G218" s="12" t="s">
        <v>1900</v>
      </c>
      <c r="H218" s="12">
        <v>7</v>
      </c>
      <c r="I218" s="13">
        <v>3</v>
      </c>
      <c r="J218" s="12"/>
    </row>
    <row r="219" spans="1:10">
      <c r="A219" s="12">
        <f>IF(B219="","",COUNTA($B$4:B219))</f>
        <v>216</v>
      </c>
      <c r="B219" s="12" t="s">
        <v>2190</v>
      </c>
      <c r="C219" s="12" t="s">
        <v>1916</v>
      </c>
      <c r="D219" s="12" t="s">
        <v>432</v>
      </c>
      <c r="E219" s="12" t="s">
        <v>1916</v>
      </c>
      <c r="F219" s="12" t="s">
        <v>1899</v>
      </c>
      <c r="G219" s="12" t="s">
        <v>1900</v>
      </c>
      <c r="H219" s="12">
        <v>7</v>
      </c>
      <c r="I219" s="13">
        <v>3</v>
      </c>
      <c r="J219" s="12"/>
    </row>
    <row r="220" spans="1:10">
      <c r="A220" s="12">
        <f>IF(B220="","",COUNTA($B$4:B220))</f>
        <v>217</v>
      </c>
      <c r="B220" s="12" t="s">
        <v>1494</v>
      </c>
      <c r="C220" s="12" t="s">
        <v>1446</v>
      </c>
      <c r="D220" s="12" t="s">
        <v>432</v>
      </c>
      <c r="E220" s="12" t="s">
        <v>1446</v>
      </c>
      <c r="F220" s="12" t="s">
        <v>107</v>
      </c>
      <c r="G220" s="12" t="s">
        <v>109</v>
      </c>
      <c r="H220" s="12">
        <v>7</v>
      </c>
      <c r="I220" s="13">
        <v>3</v>
      </c>
      <c r="J220" s="12"/>
    </row>
    <row r="221" spans="1:10">
      <c r="A221" s="12">
        <f>IF(B221="","",COUNTA($B$4:B221))</f>
        <v>218</v>
      </c>
      <c r="B221" s="12" t="s">
        <v>2076</v>
      </c>
      <c r="C221" s="12" t="s">
        <v>2111</v>
      </c>
      <c r="D221" s="12" t="s">
        <v>1422</v>
      </c>
      <c r="E221" s="12" t="s">
        <v>2111</v>
      </c>
      <c r="F221" s="12" t="s">
        <v>1861</v>
      </c>
      <c r="G221" s="12" t="s">
        <v>1862</v>
      </c>
      <c r="H221" s="12">
        <v>15</v>
      </c>
      <c r="I221" s="13"/>
      <c r="J221" s="12"/>
    </row>
    <row r="222" spans="1:10">
      <c r="A222" s="12">
        <f>IF(B222="","",COUNTA($B$4:B222))</f>
        <v>219</v>
      </c>
      <c r="B222" s="12" t="s">
        <v>2076</v>
      </c>
      <c r="C222" s="12" t="s">
        <v>2112</v>
      </c>
      <c r="D222" s="12" t="s">
        <v>1583</v>
      </c>
      <c r="E222" s="12" t="s">
        <v>2112</v>
      </c>
      <c r="F222" s="12" t="s">
        <v>1861</v>
      </c>
      <c r="G222" s="12" t="s">
        <v>1862</v>
      </c>
      <c r="H222" s="12">
        <v>15</v>
      </c>
      <c r="I222" s="13"/>
      <c r="J222" s="12"/>
    </row>
    <row r="223" spans="1:10">
      <c r="A223" s="12">
        <f>IF(B223="","",COUNTA($B$4:B223))</f>
        <v>220</v>
      </c>
      <c r="B223" s="12" t="s">
        <v>1494</v>
      </c>
      <c r="C223" s="12" t="s">
        <v>1503</v>
      </c>
      <c r="D223" s="61"/>
      <c r="E223" s="12" t="s">
        <v>1503</v>
      </c>
      <c r="F223" s="12" t="s">
        <v>107</v>
      </c>
      <c r="G223" s="12" t="s">
        <v>109</v>
      </c>
      <c r="H223" s="12">
        <v>7</v>
      </c>
      <c r="I223" s="13" t="s">
        <v>1493</v>
      </c>
      <c r="J223" s="12"/>
    </row>
    <row r="224" spans="1:10">
      <c r="A224" s="12">
        <f>IF(B224="","",COUNTA($B$4:B224))</f>
        <v>221</v>
      </c>
      <c r="B224" s="12" t="s">
        <v>1494</v>
      </c>
      <c r="C224" s="12" t="s">
        <v>136</v>
      </c>
      <c r="D224" s="61"/>
      <c r="E224" s="12" t="s">
        <v>136</v>
      </c>
      <c r="F224" s="12" t="s">
        <v>107</v>
      </c>
      <c r="G224" s="12" t="s">
        <v>109</v>
      </c>
      <c r="H224" s="12">
        <v>6</v>
      </c>
      <c r="I224" s="13" t="s">
        <v>1585</v>
      </c>
      <c r="J224" s="12"/>
    </row>
    <row r="225" spans="1:10">
      <c r="A225" s="12">
        <f>IF(B225="","",COUNTA($B$4:B225))</f>
        <v>222</v>
      </c>
      <c r="B225" s="12" t="s">
        <v>1494</v>
      </c>
      <c r="C225" s="12" t="s">
        <v>1502</v>
      </c>
      <c r="D225" s="61"/>
      <c r="E225" s="12" t="s">
        <v>1502</v>
      </c>
      <c r="F225" s="12" t="s">
        <v>107</v>
      </c>
      <c r="G225" s="12" t="s">
        <v>109</v>
      </c>
      <c r="H225" s="12">
        <v>7</v>
      </c>
      <c r="I225" s="13" t="s">
        <v>1493</v>
      </c>
      <c r="J225" s="12"/>
    </row>
    <row r="226" spans="1:10">
      <c r="A226" s="12">
        <f>IF(B226="","",COUNTA($B$4:B226))</f>
        <v>223</v>
      </c>
      <c r="B226" s="12" t="s">
        <v>1957</v>
      </c>
      <c r="C226" s="12" t="s">
        <v>2004</v>
      </c>
      <c r="D226" s="12" t="s">
        <v>2005</v>
      </c>
      <c r="E226" s="12" t="s">
        <v>2004</v>
      </c>
      <c r="F226" s="12" t="s">
        <v>111</v>
      </c>
      <c r="G226" s="12" t="s">
        <v>109</v>
      </c>
      <c r="H226" s="12">
        <v>7</v>
      </c>
      <c r="I226" s="13">
        <v>2</v>
      </c>
      <c r="J226" s="12"/>
    </row>
    <row r="227" spans="1:10">
      <c r="A227" s="12">
        <f>IF(B227="","",COUNTA($B$4:B227))</f>
        <v>224</v>
      </c>
      <c r="B227" s="12" t="s">
        <v>1957</v>
      </c>
      <c r="C227" s="12" t="s">
        <v>2010</v>
      </c>
      <c r="D227" s="12" t="s">
        <v>2011</v>
      </c>
      <c r="E227" s="12" t="s">
        <v>2010</v>
      </c>
      <c r="F227" s="12" t="s">
        <v>111</v>
      </c>
      <c r="G227" s="12" t="s">
        <v>106</v>
      </c>
      <c r="H227" s="12">
        <v>3</v>
      </c>
      <c r="I227" s="13"/>
      <c r="J227" s="12"/>
    </row>
    <row r="228" spans="1:10">
      <c r="A228" s="12">
        <f>IF(B228="","",COUNTA($B$4:B228))</f>
        <v>225</v>
      </c>
      <c r="B228" s="12" t="s">
        <v>2012</v>
      </c>
      <c r="C228" s="12" t="s">
        <v>2010</v>
      </c>
      <c r="D228" s="12" t="s">
        <v>2011</v>
      </c>
      <c r="E228" s="12" t="s">
        <v>2010</v>
      </c>
      <c r="F228" s="12" t="s">
        <v>1861</v>
      </c>
      <c r="G228" s="12" t="s">
        <v>1862</v>
      </c>
      <c r="H228" s="12">
        <v>3</v>
      </c>
      <c r="I228" s="13"/>
      <c r="J228" s="12"/>
    </row>
    <row r="229" spans="1:10">
      <c r="A229" s="12">
        <f>IF(B229="","",COUNTA($B$4:B229))</f>
        <v>226</v>
      </c>
      <c r="B229" s="12" t="s">
        <v>2076</v>
      </c>
      <c r="C229" s="12" t="s">
        <v>2079</v>
      </c>
      <c r="D229" s="61"/>
      <c r="E229" s="12"/>
      <c r="F229" s="12"/>
      <c r="G229" s="12"/>
      <c r="H229" s="12"/>
      <c r="I229" s="13"/>
      <c r="J229" s="12"/>
    </row>
    <row r="230" spans="1:10">
      <c r="A230" s="12">
        <f>IF(B230="","",COUNTA($B$4:B230))</f>
        <v>227</v>
      </c>
      <c r="B230" s="12" t="s">
        <v>2076</v>
      </c>
      <c r="C230" s="12" t="s">
        <v>2078</v>
      </c>
      <c r="D230" s="61"/>
      <c r="E230" s="12"/>
      <c r="F230" s="12"/>
      <c r="G230" s="12"/>
      <c r="H230" s="12"/>
      <c r="I230" s="13"/>
      <c r="J230" s="12"/>
    </row>
    <row r="231" spans="1:10">
      <c r="A231" s="12">
        <f>IF(B231="","",COUNTA($B$4:B231))</f>
        <v>228</v>
      </c>
      <c r="B231" s="12" t="s">
        <v>1957</v>
      </c>
      <c r="C231" s="12" t="s">
        <v>1982</v>
      </c>
      <c r="D231" s="12" t="s">
        <v>1022</v>
      </c>
      <c r="E231" s="12" t="s">
        <v>1982</v>
      </c>
      <c r="F231" s="12" t="s">
        <v>1861</v>
      </c>
      <c r="G231" s="12" t="s">
        <v>1862</v>
      </c>
      <c r="H231" s="12">
        <v>30</v>
      </c>
      <c r="I231" s="13"/>
      <c r="J231" s="12"/>
    </row>
    <row r="232" spans="1:10">
      <c r="A232" s="12">
        <f>IF(B232="","",COUNTA($B$4:B232))</f>
        <v>229</v>
      </c>
      <c r="B232" s="12" t="s">
        <v>2069</v>
      </c>
      <c r="C232" s="12" t="s">
        <v>1982</v>
      </c>
      <c r="D232" s="12" t="s">
        <v>1022</v>
      </c>
      <c r="E232" s="12" t="s">
        <v>1467</v>
      </c>
      <c r="F232" s="12" t="s">
        <v>111</v>
      </c>
      <c r="G232" s="12" t="s">
        <v>106</v>
      </c>
      <c r="H232" s="12">
        <v>30</v>
      </c>
      <c r="I232" s="13"/>
      <c r="J232" s="12"/>
    </row>
    <row r="233" spans="1:10">
      <c r="A233" s="12">
        <f>IF(B233="","",COUNTA($B$4:B233))</f>
        <v>230</v>
      </c>
      <c r="B233" s="12" t="s">
        <v>1888</v>
      </c>
      <c r="C233" s="12" t="s">
        <v>1914</v>
      </c>
      <c r="D233" s="12" t="s">
        <v>1915</v>
      </c>
      <c r="E233" s="12" t="s">
        <v>1914</v>
      </c>
      <c r="F233" s="12" t="s">
        <v>1899</v>
      </c>
      <c r="G233" s="12" t="s">
        <v>1900</v>
      </c>
      <c r="H233" s="12">
        <v>7</v>
      </c>
      <c r="I233" s="13">
        <v>2</v>
      </c>
      <c r="J233" s="12"/>
    </row>
    <row r="234" spans="1:10">
      <c r="A234" s="12">
        <f>IF(B234="","",COUNTA($B$4:B234))</f>
        <v>231</v>
      </c>
      <c r="B234" s="12" t="s">
        <v>1932</v>
      </c>
      <c r="C234" s="12" t="s">
        <v>1914</v>
      </c>
      <c r="D234" s="12" t="s">
        <v>1915</v>
      </c>
      <c r="E234" s="12" t="s">
        <v>1914</v>
      </c>
      <c r="F234" s="12" t="s">
        <v>1899</v>
      </c>
      <c r="G234" s="12" t="s">
        <v>1900</v>
      </c>
      <c r="H234" s="12">
        <v>7</v>
      </c>
      <c r="I234" s="13">
        <v>2</v>
      </c>
      <c r="J234" s="12"/>
    </row>
    <row r="235" spans="1:10">
      <c r="A235" s="12">
        <f>IF(B235="","",COUNTA($B$4:B235))</f>
        <v>232</v>
      </c>
      <c r="B235" s="12" t="s">
        <v>1957</v>
      </c>
      <c r="C235" s="12" t="s">
        <v>1914</v>
      </c>
      <c r="D235" s="12" t="s">
        <v>1915</v>
      </c>
      <c r="E235" s="12" t="s">
        <v>1914</v>
      </c>
      <c r="F235" s="12" t="s">
        <v>1899</v>
      </c>
      <c r="G235" s="12" t="s">
        <v>1900</v>
      </c>
      <c r="H235" s="12">
        <v>7</v>
      </c>
      <c r="I235" s="13">
        <v>2</v>
      </c>
      <c r="J235" s="12"/>
    </row>
    <row r="236" spans="1:10">
      <c r="A236" s="12">
        <f>IF(B236="","",COUNTA($B$4:B236))</f>
        <v>233</v>
      </c>
      <c r="B236" s="12" t="s">
        <v>2012</v>
      </c>
      <c r="C236" s="12" t="s">
        <v>1914</v>
      </c>
      <c r="D236" s="12" t="s">
        <v>1915</v>
      </c>
      <c r="E236" s="12" t="s">
        <v>1914</v>
      </c>
      <c r="F236" s="12" t="s">
        <v>107</v>
      </c>
      <c r="G236" s="12" t="s">
        <v>109</v>
      </c>
      <c r="H236" s="12">
        <v>7</v>
      </c>
      <c r="I236" s="13">
        <v>2</v>
      </c>
      <c r="J236" s="12"/>
    </row>
    <row r="237" spans="1:10">
      <c r="A237" s="12">
        <f>IF(B237="","",COUNTA($B$4:B237))</f>
        <v>234</v>
      </c>
      <c r="B237" s="12" t="s">
        <v>2054</v>
      </c>
      <c r="C237" s="12" t="s">
        <v>1914</v>
      </c>
      <c r="D237" s="12" t="s">
        <v>1915</v>
      </c>
      <c r="E237" s="12" t="s">
        <v>2063</v>
      </c>
      <c r="F237" s="12" t="s">
        <v>1899</v>
      </c>
      <c r="G237" s="12" t="s">
        <v>1900</v>
      </c>
      <c r="H237" s="12">
        <v>7</v>
      </c>
      <c r="I237" s="13">
        <v>2</v>
      </c>
      <c r="J237" s="12"/>
    </row>
    <row r="238" spans="1:10">
      <c r="A238" s="12">
        <f>IF(B238="","",COUNTA($B$4:B238))</f>
        <v>235</v>
      </c>
      <c r="B238" s="12" t="s">
        <v>2066</v>
      </c>
      <c r="C238" s="12" t="s">
        <v>1914</v>
      </c>
      <c r="D238" s="12" t="s">
        <v>1915</v>
      </c>
      <c r="E238" s="12" t="s">
        <v>1914</v>
      </c>
      <c r="F238" s="12" t="s">
        <v>1899</v>
      </c>
      <c r="G238" s="12" t="s">
        <v>1900</v>
      </c>
      <c r="H238" s="12">
        <v>7</v>
      </c>
      <c r="I238" s="13">
        <v>2</v>
      </c>
      <c r="J238" s="12"/>
    </row>
    <row r="239" spans="1:10">
      <c r="A239" s="12">
        <f>IF(B239="","",COUNTA($B$4:B239))</f>
        <v>236</v>
      </c>
      <c r="B239" s="12" t="s">
        <v>2139</v>
      </c>
      <c r="C239" s="12" t="s">
        <v>1914</v>
      </c>
      <c r="D239" s="12" t="s">
        <v>1915</v>
      </c>
      <c r="E239" s="12" t="s">
        <v>1914</v>
      </c>
      <c r="F239" s="12" t="s">
        <v>1899</v>
      </c>
      <c r="G239" s="12" t="s">
        <v>1900</v>
      </c>
      <c r="H239" s="12">
        <v>7</v>
      </c>
      <c r="I239" s="13">
        <v>2</v>
      </c>
      <c r="J239" s="12"/>
    </row>
    <row r="240" spans="1:10">
      <c r="A240" s="12">
        <f>IF(B240="","",COUNTA($B$4:B240))</f>
        <v>237</v>
      </c>
      <c r="B240" s="12" t="s">
        <v>2153</v>
      </c>
      <c r="C240" s="12" t="s">
        <v>1914</v>
      </c>
      <c r="D240" s="12" t="s">
        <v>709</v>
      </c>
      <c r="E240" s="12" t="s">
        <v>1914</v>
      </c>
      <c r="F240" s="12" t="s">
        <v>1899</v>
      </c>
      <c r="G240" s="12" t="s">
        <v>1900</v>
      </c>
      <c r="H240" s="12">
        <v>7</v>
      </c>
      <c r="I240" s="13">
        <v>2</v>
      </c>
      <c r="J240" s="12"/>
    </row>
    <row r="241" spans="1:10">
      <c r="A241" s="12">
        <f>IF(B241="","",COUNTA($B$4:B241))</f>
        <v>238</v>
      </c>
      <c r="B241" s="12" t="s">
        <v>2190</v>
      </c>
      <c r="C241" s="12" t="s">
        <v>1914</v>
      </c>
      <c r="D241" s="12" t="s">
        <v>709</v>
      </c>
      <c r="E241" s="12" t="s">
        <v>1914</v>
      </c>
      <c r="F241" s="12" t="s">
        <v>1899</v>
      </c>
      <c r="G241" s="12" t="s">
        <v>1900</v>
      </c>
      <c r="H241" s="12">
        <v>7</v>
      </c>
      <c r="I241" s="13">
        <v>2</v>
      </c>
      <c r="J241" s="12"/>
    </row>
    <row r="242" spans="1:10">
      <c r="A242" s="12">
        <f>IF(B242="","",COUNTA($B$4:B242))</f>
        <v>239</v>
      </c>
      <c r="B242" s="12" t="s">
        <v>2193</v>
      </c>
      <c r="C242" s="12" t="s">
        <v>1914</v>
      </c>
      <c r="D242" s="12" t="s">
        <v>709</v>
      </c>
      <c r="E242" s="12" t="s">
        <v>1914</v>
      </c>
      <c r="F242" s="12" t="s">
        <v>1899</v>
      </c>
      <c r="G242" s="12" t="s">
        <v>1900</v>
      </c>
      <c r="H242" s="12">
        <v>7</v>
      </c>
      <c r="I242" s="13">
        <v>2</v>
      </c>
      <c r="J242" s="12"/>
    </row>
    <row r="243" spans="1:10">
      <c r="A243" s="12">
        <f>IF(B243="","",COUNTA($B$4:B243))</f>
        <v>240</v>
      </c>
      <c r="B243" s="12" t="s">
        <v>1494</v>
      </c>
      <c r="C243" s="12" t="s">
        <v>134</v>
      </c>
      <c r="D243" s="12" t="s">
        <v>709</v>
      </c>
      <c r="E243" s="12" t="s">
        <v>134</v>
      </c>
      <c r="F243" s="12" t="s">
        <v>107</v>
      </c>
      <c r="G243" s="12" t="s">
        <v>109</v>
      </c>
      <c r="H243" s="12">
        <v>7</v>
      </c>
      <c r="I243" s="13">
        <v>2</v>
      </c>
      <c r="J243" s="12"/>
    </row>
    <row r="244" spans="1:10">
      <c r="A244" s="12">
        <f>IF(B244="","",COUNTA($B$4:B244))</f>
        <v>241</v>
      </c>
      <c r="B244" s="12" t="s">
        <v>2054</v>
      </c>
      <c r="C244" s="12" t="s">
        <v>2062</v>
      </c>
      <c r="D244" s="12" t="s">
        <v>1913</v>
      </c>
      <c r="E244" s="12" t="s">
        <v>2062</v>
      </c>
      <c r="F244" s="12" t="s">
        <v>1861</v>
      </c>
      <c r="G244" s="12" t="s">
        <v>1862</v>
      </c>
      <c r="H244" s="12">
        <v>4</v>
      </c>
      <c r="I244" s="13"/>
      <c r="J244" s="12"/>
    </row>
    <row r="245" spans="1:10">
      <c r="A245" s="12">
        <f>IF(B245="","",COUNTA($B$4:B245))</f>
        <v>242</v>
      </c>
      <c r="B245" s="12" t="s">
        <v>2153</v>
      </c>
      <c r="C245" s="12" t="s">
        <v>2062</v>
      </c>
      <c r="D245" s="61"/>
      <c r="E245" s="12" t="s">
        <v>2062</v>
      </c>
      <c r="F245" s="12" t="s">
        <v>1861</v>
      </c>
      <c r="G245" s="12" t="s">
        <v>1862</v>
      </c>
      <c r="H245" s="12">
        <v>10</v>
      </c>
      <c r="I245" s="13"/>
      <c r="J245" s="12"/>
    </row>
    <row r="246" spans="1:10">
      <c r="A246" s="12">
        <f>IF(B246="","",COUNTA($B$4:B246))</f>
        <v>243</v>
      </c>
      <c r="B246" s="12" t="s">
        <v>2190</v>
      </c>
      <c r="C246" s="12" t="s">
        <v>2062</v>
      </c>
      <c r="D246" s="61"/>
      <c r="E246" s="12" t="s">
        <v>2062</v>
      </c>
      <c r="F246" s="12" t="s">
        <v>1861</v>
      </c>
      <c r="G246" s="12" t="s">
        <v>1862</v>
      </c>
      <c r="H246" s="12">
        <v>10</v>
      </c>
      <c r="I246" s="13"/>
      <c r="J246" s="12"/>
    </row>
    <row r="247" spans="1:10">
      <c r="A247" s="12">
        <f>IF(B247="","",COUNTA($B$4:B247))</f>
        <v>244</v>
      </c>
      <c r="B247" s="12" t="s">
        <v>1494</v>
      </c>
      <c r="C247" s="12" t="s">
        <v>124</v>
      </c>
      <c r="D247" s="61"/>
      <c r="E247" s="12" t="s">
        <v>124</v>
      </c>
      <c r="F247" s="12" t="s">
        <v>111</v>
      </c>
      <c r="G247" s="12" t="s">
        <v>106</v>
      </c>
      <c r="H247" s="12">
        <v>10</v>
      </c>
      <c r="I247" s="13"/>
      <c r="J247" s="12"/>
    </row>
    <row r="248" spans="1:10">
      <c r="A248" s="12">
        <f>IF(B248="","",COUNTA($B$4:B248))</f>
        <v>245</v>
      </c>
      <c r="B248" s="12" t="s">
        <v>2190</v>
      </c>
      <c r="C248" s="12" t="s">
        <v>2151</v>
      </c>
      <c r="D248" s="12" t="s">
        <v>506</v>
      </c>
      <c r="E248" s="12" t="s">
        <v>2062</v>
      </c>
      <c r="F248" s="12" t="s">
        <v>1861</v>
      </c>
      <c r="G248" s="12" t="s">
        <v>1862</v>
      </c>
      <c r="H248" s="12">
        <v>4</v>
      </c>
      <c r="I248" s="13"/>
      <c r="J248" s="12"/>
    </row>
    <row r="249" spans="1:10">
      <c r="A249" s="12">
        <f>IF(B249="","",COUNTA($B$4:B249))</f>
        <v>246</v>
      </c>
      <c r="B249" s="12" t="s">
        <v>1494</v>
      </c>
      <c r="C249" s="12" t="s">
        <v>1482</v>
      </c>
      <c r="D249" s="12" t="s">
        <v>506</v>
      </c>
      <c r="E249" s="12" t="s">
        <v>124</v>
      </c>
      <c r="F249" s="12" t="s">
        <v>111</v>
      </c>
      <c r="G249" s="12" t="s">
        <v>106</v>
      </c>
      <c r="H249" s="12">
        <v>4</v>
      </c>
      <c r="I249" s="13"/>
      <c r="J249" s="12"/>
    </row>
    <row r="250" spans="1:10">
      <c r="A250" s="12">
        <f>IF(B250="","",COUNTA($B$4:B250))</f>
        <v>247</v>
      </c>
      <c r="B250" s="12" t="s">
        <v>2076</v>
      </c>
      <c r="C250" s="12" t="s">
        <v>2114</v>
      </c>
      <c r="D250" s="61"/>
      <c r="E250" s="12"/>
      <c r="F250" s="12" t="s">
        <v>1861</v>
      </c>
      <c r="G250" s="12" t="s">
        <v>1862</v>
      </c>
      <c r="H250" s="12">
        <v>15</v>
      </c>
      <c r="I250" s="13"/>
      <c r="J250" s="12"/>
    </row>
    <row r="251" spans="1:10">
      <c r="A251" s="12">
        <f>IF(B251="","",COUNTA($B$4:B251))</f>
        <v>248</v>
      </c>
      <c r="B251" s="12" t="s">
        <v>1957</v>
      </c>
      <c r="C251" s="12" t="s">
        <v>2000</v>
      </c>
      <c r="D251" s="12" t="s">
        <v>2001</v>
      </c>
      <c r="E251" s="12" t="s">
        <v>2000</v>
      </c>
      <c r="F251" s="12" t="s">
        <v>111</v>
      </c>
      <c r="G251" s="12" t="s">
        <v>109</v>
      </c>
      <c r="H251" s="12">
        <v>7</v>
      </c>
      <c r="I251" s="13">
        <v>2</v>
      </c>
      <c r="J251" s="12"/>
    </row>
    <row r="252" spans="1:10">
      <c r="A252" s="12">
        <f>IF(B252="","",COUNTA($B$4:B252))</f>
        <v>249</v>
      </c>
      <c r="B252" s="12" t="s">
        <v>1957</v>
      </c>
      <c r="C252" s="12" t="s">
        <v>1998</v>
      </c>
      <c r="D252" s="12" t="s">
        <v>1999</v>
      </c>
      <c r="E252" s="12" t="s">
        <v>1998</v>
      </c>
      <c r="F252" s="12" t="s">
        <v>1861</v>
      </c>
      <c r="G252" s="12" t="s">
        <v>1900</v>
      </c>
      <c r="H252" s="12">
        <v>7</v>
      </c>
      <c r="I252" s="13">
        <v>2</v>
      </c>
      <c r="J252" s="12"/>
    </row>
    <row r="253" spans="1:10">
      <c r="A253" s="12">
        <f>IF(B253="","",COUNTA($B$4:B253))</f>
        <v>250</v>
      </c>
      <c r="B253" s="12" t="s">
        <v>2069</v>
      </c>
      <c r="C253" s="12" t="s">
        <v>2072</v>
      </c>
      <c r="D253" s="12" t="s">
        <v>1024</v>
      </c>
      <c r="E253" s="12" t="s">
        <v>1468</v>
      </c>
      <c r="F253" s="12" t="s">
        <v>107</v>
      </c>
      <c r="G253" s="12" t="s">
        <v>109</v>
      </c>
      <c r="H253" s="12">
        <v>5</v>
      </c>
      <c r="I253" s="13"/>
      <c r="J253" s="12"/>
    </row>
    <row r="254" spans="1:10">
      <c r="A254" s="12">
        <f>IF(B254="","",COUNTA($B$4:B254))</f>
        <v>251</v>
      </c>
      <c r="B254" s="12" t="s">
        <v>2076</v>
      </c>
      <c r="C254" s="12" t="s">
        <v>2104</v>
      </c>
      <c r="D254" s="61"/>
      <c r="E254" s="12"/>
      <c r="F254" s="12" t="s">
        <v>1861</v>
      </c>
      <c r="G254" s="12" t="s">
        <v>1862</v>
      </c>
      <c r="H254" s="12">
        <v>15</v>
      </c>
      <c r="I254" s="13"/>
      <c r="J254" s="12"/>
    </row>
    <row r="255" spans="1:10">
      <c r="A255" s="12">
        <f>IF(B255="","",COUNTA($B$4:B255))</f>
        <v>252</v>
      </c>
      <c r="B255" s="12" t="s">
        <v>2076</v>
      </c>
      <c r="C255" s="12" t="s">
        <v>2113</v>
      </c>
      <c r="D255" s="61"/>
      <c r="E255" s="12"/>
      <c r="F255" s="12" t="s">
        <v>1861</v>
      </c>
      <c r="G255" s="12" t="s">
        <v>1862</v>
      </c>
      <c r="H255" s="12">
        <v>15</v>
      </c>
      <c r="I255" s="13"/>
      <c r="J255" s="12"/>
    </row>
    <row r="256" spans="1:10">
      <c r="A256" s="12">
        <f>IF(B256="","",COUNTA($B$4:B256))</f>
        <v>253</v>
      </c>
      <c r="B256" s="12" t="s">
        <v>2076</v>
      </c>
      <c r="C256" s="12" t="s">
        <v>2116</v>
      </c>
      <c r="D256" s="61"/>
      <c r="E256" s="12"/>
      <c r="F256" s="12" t="s">
        <v>1861</v>
      </c>
      <c r="G256" s="12" t="s">
        <v>1862</v>
      </c>
      <c r="H256" s="12">
        <v>15</v>
      </c>
      <c r="I256" s="13" t="s">
        <v>1585</v>
      </c>
      <c r="J256" s="12"/>
    </row>
    <row r="257" spans="1:10">
      <c r="A257" s="12">
        <f>IF(B257="","",COUNTA($B$4:B257))</f>
        <v>254</v>
      </c>
      <c r="B257" s="12" t="s">
        <v>2076</v>
      </c>
      <c r="C257" s="12" t="s">
        <v>2098</v>
      </c>
      <c r="D257" s="61"/>
      <c r="E257" s="12"/>
      <c r="F257" s="12" t="s">
        <v>1861</v>
      </c>
      <c r="G257" s="12" t="s">
        <v>1862</v>
      </c>
      <c r="H257" s="12">
        <v>15</v>
      </c>
      <c r="I257" s="13"/>
      <c r="J257" s="12"/>
    </row>
    <row r="258" spans="1:10">
      <c r="A258" s="12">
        <f>IF(B258="","",COUNTA($B$4:B258))</f>
        <v>255</v>
      </c>
      <c r="B258" s="12" t="s">
        <v>2076</v>
      </c>
      <c r="C258" s="12" t="s">
        <v>2101</v>
      </c>
      <c r="D258" s="61"/>
      <c r="E258" s="12"/>
      <c r="F258" s="12" t="s">
        <v>1861</v>
      </c>
      <c r="G258" s="12" t="s">
        <v>1862</v>
      </c>
      <c r="H258" s="12">
        <v>15</v>
      </c>
      <c r="I258" s="13"/>
      <c r="J258" s="12"/>
    </row>
    <row r="259" spans="1:10">
      <c r="A259" s="12">
        <f>IF(B259="","",COUNTA($B$4:B259))</f>
        <v>256</v>
      </c>
      <c r="B259" s="12" t="s">
        <v>2076</v>
      </c>
      <c r="C259" s="12" t="s">
        <v>2107</v>
      </c>
      <c r="D259" s="61"/>
      <c r="E259" s="12"/>
      <c r="F259" s="12" t="s">
        <v>1861</v>
      </c>
      <c r="G259" s="12" t="s">
        <v>1862</v>
      </c>
      <c r="H259" s="12">
        <v>15</v>
      </c>
      <c r="I259" s="13"/>
      <c r="J259" s="12"/>
    </row>
    <row r="260" spans="1:10">
      <c r="A260" s="12">
        <f>IF(B260="","",COUNTA($B$4:B260))</f>
        <v>257</v>
      </c>
      <c r="B260" s="12" t="s">
        <v>2076</v>
      </c>
      <c r="C260" s="12" t="s">
        <v>2093</v>
      </c>
      <c r="D260" s="61"/>
      <c r="E260" s="12"/>
      <c r="F260" s="12" t="s">
        <v>111</v>
      </c>
      <c r="G260" s="12" t="s">
        <v>106</v>
      </c>
      <c r="H260" s="12">
        <v>15</v>
      </c>
      <c r="I260" s="13"/>
      <c r="J260" s="12"/>
    </row>
    <row r="261" spans="1:10">
      <c r="A261" s="12">
        <f>IF(B261="","",COUNTA($B$4:B261))</f>
        <v>258</v>
      </c>
      <c r="B261" s="12" t="s">
        <v>2076</v>
      </c>
      <c r="C261" s="12" t="s">
        <v>2095</v>
      </c>
      <c r="D261" s="61"/>
      <c r="E261" s="12"/>
      <c r="F261" s="12" t="s">
        <v>1861</v>
      </c>
      <c r="G261" s="12" t="s">
        <v>1862</v>
      </c>
      <c r="H261" s="12">
        <v>15</v>
      </c>
      <c r="I261" s="13" t="s">
        <v>1585</v>
      </c>
      <c r="J261" s="12"/>
    </row>
    <row r="262" spans="1:10">
      <c r="A262" s="12">
        <f>IF(B262="","",COUNTA($B$4:B262))</f>
        <v>259</v>
      </c>
      <c r="B262" s="12" t="s">
        <v>1957</v>
      </c>
      <c r="C262" s="12" t="s">
        <v>1992</v>
      </c>
      <c r="D262" s="12" t="s">
        <v>1993</v>
      </c>
      <c r="E262" s="12" t="s">
        <v>1992</v>
      </c>
      <c r="F262" s="12" t="s">
        <v>1861</v>
      </c>
      <c r="G262" s="12" t="s">
        <v>1862</v>
      </c>
      <c r="H262" s="12">
        <v>15</v>
      </c>
      <c r="I262" s="13"/>
      <c r="J262" s="12"/>
    </row>
    <row r="263" spans="1:10">
      <c r="A263" s="12">
        <f>IF(B263="","",COUNTA($B$4:B263))</f>
        <v>260</v>
      </c>
      <c r="B263" s="12" t="s">
        <v>2076</v>
      </c>
      <c r="C263" s="12" t="s">
        <v>2091</v>
      </c>
      <c r="D263" s="61"/>
      <c r="E263" s="12"/>
      <c r="F263" s="12" t="s">
        <v>111</v>
      </c>
      <c r="G263" s="12" t="s">
        <v>106</v>
      </c>
      <c r="H263" s="12">
        <v>15</v>
      </c>
      <c r="I263" s="13"/>
      <c r="J263" s="12"/>
    </row>
    <row r="264" spans="1:10">
      <c r="A264" s="12">
        <f>IF(B264="","",COUNTA($B$4:B264))</f>
        <v>261</v>
      </c>
      <c r="B264" s="12" t="s">
        <v>2076</v>
      </c>
      <c r="C264" s="12" t="s">
        <v>2092</v>
      </c>
      <c r="D264" s="61"/>
      <c r="E264" s="12"/>
      <c r="F264" s="12" t="s">
        <v>111</v>
      </c>
      <c r="G264" s="12" t="s">
        <v>106</v>
      </c>
      <c r="H264" s="12">
        <v>15</v>
      </c>
      <c r="I264" s="13"/>
      <c r="J264" s="12"/>
    </row>
    <row r="265" spans="1:10">
      <c r="A265" s="12">
        <f>IF(B265="","",COUNTA($B$4:B265))</f>
        <v>262</v>
      </c>
      <c r="B265" s="12" t="s">
        <v>1494</v>
      </c>
      <c r="C265" s="12" t="s">
        <v>1497</v>
      </c>
      <c r="D265" s="61"/>
      <c r="E265" s="12" t="s">
        <v>1497</v>
      </c>
      <c r="F265" s="12" t="s">
        <v>107</v>
      </c>
      <c r="G265" s="12" t="s">
        <v>109</v>
      </c>
      <c r="H265" s="12">
        <v>7</v>
      </c>
      <c r="I265" s="13" t="s">
        <v>1493</v>
      </c>
      <c r="J265" s="12"/>
    </row>
    <row r="266" spans="1:10">
      <c r="A266" s="12">
        <f>IF(B266="","",COUNTA($B$4:B266))</f>
        <v>263</v>
      </c>
      <c r="B266" s="12" t="s">
        <v>1494</v>
      </c>
      <c r="C266" s="12" t="s">
        <v>135</v>
      </c>
      <c r="D266" s="61"/>
      <c r="E266" s="12" t="s">
        <v>135</v>
      </c>
      <c r="F266" s="12" t="s">
        <v>107</v>
      </c>
      <c r="G266" s="12" t="s">
        <v>109</v>
      </c>
      <c r="H266" s="12">
        <v>6</v>
      </c>
      <c r="I266" s="13" t="s">
        <v>1585</v>
      </c>
      <c r="J266" s="12"/>
    </row>
    <row r="267" spans="1:10">
      <c r="A267" s="12">
        <f>IF(B267="","",COUNTA($B$4:B267))</f>
        <v>264</v>
      </c>
      <c r="B267" s="12" t="s">
        <v>1494</v>
      </c>
      <c r="C267" s="12" t="s">
        <v>1496</v>
      </c>
      <c r="D267" s="61"/>
      <c r="E267" s="12" t="s">
        <v>1496</v>
      </c>
      <c r="F267" s="12" t="s">
        <v>107</v>
      </c>
      <c r="G267" s="12" t="s">
        <v>109</v>
      </c>
      <c r="H267" s="12">
        <v>7</v>
      </c>
      <c r="I267" s="13" t="s">
        <v>1493</v>
      </c>
      <c r="J267" s="12"/>
    </row>
    <row r="268" spans="1:10">
      <c r="A268" s="12">
        <f>IF(B268="","",COUNTA($B$4:B268))</f>
        <v>265</v>
      </c>
      <c r="B268" s="12" t="s">
        <v>2196</v>
      </c>
      <c r="C268" s="12" t="s">
        <v>2200</v>
      </c>
      <c r="D268" s="61"/>
      <c r="E268" s="12" t="s">
        <v>2200</v>
      </c>
      <c r="F268" s="12" t="s">
        <v>1861</v>
      </c>
      <c r="G268" s="12" t="s">
        <v>1862</v>
      </c>
      <c r="H268" s="12">
        <v>5</v>
      </c>
      <c r="I268" s="13"/>
      <c r="J268" s="12"/>
    </row>
    <row r="269" spans="1:10">
      <c r="A269" s="12">
        <f>IF(B269="","",COUNTA($B$4:B269))</f>
        <v>266</v>
      </c>
      <c r="B269" s="12" t="s">
        <v>2196</v>
      </c>
      <c r="C269" s="12" t="s">
        <v>2201</v>
      </c>
      <c r="D269" s="61"/>
      <c r="E269" s="12" t="s">
        <v>2201</v>
      </c>
      <c r="F269" s="12" t="s">
        <v>1861</v>
      </c>
      <c r="G269" s="12" t="s">
        <v>1862</v>
      </c>
      <c r="H269" s="12">
        <v>30</v>
      </c>
      <c r="I269" s="13"/>
      <c r="J269" s="12"/>
    </row>
    <row r="270" spans="1:10">
      <c r="A270" s="12">
        <f>IF(B270="","",COUNTA($B$4:B270))</f>
        <v>267</v>
      </c>
      <c r="B270" s="12" t="s">
        <v>1888</v>
      </c>
      <c r="C270" s="12" t="s">
        <v>1889</v>
      </c>
      <c r="D270" s="12" t="s">
        <v>1890</v>
      </c>
      <c r="E270" s="12" t="s">
        <v>1889</v>
      </c>
      <c r="F270" s="12" t="s">
        <v>1861</v>
      </c>
      <c r="G270" s="12" t="s">
        <v>1862</v>
      </c>
      <c r="H270" s="12">
        <v>15</v>
      </c>
      <c r="I270" s="13" t="s">
        <v>1585</v>
      </c>
      <c r="J270" s="12"/>
    </row>
    <row r="271" spans="1:10">
      <c r="A271" s="12">
        <f>IF(B271="","",COUNTA($B$4:B271))</f>
        <v>268</v>
      </c>
      <c r="B271" s="12" t="s">
        <v>1932</v>
      </c>
      <c r="C271" s="12" t="s">
        <v>1889</v>
      </c>
      <c r="D271" s="12" t="s">
        <v>1890</v>
      </c>
      <c r="E271" s="12" t="s">
        <v>1889</v>
      </c>
      <c r="F271" s="12" t="s">
        <v>1861</v>
      </c>
      <c r="G271" s="12" t="s">
        <v>1862</v>
      </c>
      <c r="H271" s="12">
        <v>15</v>
      </c>
      <c r="I271" s="13" t="s">
        <v>1585</v>
      </c>
      <c r="J271" s="12"/>
    </row>
    <row r="272" spans="1:10">
      <c r="A272" s="12">
        <f>IF(B272="","",COUNTA($B$4:B272))</f>
        <v>269</v>
      </c>
      <c r="B272" s="12" t="s">
        <v>2012</v>
      </c>
      <c r="C272" s="12" t="s">
        <v>1889</v>
      </c>
      <c r="D272" s="12" t="s">
        <v>1890</v>
      </c>
      <c r="E272" s="12" t="s">
        <v>1889</v>
      </c>
      <c r="F272" s="12" t="s">
        <v>1861</v>
      </c>
      <c r="G272" s="12" t="s">
        <v>1862</v>
      </c>
      <c r="H272" s="12">
        <v>15</v>
      </c>
      <c r="I272" s="13" t="s">
        <v>1585</v>
      </c>
      <c r="J272" s="12"/>
    </row>
    <row r="273" spans="1:10">
      <c r="A273" s="12">
        <f>IF(B273="","",COUNTA($B$4:B273))</f>
        <v>270</v>
      </c>
      <c r="B273" s="12" t="s">
        <v>2054</v>
      </c>
      <c r="C273" s="12" t="s">
        <v>1889</v>
      </c>
      <c r="D273" s="12" t="s">
        <v>1890</v>
      </c>
      <c r="E273" s="12" t="s">
        <v>1889</v>
      </c>
      <c r="F273" s="12" t="s">
        <v>1861</v>
      </c>
      <c r="G273" s="12" t="s">
        <v>1862</v>
      </c>
      <c r="H273" s="12">
        <v>15</v>
      </c>
      <c r="I273" s="13" t="s">
        <v>1585</v>
      </c>
      <c r="J273" s="12"/>
    </row>
    <row r="274" spans="1:10">
      <c r="A274" s="12">
        <f>IF(B274="","",COUNTA($B$4:B274))</f>
        <v>271</v>
      </c>
      <c r="B274" s="12" t="s">
        <v>2054</v>
      </c>
      <c r="C274" s="12" t="s">
        <v>1889</v>
      </c>
      <c r="D274" s="12" t="s">
        <v>1890</v>
      </c>
      <c r="E274" s="12" t="s">
        <v>1889</v>
      </c>
      <c r="F274" s="12" t="s">
        <v>1861</v>
      </c>
      <c r="G274" s="12" t="s">
        <v>1862</v>
      </c>
      <c r="H274" s="12">
        <v>15</v>
      </c>
      <c r="I274" s="13" t="s">
        <v>1585</v>
      </c>
      <c r="J274" s="12"/>
    </row>
    <row r="275" spans="1:10">
      <c r="A275" s="12">
        <f>IF(B275="","",COUNTA($B$4:B275))</f>
        <v>272</v>
      </c>
      <c r="B275" s="12" t="s">
        <v>2066</v>
      </c>
      <c r="C275" s="12" t="s">
        <v>1889</v>
      </c>
      <c r="D275" s="12" t="s">
        <v>1890</v>
      </c>
      <c r="E275" s="12" t="s">
        <v>1889</v>
      </c>
      <c r="F275" s="12" t="s">
        <v>1861</v>
      </c>
      <c r="G275" s="12" t="s">
        <v>1862</v>
      </c>
      <c r="H275" s="12">
        <v>15</v>
      </c>
      <c r="I275" s="13"/>
      <c r="J275" s="12"/>
    </row>
    <row r="276" spans="1:10">
      <c r="A276" s="12">
        <f>IF(B276="","",COUNTA($B$4:B276))</f>
        <v>273</v>
      </c>
      <c r="B276" s="12" t="s">
        <v>2076</v>
      </c>
      <c r="C276" s="12" t="s">
        <v>1889</v>
      </c>
      <c r="D276" s="61"/>
      <c r="E276" s="12"/>
      <c r="F276" s="12" t="s">
        <v>111</v>
      </c>
      <c r="G276" s="12" t="s">
        <v>106</v>
      </c>
      <c r="H276" s="12">
        <v>15</v>
      </c>
      <c r="I276" s="13"/>
      <c r="J276" s="12"/>
    </row>
    <row r="277" spans="1:10">
      <c r="A277" s="12">
        <f>IF(B277="","",COUNTA($B$4:B277))</f>
        <v>274</v>
      </c>
      <c r="B277" s="12" t="s">
        <v>1957</v>
      </c>
      <c r="C277" s="12" t="s">
        <v>1958</v>
      </c>
      <c r="D277" s="12" t="s">
        <v>1959</v>
      </c>
      <c r="E277" s="12" t="s">
        <v>1958</v>
      </c>
      <c r="F277" s="12" t="s">
        <v>1861</v>
      </c>
      <c r="G277" s="12" t="s">
        <v>1862</v>
      </c>
      <c r="H277" s="12">
        <v>15</v>
      </c>
      <c r="I277" s="13" t="s">
        <v>1585</v>
      </c>
      <c r="J277" s="12"/>
    </row>
    <row r="278" spans="1:10">
      <c r="A278" s="12">
        <f>IF(B278="","",COUNTA($B$4:B278))</f>
        <v>275</v>
      </c>
      <c r="B278" s="12" t="s">
        <v>2012</v>
      </c>
      <c r="C278" s="12" t="s">
        <v>1958</v>
      </c>
      <c r="D278" s="12" t="s">
        <v>1959</v>
      </c>
      <c r="E278" s="12" t="s">
        <v>1958</v>
      </c>
      <c r="F278" s="12" t="s">
        <v>1861</v>
      </c>
      <c r="G278" s="12" t="s">
        <v>1862</v>
      </c>
      <c r="H278" s="12">
        <v>15</v>
      </c>
      <c r="I278" s="13" t="s">
        <v>1585</v>
      </c>
      <c r="J278" s="12"/>
    </row>
    <row r="279" spans="1:10">
      <c r="A279" s="12">
        <f>IF(B279="","",COUNTA($B$4:B279))</f>
        <v>276</v>
      </c>
      <c r="B279" s="12" t="s">
        <v>2054</v>
      </c>
      <c r="C279" s="12" t="s">
        <v>1958</v>
      </c>
      <c r="D279" s="12" t="s">
        <v>1959</v>
      </c>
      <c r="E279" s="12" t="s">
        <v>1958</v>
      </c>
      <c r="F279" s="12" t="s">
        <v>1861</v>
      </c>
      <c r="G279" s="12" t="s">
        <v>1862</v>
      </c>
      <c r="H279" s="12">
        <v>15</v>
      </c>
      <c r="I279" s="13" t="s">
        <v>1585</v>
      </c>
      <c r="J279" s="12"/>
    </row>
    <row r="280" spans="1:10">
      <c r="A280" s="12">
        <f>IF(B280="","",COUNTA($B$4:B280))</f>
        <v>277</v>
      </c>
      <c r="B280" s="12" t="s">
        <v>2066</v>
      </c>
      <c r="C280" s="12" t="s">
        <v>1958</v>
      </c>
      <c r="D280" s="12" t="s">
        <v>1959</v>
      </c>
      <c r="E280" s="12" t="s">
        <v>1958</v>
      </c>
      <c r="F280" s="12" t="s">
        <v>1861</v>
      </c>
      <c r="G280" s="12" t="s">
        <v>1862</v>
      </c>
      <c r="H280" s="12">
        <v>15</v>
      </c>
      <c r="I280" s="13" t="s">
        <v>1585</v>
      </c>
      <c r="J280" s="12"/>
    </row>
    <row r="281" spans="1:10">
      <c r="A281" s="12">
        <f>IF(B281="","",COUNTA($B$4:B281))</f>
        <v>278</v>
      </c>
      <c r="B281" s="12" t="s">
        <v>2076</v>
      </c>
      <c r="C281" s="12" t="s">
        <v>1958</v>
      </c>
      <c r="D281" s="61"/>
      <c r="E281" s="12"/>
      <c r="F281" s="12" t="s">
        <v>111</v>
      </c>
      <c r="G281" s="12" t="s">
        <v>106</v>
      </c>
      <c r="H281" s="12">
        <v>15</v>
      </c>
      <c r="I281" s="13"/>
      <c r="J281" s="12"/>
    </row>
    <row r="282" spans="1:10">
      <c r="A282" s="12">
        <f>IF(B282="","",COUNTA($B$4:B282))</f>
        <v>279</v>
      </c>
      <c r="B282" s="12" t="s">
        <v>1957</v>
      </c>
      <c r="C282" s="12" t="s">
        <v>1975</v>
      </c>
      <c r="D282" s="12" t="s">
        <v>1976</v>
      </c>
      <c r="E282" s="12" t="s">
        <v>1975</v>
      </c>
      <c r="F282" s="12" t="s">
        <v>1861</v>
      </c>
      <c r="G282" s="12" t="s">
        <v>1862</v>
      </c>
      <c r="H282" s="12">
        <v>30</v>
      </c>
      <c r="I282" s="13"/>
      <c r="J282" s="12"/>
    </row>
    <row r="283" spans="1:10">
      <c r="A283" s="12">
        <f>IF(B283="","",COUNTA($B$4:B283))</f>
        <v>280</v>
      </c>
      <c r="B283" s="12" t="s">
        <v>2054</v>
      </c>
      <c r="C283" s="12" t="s">
        <v>2055</v>
      </c>
      <c r="D283" s="61" t="e">
        <v>#N/A</v>
      </c>
      <c r="E283" s="12" t="s">
        <v>2055</v>
      </c>
      <c r="F283" s="12" t="s">
        <v>1861</v>
      </c>
      <c r="G283" s="12" t="s">
        <v>1862</v>
      </c>
      <c r="H283" s="12">
        <v>15</v>
      </c>
      <c r="I283" s="13" t="s">
        <v>1585</v>
      </c>
      <c r="J283" s="12"/>
    </row>
    <row r="284" spans="1:10">
      <c r="A284" s="12">
        <f>IF(B284="","",COUNTA($B$4:B284))</f>
        <v>281</v>
      </c>
      <c r="B284" s="12" t="s">
        <v>2012</v>
      </c>
      <c r="C284" s="12" t="s">
        <v>2013</v>
      </c>
      <c r="D284" s="61" t="e">
        <v>#N/A</v>
      </c>
      <c r="E284" s="12" t="s">
        <v>2013</v>
      </c>
      <c r="F284" s="12" t="s">
        <v>1861</v>
      </c>
      <c r="G284" s="12" t="s">
        <v>1862</v>
      </c>
      <c r="H284" s="12">
        <v>15</v>
      </c>
      <c r="I284" s="13" t="s">
        <v>1585</v>
      </c>
      <c r="J284" s="12"/>
    </row>
    <row r="285" spans="1:10">
      <c r="A285" s="12">
        <f>IF(B285="","",COUNTA($B$4:B285))</f>
        <v>282</v>
      </c>
      <c r="B285" s="12" t="s">
        <v>1932</v>
      </c>
      <c r="C285" s="12" t="s">
        <v>1933</v>
      </c>
      <c r="D285" s="12" t="s">
        <v>1934</v>
      </c>
      <c r="E285" s="12" t="s">
        <v>1933</v>
      </c>
      <c r="F285" s="12" t="s">
        <v>1861</v>
      </c>
      <c r="G285" s="12" t="s">
        <v>1862</v>
      </c>
      <c r="H285" s="12">
        <v>5</v>
      </c>
      <c r="I285" s="13"/>
      <c r="J285" s="12"/>
    </row>
    <row r="286" spans="1:10">
      <c r="A286" s="12">
        <f>IF(B286="","",COUNTA($B$4:B286))</f>
        <v>283</v>
      </c>
      <c r="B286" s="12" t="s">
        <v>1957</v>
      </c>
      <c r="C286" s="12" t="s">
        <v>1933</v>
      </c>
      <c r="D286" s="12" t="s">
        <v>1934</v>
      </c>
      <c r="E286" s="12" t="s">
        <v>1933</v>
      </c>
      <c r="F286" s="12" t="s">
        <v>1861</v>
      </c>
      <c r="G286" s="12" t="s">
        <v>1862</v>
      </c>
      <c r="H286" s="12">
        <v>5</v>
      </c>
      <c r="I286" s="13"/>
      <c r="J286" s="12"/>
    </row>
    <row r="287" spans="1:10">
      <c r="A287" s="12">
        <f>IF(B287="","",COUNTA($B$4:B287))</f>
        <v>284</v>
      </c>
      <c r="B287" s="12" t="s">
        <v>2012</v>
      </c>
      <c r="C287" s="12" t="s">
        <v>1933</v>
      </c>
      <c r="D287" s="12" t="s">
        <v>1934</v>
      </c>
      <c r="E287" s="12" t="s">
        <v>1933</v>
      </c>
      <c r="F287" s="12" t="s">
        <v>111</v>
      </c>
      <c r="G287" s="12" t="s">
        <v>106</v>
      </c>
      <c r="H287" s="12">
        <v>5</v>
      </c>
      <c r="I287" s="13"/>
      <c r="J287" s="12"/>
    </row>
    <row r="288" spans="1:10">
      <c r="A288" s="12">
        <f>IF(B288="","",COUNTA($B$4:B288))</f>
        <v>285</v>
      </c>
      <c r="B288" s="12" t="s">
        <v>2054</v>
      </c>
      <c r="C288" s="12" t="s">
        <v>1933</v>
      </c>
      <c r="D288" s="12" t="s">
        <v>1934</v>
      </c>
      <c r="E288" s="12" t="s">
        <v>1933</v>
      </c>
      <c r="F288" s="12" t="s">
        <v>1861</v>
      </c>
      <c r="G288" s="12" t="s">
        <v>1862</v>
      </c>
      <c r="H288" s="12">
        <v>5</v>
      </c>
      <c r="I288" s="13"/>
      <c r="J288" s="12"/>
    </row>
    <row r="289" spans="1:10">
      <c r="A289" s="12">
        <f>IF(B289="","",COUNTA($B$4:B289))</f>
        <v>286</v>
      </c>
      <c r="B289" s="12" t="s">
        <v>2069</v>
      </c>
      <c r="C289" s="12" t="s">
        <v>1933</v>
      </c>
      <c r="D289" s="12" t="s">
        <v>457</v>
      </c>
      <c r="E289" s="12" t="s">
        <v>121</v>
      </c>
      <c r="F289" s="12" t="s">
        <v>111</v>
      </c>
      <c r="G289" s="12" t="s">
        <v>106</v>
      </c>
      <c r="H289" s="12">
        <v>5</v>
      </c>
      <c r="I289" s="13"/>
      <c r="J289" s="12"/>
    </row>
    <row r="290" spans="1:10">
      <c r="A290" s="12">
        <f>IF(B290="","",COUNTA($B$4:B290))</f>
        <v>287</v>
      </c>
      <c r="B290" s="12" t="s">
        <v>2118</v>
      </c>
      <c r="C290" s="12" t="s">
        <v>1933</v>
      </c>
      <c r="D290" s="12" t="s">
        <v>457</v>
      </c>
      <c r="E290" s="12" t="s">
        <v>1933</v>
      </c>
      <c r="F290" s="12" t="s">
        <v>1861</v>
      </c>
      <c r="G290" s="12" t="s">
        <v>1862</v>
      </c>
      <c r="H290" s="12">
        <v>5</v>
      </c>
      <c r="I290" s="13"/>
      <c r="J290" s="12"/>
    </row>
    <row r="291" spans="1:10">
      <c r="A291" s="12">
        <f>IF(B291="","",COUNTA($B$4:B291))</f>
        <v>288</v>
      </c>
      <c r="B291" s="12" t="s">
        <v>2120</v>
      </c>
      <c r="C291" s="12" t="s">
        <v>1933</v>
      </c>
      <c r="D291" s="12" t="s">
        <v>457</v>
      </c>
      <c r="E291" s="12" t="s">
        <v>1933</v>
      </c>
      <c r="F291" s="12" t="s">
        <v>1861</v>
      </c>
      <c r="G291" s="12" t="s">
        <v>1862</v>
      </c>
      <c r="H291" s="12">
        <v>5</v>
      </c>
      <c r="I291" s="13"/>
      <c r="J291" s="12"/>
    </row>
    <row r="292" spans="1:10">
      <c r="A292" s="12">
        <f>IF(B292="","",COUNTA($B$4:B292))</f>
        <v>289</v>
      </c>
      <c r="B292" s="12" t="s">
        <v>2124</v>
      </c>
      <c r="C292" s="12" t="s">
        <v>1933</v>
      </c>
      <c r="D292" s="12" t="s">
        <v>1934</v>
      </c>
      <c r="E292" s="12" t="s">
        <v>1933</v>
      </c>
      <c r="F292" s="12" t="s">
        <v>1861</v>
      </c>
      <c r="G292" s="12" t="s">
        <v>1862</v>
      </c>
      <c r="H292" s="12">
        <v>5</v>
      </c>
      <c r="I292" s="13"/>
      <c r="J292" s="12"/>
    </row>
    <row r="293" spans="1:10">
      <c r="A293" s="12">
        <f>IF(B293="","",COUNTA($B$4:B293))</f>
        <v>290</v>
      </c>
      <c r="B293" s="12" t="s">
        <v>2139</v>
      </c>
      <c r="C293" s="12" t="s">
        <v>1933</v>
      </c>
      <c r="D293" s="12" t="s">
        <v>1934</v>
      </c>
      <c r="E293" s="12" t="s">
        <v>1933</v>
      </c>
      <c r="F293" s="12" t="s">
        <v>1861</v>
      </c>
      <c r="G293" s="12" t="s">
        <v>1862</v>
      </c>
      <c r="H293" s="12">
        <v>5</v>
      </c>
      <c r="I293" s="13"/>
      <c r="J293" s="12"/>
    </row>
    <row r="294" spans="1:10">
      <c r="A294" s="12">
        <f>IF(B294="","",COUNTA($B$4:B294))</f>
        <v>291</v>
      </c>
      <c r="B294" s="12" t="s">
        <v>2153</v>
      </c>
      <c r="C294" s="12" t="s">
        <v>1933</v>
      </c>
      <c r="D294" s="12" t="s">
        <v>457</v>
      </c>
      <c r="E294" s="12" t="s">
        <v>1933</v>
      </c>
      <c r="F294" s="12" t="s">
        <v>1861</v>
      </c>
      <c r="G294" s="12" t="s">
        <v>1862</v>
      </c>
      <c r="H294" s="12">
        <v>5</v>
      </c>
      <c r="I294" s="13"/>
      <c r="J294" s="12"/>
    </row>
    <row r="295" spans="1:10">
      <c r="A295" s="12">
        <f>IF(B295="","",COUNTA($B$4:B295))</f>
        <v>292</v>
      </c>
      <c r="B295" s="12" t="s">
        <v>2190</v>
      </c>
      <c r="C295" s="12" t="s">
        <v>1933</v>
      </c>
      <c r="D295" s="12" t="s">
        <v>457</v>
      </c>
      <c r="E295" s="12" t="s">
        <v>1933</v>
      </c>
      <c r="F295" s="12" t="s">
        <v>1861</v>
      </c>
      <c r="G295" s="12" t="s">
        <v>1862</v>
      </c>
      <c r="H295" s="12">
        <v>5</v>
      </c>
      <c r="I295" s="13"/>
      <c r="J295" s="12"/>
    </row>
    <row r="296" spans="1:10">
      <c r="A296" s="12">
        <f>IF(B296="","",COUNTA($B$4:B296))</f>
        <v>293</v>
      </c>
      <c r="B296" s="12" t="s">
        <v>2193</v>
      </c>
      <c r="C296" s="12" t="s">
        <v>1933</v>
      </c>
      <c r="D296" s="12" t="s">
        <v>457</v>
      </c>
      <c r="E296" s="12" t="s">
        <v>1933</v>
      </c>
      <c r="F296" s="12" t="s">
        <v>1861</v>
      </c>
      <c r="G296" s="12" t="s">
        <v>1862</v>
      </c>
      <c r="H296" s="12">
        <v>5</v>
      </c>
      <c r="I296" s="13"/>
      <c r="J296" s="12"/>
    </row>
    <row r="297" spans="1:10">
      <c r="A297" s="12">
        <f>IF(B297="","",COUNTA($B$4:B297))</f>
        <v>294</v>
      </c>
      <c r="B297" s="12" t="s">
        <v>2196</v>
      </c>
      <c r="C297" s="12" t="s">
        <v>1933</v>
      </c>
      <c r="D297" s="12" t="s">
        <v>457</v>
      </c>
      <c r="E297" s="12" t="s">
        <v>1933</v>
      </c>
      <c r="F297" s="12" t="s">
        <v>1861</v>
      </c>
      <c r="G297" s="12" t="s">
        <v>1862</v>
      </c>
      <c r="H297" s="12">
        <v>5</v>
      </c>
      <c r="I297" s="13"/>
      <c r="J297" s="12"/>
    </row>
    <row r="298" spans="1:10">
      <c r="A298" s="12">
        <f>IF(B298="","",COUNTA($B$4:B298))</f>
        <v>295</v>
      </c>
      <c r="B298" s="12" t="s">
        <v>1932</v>
      </c>
      <c r="C298" s="12" t="s">
        <v>1939</v>
      </c>
      <c r="D298" s="12" t="s">
        <v>1940</v>
      </c>
      <c r="E298" s="12" t="s">
        <v>1939</v>
      </c>
      <c r="F298" s="12" t="s">
        <v>1861</v>
      </c>
      <c r="G298" s="12" t="s">
        <v>1862</v>
      </c>
      <c r="H298" s="12">
        <v>2</v>
      </c>
      <c r="I298" s="13"/>
      <c r="J298" s="12"/>
    </row>
    <row r="299" spans="1:10">
      <c r="A299" s="12">
        <f>IF(B299="","",COUNTA($B$4:B299))</f>
        <v>296</v>
      </c>
      <c r="B299" s="12" t="s">
        <v>2120</v>
      </c>
      <c r="C299" s="12" t="s">
        <v>1939</v>
      </c>
      <c r="D299" s="12" t="s">
        <v>459</v>
      </c>
      <c r="E299" s="12" t="s">
        <v>1939</v>
      </c>
      <c r="F299" s="12" t="s">
        <v>1861</v>
      </c>
      <c r="G299" s="12" t="s">
        <v>1862</v>
      </c>
      <c r="H299" s="12">
        <v>2</v>
      </c>
      <c r="I299" s="13"/>
      <c r="J299" s="12"/>
    </row>
    <row r="300" spans="1:10">
      <c r="A300" s="12">
        <f>IF(B300="","",COUNTA($B$4:B300))</f>
        <v>297</v>
      </c>
      <c r="B300" s="12" t="s">
        <v>2153</v>
      </c>
      <c r="C300" s="12" t="s">
        <v>1939</v>
      </c>
      <c r="D300" s="12" t="s">
        <v>459</v>
      </c>
      <c r="E300" s="12" t="s">
        <v>1939</v>
      </c>
      <c r="F300" s="12" t="s">
        <v>1861</v>
      </c>
      <c r="G300" s="12" t="s">
        <v>1862</v>
      </c>
      <c r="H300" s="12">
        <v>2</v>
      </c>
      <c r="I300" s="13"/>
      <c r="J300" s="12"/>
    </row>
    <row r="301" spans="1:10">
      <c r="A301" s="12">
        <f>IF(B301="","",COUNTA($B$4:B301))</f>
        <v>298</v>
      </c>
      <c r="B301" s="12" t="s">
        <v>2190</v>
      </c>
      <c r="C301" s="12" t="s">
        <v>1939</v>
      </c>
      <c r="D301" s="12" t="s">
        <v>459</v>
      </c>
      <c r="E301" s="12" t="s">
        <v>1939</v>
      </c>
      <c r="F301" s="12" t="s">
        <v>1861</v>
      </c>
      <c r="G301" s="12" t="s">
        <v>1862</v>
      </c>
      <c r="H301" s="12">
        <v>2</v>
      </c>
      <c r="I301" s="13"/>
      <c r="J301" s="12"/>
    </row>
    <row r="302" spans="1:10">
      <c r="A302" s="12">
        <f>IF(B302="","",COUNTA($B$4:B302))</f>
        <v>299</v>
      </c>
      <c r="B302" s="12" t="s">
        <v>2193</v>
      </c>
      <c r="C302" s="12" t="s">
        <v>1939</v>
      </c>
      <c r="D302" s="12" t="s">
        <v>459</v>
      </c>
      <c r="E302" s="12" t="s">
        <v>1939</v>
      </c>
      <c r="F302" s="12" t="s">
        <v>1861</v>
      </c>
      <c r="G302" s="12" t="s">
        <v>1862</v>
      </c>
      <c r="H302" s="12">
        <v>2</v>
      </c>
      <c r="I302" s="13"/>
      <c r="J302" s="12"/>
    </row>
    <row r="303" spans="1:10">
      <c r="A303" s="12">
        <f>IF(B303="","",COUNTA($B$4:B303))</f>
        <v>300</v>
      </c>
      <c r="B303" s="12" t="s">
        <v>1494</v>
      </c>
      <c r="C303" s="12" t="s">
        <v>133</v>
      </c>
      <c r="D303" s="12" t="s">
        <v>459</v>
      </c>
      <c r="E303" s="12" t="s">
        <v>133</v>
      </c>
      <c r="F303" s="12" t="s">
        <v>111</v>
      </c>
      <c r="G303" s="12" t="s">
        <v>106</v>
      </c>
      <c r="H303" s="12">
        <v>2</v>
      </c>
      <c r="I303" s="13"/>
      <c r="J303" s="12"/>
    </row>
    <row r="304" spans="1:10">
      <c r="A304" s="12">
        <f>IF(B304="","",COUNTA($B$4:B304))</f>
        <v>301</v>
      </c>
      <c r="B304" s="12" t="s">
        <v>2153</v>
      </c>
      <c r="C304" s="12" t="s">
        <v>2182</v>
      </c>
      <c r="D304" s="12" t="s">
        <v>491</v>
      </c>
      <c r="E304" s="12" t="s">
        <v>2182</v>
      </c>
      <c r="F304" s="12" t="s">
        <v>1861</v>
      </c>
      <c r="G304" s="12" t="s">
        <v>1862</v>
      </c>
      <c r="H304" s="12">
        <v>30</v>
      </c>
      <c r="I304" s="13"/>
      <c r="J304" s="12"/>
    </row>
    <row r="305" spans="1:10">
      <c r="A305" s="12">
        <f>IF(B305="","",COUNTA($B$4:B305))</f>
        <v>302</v>
      </c>
      <c r="B305" s="12" t="s">
        <v>2190</v>
      </c>
      <c r="C305" s="12" t="s">
        <v>2182</v>
      </c>
      <c r="D305" s="12" t="s">
        <v>491</v>
      </c>
      <c r="E305" s="12" t="s">
        <v>2182</v>
      </c>
      <c r="F305" s="12" t="s">
        <v>1861</v>
      </c>
      <c r="G305" s="12" t="s">
        <v>1862</v>
      </c>
      <c r="H305" s="12">
        <v>30</v>
      </c>
      <c r="I305" s="13"/>
      <c r="J305" s="12"/>
    </row>
    <row r="306" spans="1:10">
      <c r="A306" s="12">
        <f>IF(B306="","",COUNTA($B$4:B306))</f>
        <v>303</v>
      </c>
      <c r="B306" s="12" t="s">
        <v>2193</v>
      </c>
      <c r="C306" s="12" t="s">
        <v>2182</v>
      </c>
      <c r="D306" s="12" t="s">
        <v>491</v>
      </c>
      <c r="E306" s="12" t="s">
        <v>2182</v>
      </c>
      <c r="F306" s="12" t="s">
        <v>1861</v>
      </c>
      <c r="G306" s="12" t="s">
        <v>1862</v>
      </c>
      <c r="H306" s="12">
        <v>30</v>
      </c>
      <c r="I306" s="13"/>
      <c r="J306" s="12"/>
    </row>
    <row r="307" spans="1:10">
      <c r="A307" s="12">
        <f>IF(B307="","",COUNTA($B$4:B307))</f>
        <v>304</v>
      </c>
      <c r="B307" s="12" t="s">
        <v>1494</v>
      </c>
      <c r="C307" s="12" t="s">
        <v>1462</v>
      </c>
      <c r="D307" s="12" t="s">
        <v>491</v>
      </c>
      <c r="E307" s="12" t="s">
        <v>1462</v>
      </c>
      <c r="F307" s="12" t="s">
        <v>111</v>
      </c>
      <c r="G307" s="12" t="s">
        <v>106</v>
      </c>
      <c r="H307" s="12">
        <v>30</v>
      </c>
      <c r="I307" s="13"/>
      <c r="J307" s="12"/>
    </row>
    <row r="308" spans="1:10">
      <c r="A308" s="12">
        <f>IF(B308="","",COUNTA($B$4:B308))</f>
        <v>305</v>
      </c>
      <c r="B308" s="12" t="s">
        <v>1957</v>
      </c>
      <c r="C308" s="12" t="s">
        <v>1980</v>
      </c>
      <c r="D308" s="12" t="s">
        <v>1981</v>
      </c>
      <c r="E308" s="12" t="s">
        <v>1980</v>
      </c>
      <c r="F308" s="12" t="s">
        <v>1899</v>
      </c>
      <c r="G308" s="12" t="s">
        <v>1900</v>
      </c>
      <c r="H308" s="12">
        <v>5</v>
      </c>
      <c r="I308" s="13"/>
      <c r="J308" s="12"/>
    </row>
    <row r="309" spans="1:10">
      <c r="A309" s="12">
        <f>IF(B309="","",COUNTA($B$4:B309))</f>
        <v>306</v>
      </c>
      <c r="B309" s="12" t="s">
        <v>1957</v>
      </c>
      <c r="C309" s="12" t="s">
        <v>1973</v>
      </c>
      <c r="D309" s="12" t="s">
        <v>1974</v>
      </c>
      <c r="E309" s="12" t="s">
        <v>1973</v>
      </c>
      <c r="F309" s="12" t="s">
        <v>1861</v>
      </c>
      <c r="G309" s="12" t="s">
        <v>1862</v>
      </c>
      <c r="H309" s="12">
        <v>4</v>
      </c>
      <c r="I309" s="13"/>
      <c r="J309" s="12"/>
    </row>
    <row r="310" spans="1:10">
      <c r="A310" s="12">
        <f>IF(B310="","",COUNTA($B$4:B310))</f>
        <v>307</v>
      </c>
      <c r="B310" s="12" t="s">
        <v>2196</v>
      </c>
      <c r="C310" s="12" t="s">
        <v>2199</v>
      </c>
      <c r="D310" s="12" t="s">
        <v>494</v>
      </c>
      <c r="E310" s="12" t="s">
        <v>2199</v>
      </c>
      <c r="F310" s="12" t="s">
        <v>1861</v>
      </c>
      <c r="G310" s="12" t="s">
        <v>1862</v>
      </c>
      <c r="H310" s="12">
        <v>4</v>
      </c>
      <c r="I310" s="13"/>
      <c r="J310" s="12"/>
    </row>
    <row r="311" spans="1:10">
      <c r="A311" s="12">
        <f>IF(B311="","",COUNTA($B$4:B311))</f>
        <v>308</v>
      </c>
      <c r="B311" s="12" t="s">
        <v>2153</v>
      </c>
      <c r="C311" s="12" t="s">
        <v>2187</v>
      </c>
      <c r="D311" s="12" t="s">
        <v>1491</v>
      </c>
      <c r="E311" s="12" t="s">
        <v>2187</v>
      </c>
      <c r="F311" s="12" t="s">
        <v>1899</v>
      </c>
      <c r="G311" s="12" t="s">
        <v>1900</v>
      </c>
      <c r="H311" s="12">
        <v>7</v>
      </c>
      <c r="I311" s="13">
        <v>3</v>
      </c>
      <c r="J311" s="12"/>
    </row>
    <row r="312" spans="1:10">
      <c r="A312" s="12">
        <f>IF(B312="","",COUNTA($B$4:B312))</f>
        <v>309</v>
      </c>
      <c r="B312" s="12" t="s">
        <v>1888</v>
      </c>
      <c r="C312" s="12" t="s">
        <v>1923</v>
      </c>
      <c r="D312" s="12" t="s">
        <v>1924</v>
      </c>
      <c r="E312" s="12" t="s">
        <v>1923</v>
      </c>
      <c r="F312" s="12" t="s">
        <v>1861</v>
      </c>
      <c r="G312" s="12" t="s">
        <v>1862</v>
      </c>
      <c r="H312" s="12">
        <v>10</v>
      </c>
      <c r="I312" s="13"/>
      <c r="J312" s="12"/>
    </row>
    <row r="313" spans="1:10">
      <c r="A313" s="12">
        <f>IF(B313="","",COUNTA($B$4:B313))</f>
        <v>310</v>
      </c>
      <c r="B313" s="12" t="s">
        <v>1932</v>
      </c>
      <c r="C313" s="12" t="s">
        <v>1923</v>
      </c>
      <c r="D313" s="12" t="s">
        <v>1924</v>
      </c>
      <c r="E313" s="12" t="s">
        <v>1923</v>
      </c>
      <c r="F313" s="12" t="s">
        <v>1861</v>
      </c>
      <c r="G313" s="12" t="s">
        <v>1862</v>
      </c>
      <c r="H313" s="12">
        <v>10</v>
      </c>
      <c r="I313" s="13"/>
      <c r="J313" s="12"/>
    </row>
    <row r="314" spans="1:10">
      <c r="A314" s="12">
        <f>IF(B314="","",COUNTA($B$4:B314))</f>
        <v>311</v>
      </c>
      <c r="B314" s="12" t="s">
        <v>1957</v>
      </c>
      <c r="C314" s="12" t="s">
        <v>1923</v>
      </c>
      <c r="D314" s="12" t="s">
        <v>1924</v>
      </c>
      <c r="E314" s="12" t="s">
        <v>1923</v>
      </c>
      <c r="F314" s="12" t="s">
        <v>111</v>
      </c>
      <c r="G314" s="12" t="s">
        <v>106</v>
      </c>
      <c r="H314" s="12">
        <v>10</v>
      </c>
      <c r="I314" s="13"/>
      <c r="J314" s="12"/>
    </row>
    <row r="315" spans="1:10">
      <c r="A315" s="12">
        <f>IF(B315="","",COUNTA($B$4:B315))</f>
        <v>312</v>
      </c>
      <c r="B315" s="12" t="s">
        <v>2066</v>
      </c>
      <c r="C315" s="12" t="s">
        <v>1923</v>
      </c>
      <c r="D315" s="12" t="s">
        <v>1924</v>
      </c>
      <c r="E315" s="12" t="s">
        <v>1923</v>
      </c>
      <c r="F315" s="12" t="s">
        <v>1861</v>
      </c>
      <c r="G315" s="12" t="s">
        <v>1862</v>
      </c>
      <c r="H315" s="12">
        <v>10</v>
      </c>
      <c r="I315" s="13"/>
      <c r="J315" s="12"/>
    </row>
    <row r="316" spans="1:10">
      <c r="A316" s="12">
        <f>IF(B316="","",COUNTA($B$4:B316))</f>
        <v>313</v>
      </c>
      <c r="B316" s="12" t="s">
        <v>2124</v>
      </c>
      <c r="C316" s="12" t="s">
        <v>2129</v>
      </c>
      <c r="D316" s="61"/>
      <c r="E316" s="12" t="s">
        <v>2129</v>
      </c>
      <c r="F316" s="12" t="s">
        <v>1899</v>
      </c>
      <c r="G316" s="12" t="s">
        <v>1900</v>
      </c>
      <c r="H316" s="12">
        <v>7</v>
      </c>
      <c r="I316" s="13">
        <v>1</v>
      </c>
      <c r="J316" s="12"/>
    </row>
    <row r="317" spans="1:10">
      <c r="A317" s="12">
        <f>IF(B317="","",COUNTA($B$4:B317))</f>
        <v>314</v>
      </c>
      <c r="B317" s="12" t="s">
        <v>2124</v>
      </c>
      <c r="C317" s="12" t="s">
        <v>2128</v>
      </c>
      <c r="D317" s="61"/>
      <c r="E317" s="12" t="s">
        <v>2128</v>
      </c>
      <c r="F317" s="12" t="s">
        <v>1899</v>
      </c>
      <c r="G317" s="12" t="s">
        <v>1900</v>
      </c>
      <c r="H317" s="12">
        <v>7</v>
      </c>
      <c r="I317" s="13">
        <v>1</v>
      </c>
      <c r="J317" s="12"/>
    </row>
    <row r="318" spans="1:10">
      <c r="A318" s="12">
        <f>IF(B318="","",COUNTA($B$4:B318))</f>
        <v>315</v>
      </c>
      <c r="B318" s="12" t="s">
        <v>2076</v>
      </c>
      <c r="C318" s="12" t="s">
        <v>2083</v>
      </c>
      <c r="D318" s="61"/>
      <c r="E318" s="12"/>
      <c r="F318" s="12"/>
      <c r="G318" s="12"/>
      <c r="H318" s="12"/>
      <c r="I318" s="13"/>
      <c r="J318" s="12"/>
    </row>
    <row r="319" spans="1:10">
      <c r="A319" s="12">
        <f>IF(B319="","",COUNTA($B$4:B319))</f>
        <v>316</v>
      </c>
      <c r="B319" s="12" t="s">
        <v>1858</v>
      </c>
      <c r="C319" s="12" t="s">
        <v>1859</v>
      </c>
      <c r="D319" s="12" t="s">
        <v>1860</v>
      </c>
      <c r="E319" s="12" t="s">
        <v>1859</v>
      </c>
      <c r="F319" s="12" t="s">
        <v>1861</v>
      </c>
      <c r="G319" s="12" t="s">
        <v>1862</v>
      </c>
      <c r="H319" s="12">
        <v>6</v>
      </c>
      <c r="I319" s="13" t="s">
        <v>1585</v>
      </c>
      <c r="J319" s="12"/>
    </row>
    <row r="320" spans="1:10">
      <c r="A320" s="12">
        <f>IF(B320="","",COUNTA($B$4:B320))</f>
        <v>317</v>
      </c>
      <c r="B320" s="12" t="s">
        <v>1888</v>
      </c>
      <c r="C320" s="12" t="s">
        <v>1859</v>
      </c>
      <c r="D320" s="12" t="s">
        <v>1860</v>
      </c>
      <c r="E320" s="12" t="s">
        <v>1859</v>
      </c>
      <c r="F320" s="12" t="s">
        <v>1861</v>
      </c>
      <c r="G320" s="12" t="s">
        <v>1862</v>
      </c>
      <c r="H320" s="12">
        <v>6</v>
      </c>
      <c r="I320" s="13" t="s">
        <v>1585</v>
      </c>
      <c r="J320" s="12"/>
    </row>
    <row r="321" spans="1:10">
      <c r="A321" s="12">
        <f>IF(B321="","",COUNTA($B$4:B321))</f>
        <v>318</v>
      </c>
      <c r="B321" s="12" t="s">
        <v>1932</v>
      </c>
      <c r="C321" s="12" t="s">
        <v>1859</v>
      </c>
      <c r="D321" s="12" t="s">
        <v>1860</v>
      </c>
      <c r="E321" s="12" t="s">
        <v>1859</v>
      </c>
      <c r="F321" s="12" t="s">
        <v>1861</v>
      </c>
      <c r="G321" s="12" t="s">
        <v>1862</v>
      </c>
      <c r="H321" s="12">
        <v>6</v>
      </c>
      <c r="I321" s="13" t="s">
        <v>1585</v>
      </c>
      <c r="J321" s="12"/>
    </row>
    <row r="322" spans="1:10">
      <c r="A322" s="12">
        <f>IF(B322="","",COUNTA($B$4:B322))</f>
        <v>319</v>
      </c>
      <c r="B322" s="12" t="s">
        <v>2124</v>
      </c>
      <c r="C322" s="12" t="s">
        <v>1859</v>
      </c>
      <c r="D322" s="12" t="s">
        <v>1860</v>
      </c>
      <c r="E322" s="12" t="s">
        <v>1859</v>
      </c>
      <c r="F322" s="12" t="s">
        <v>1861</v>
      </c>
      <c r="G322" s="12" t="s">
        <v>1862</v>
      </c>
      <c r="H322" s="12">
        <v>6</v>
      </c>
      <c r="I322" s="13"/>
      <c r="J322" s="12"/>
    </row>
    <row r="323" spans="1:10">
      <c r="A323" s="12">
        <f>IF(B323="","",COUNTA($B$4:B323))</f>
        <v>320</v>
      </c>
      <c r="B323" s="12" t="s">
        <v>1858</v>
      </c>
      <c r="C323" s="12" t="s">
        <v>1865</v>
      </c>
      <c r="D323" s="12" t="s">
        <v>1866</v>
      </c>
      <c r="E323" s="12" t="s">
        <v>1865</v>
      </c>
      <c r="F323" s="12" t="s">
        <v>1861</v>
      </c>
      <c r="G323" s="12" t="s">
        <v>1862</v>
      </c>
      <c r="H323" s="12">
        <v>8</v>
      </c>
      <c r="I323" s="13"/>
      <c r="J323" s="12"/>
    </row>
    <row r="324" spans="1:10">
      <c r="A324" s="12">
        <f>IF(B324="","",COUNTA($B$4:B324))</f>
        <v>321</v>
      </c>
      <c r="B324" s="12" t="s">
        <v>1888</v>
      </c>
      <c r="C324" s="12" t="s">
        <v>1925</v>
      </c>
      <c r="D324" s="12" t="s">
        <v>1926</v>
      </c>
      <c r="E324" s="12" t="s">
        <v>1925</v>
      </c>
      <c r="F324" s="12" t="s">
        <v>1861</v>
      </c>
      <c r="G324" s="12" t="s">
        <v>1862</v>
      </c>
      <c r="H324" s="12">
        <v>1</v>
      </c>
      <c r="I324" s="13"/>
      <c r="J324" s="12"/>
    </row>
    <row r="325" spans="1:10">
      <c r="A325" s="12">
        <f>IF(B325="","",COUNTA($B$4:B325))</f>
        <v>322</v>
      </c>
      <c r="B325" s="12" t="s">
        <v>1932</v>
      </c>
      <c r="C325" s="12" t="s">
        <v>1925</v>
      </c>
      <c r="D325" s="12" t="s">
        <v>1926</v>
      </c>
      <c r="E325" s="12" t="s">
        <v>1925</v>
      </c>
      <c r="F325" s="12" t="s">
        <v>1861</v>
      </c>
      <c r="G325" s="12" t="s">
        <v>1862</v>
      </c>
      <c r="H325" s="12">
        <v>1</v>
      </c>
      <c r="I325" s="13"/>
      <c r="J325" s="12"/>
    </row>
    <row r="326" spans="1:10">
      <c r="A326" s="12">
        <f>IF(B326="","",COUNTA($B$4:B326))</f>
        <v>323</v>
      </c>
      <c r="B326" s="12" t="s">
        <v>1858</v>
      </c>
      <c r="C326" s="12" t="s">
        <v>1871</v>
      </c>
      <c r="D326" s="12" t="s">
        <v>1872</v>
      </c>
      <c r="E326" s="12" t="s">
        <v>1871</v>
      </c>
      <c r="F326" s="12" t="s">
        <v>1861</v>
      </c>
      <c r="G326" s="12" t="s">
        <v>1862</v>
      </c>
      <c r="H326" s="12">
        <v>1</v>
      </c>
      <c r="I326" s="13"/>
      <c r="J326" s="12"/>
    </row>
    <row r="327" spans="1:10">
      <c r="A327" s="12">
        <f>IF(B327="","",COUNTA($B$4:B327))</f>
        <v>324</v>
      </c>
      <c r="B327" s="12" t="s">
        <v>1858</v>
      </c>
      <c r="C327" s="12" t="s">
        <v>1867</v>
      </c>
      <c r="D327" s="12" t="s">
        <v>1868</v>
      </c>
      <c r="E327" s="12" t="s">
        <v>1867</v>
      </c>
      <c r="F327" s="12" t="s">
        <v>1861</v>
      </c>
      <c r="G327" s="12" t="s">
        <v>1862</v>
      </c>
      <c r="H327" s="12">
        <v>8</v>
      </c>
      <c r="I327" s="13"/>
      <c r="J327" s="12"/>
    </row>
    <row r="328" spans="1:10">
      <c r="A328" s="12">
        <f>IF(B328="","",COUNTA($B$4:B328))</f>
        <v>325</v>
      </c>
      <c r="B328" s="12" t="s">
        <v>1932</v>
      </c>
      <c r="C328" s="12" t="s">
        <v>1945</v>
      </c>
      <c r="D328" s="12" t="s">
        <v>1946</v>
      </c>
      <c r="E328" s="12" t="s">
        <v>1945</v>
      </c>
      <c r="F328" s="12" t="s">
        <v>1861</v>
      </c>
      <c r="G328" s="12" t="s">
        <v>1862</v>
      </c>
      <c r="H328" s="12">
        <v>1</v>
      </c>
      <c r="I328" s="13"/>
      <c r="J328" s="12"/>
    </row>
    <row r="329" spans="1:10">
      <c r="A329" s="12">
        <f>IF(B329="","",COUNTA($B$4:B329))</f>
        <v>326</v>
      </c>
      <c r="B329" s="12" t="s">
        <v>1888</v>
      </c>
      <c r="C329" s="12" t="s">
        <v>1912</v>
      </c>
      <c r="D329" s="12" t="s">
        <v>1913</v>
      </c>
      <c r="E329" s="12" t="s">
        <v>1912</v>
      </c>
      <c r="F329" s="12" t="s">
        <v>1861</v>
      </c>
      <c r="G329" s="12" t="s">
        <v>1862</v>
      </c>
      <c r="H329" s="12">
        <v>4</v>
      </c>
      <c r="I329" s="13"/>
      <c r="J329" s="12"/>
    </row>
    <row r="330" spans="1:10">
      <c r="A330" s="12">
        <f>IF(B330="","",COUNTA($B$4:B330))</f>
        <v>327</v>
      </c>
      <c r="B330" s="12" t="s">
        <v>1932</v>
      </c>
      <c r="C330" s="12" t="s">
        <v>1912</v>
      </c>
      <c r="D330" s="12" t="s">
        <v>1913</v>
      </c>
      <c r="E330" s="12" t="s">
        <v>1912</v>
      </c>
      <c r="F330" s="12" t="s">
        <v>1861</v>
      </c>
      <c r="G330" s="12" t="s">
        <v>1862</v>
      </c>
      <c r="H330" s="12">
        <v>4</v>
      </c>
      <c r="I330" s="13"/>
      <c r="J330" s="12"/>
    </row>
    <row r="331" spans="1:10">
      <c r="A331" s="12">
        <f>IF(B331="","",COUNTA($B$4:B331))</f>
        <v>328</v>
      </c>
      <c r="B331" s="12" t="s">
        <v>1957</v>
      </c>
      <c r="C331" s="12" t="s">
        <v>1912</v>
      </c>
      <c r="D331" s="12" t="s">
        <v>1913</v>
      </c>
      <c r="E331" s="12" t="s">
        <v>1912</v>
      </c>
      <c r="F331" s="12" t="s">
        <v>1861</v>
      </c>
      <c r="G331" s="12" t="s">
        <v>1862</v>
      </c>
      <c r="H331" s="12">
        <v>4</v>
      </c>
      <c r="I331" s="13"/>
      <c r="J331" s="12"/>
    </row>
    <row r="332" spans="1:10">
      <c r="A332" s="12">
        <f>IF(B332="","",COUNTA($B$4:B332))</f>
        <v>329</v>
      </c>
      <c r="B332" s="12" t="s">
        <v>2012</v>
      </c>
      <c r="C332" s="12" t="s">
        <v>1912</v>
      </c>
      <c r="D332" s="12" t="s">
        <v>1913</v>
      </c>
      <c r="E332" s="12" t="s">
        <v>1912</v>
      </c>
      <c r="F332" s="12" t="s">
        <v>111</v>
      </c>
      <c r="G332" s="12" t="s">
        <v>106</v>
      </c>
      <c r="H332" s="12">
        <v>4</v>
      </c>
      <c r="I332" s="13"/>
      <c r="J332" s="12"/>
    </row>
    <row r="333" spans="1:10">
      <c r="A333" s="12">
        <f>IF(B333="","",COUNTA($B$4:B333))</f>
        <v>330</v>
      </c>
      <c r="B333" s="12" t="s">
        <v>2054</v>
      </c>
      <c r="C333" s="12" t="s">
        <v>1912</v>
      </c>
      <c r="D333" s="12" t="s">
        <v>1913</v>
      </c>
      <c r="E333" s="12" t="s">
        <v>1912</v>
      </c>
      <c r="F333" s="12" t="s">
        <v>1861</v>
      </c>
      <c r="G333" s="12" t="s">
        <v>1862</v>
      </c>
      <c r="H333" s="12">
        <v>4</v>
      </c>
      <c r="I333" s="13"/>
      <c r="J333" s="12"/>
    </row>
    <row r="334" spans="1:10">
      <c r="A334" s="12">
        <f>IF(B334="","",COUNTA($B$4:B334))</f>
        <v>331</v>
      </c>
      <c r="B334" s="12" t="s">
        <v>2066</v>
      </c>
      <c r="C334" s="12" t="s">
        <v>1912</v>
      </c>
      <c r="D334" s="12" t="s">
        <v>1913</v>
      </c>
      <c r="E334" s="12" t="s">
        <v>1912</v>
      </c>
      <c r="F334" s="12" t="s">
        <v>1861</v>
      </c>
      <c r="G334" s="12" t="s">
        <v>1862</v>
      </c>
      <c r="H334" s="12">
        <v>4</v>
      </c>
      <c r="I334" s="13"/>
      <c r="J334" s="12"/>
    </row>
    <row r="335" spans="1:10">
      <c r="A335" s="12">
        <f>IF(B335="","",COUNTA($B$4:B335))</f>
        <v>332</v>
      </c>
      <c r="B335" s="12" t="s">
        <v>2139</v>
      </c>
      <c r="C335" s="12" t="s">
        <v>1912</v>
      </c>
      <c r="D335" s="12" t="s">
        <v>1913</v>
      </c>
      <c r="E335" s="12" t="s">
        <v>2151</v>
      </c>
      <c r="F335" s="12" t="s">
        <v>1861</v>
      </c>
      <c r="G335" s="12" t="s">
        <v>1862</v>
      </c>
      <c r="H335" s="12">
        <v>4</v>
      </c>
      <c r="I335" s="13"/>
      <c r="J335" s="12"/>
    </row>
    <row r="336" spans="1:10">
      <c r="A336" s="12">
        <f>IF(B336="","",COUNTA($B$4:B336))</f>
        <v>333</v>
      </c>
      <c r="B336" s="12" t="s">
        <v>2153</v>
      </c>
      <c r="C336" s="12" t="s">
        <v>1912</v>
      </c>
      <c r="D336" s="12" t="s">
        <v>506</v>
      </c>
      <c r="E336" s="12" t="s">
        <v>2151</v>
      </c>
      <c r="F336" s="12" t="s">
        <v>1861</v>
      </c>
      <c r="G336" s="12" t="s">
        <v>1862</v>
      </c>
      <c r="H336" s="12">
        <v>4</v>
      </c>
      <c r="I336" s="13"/>
      <c r="J336" s="12"/>
    </row>
    <row r="337" spans="1:10">
      <c r="A337" s="12">
        <f>IF(B337="","",COUNTA($B$4:B337))</f>
        <v>334</v>
      </c>
      <c r="B337" s="12" t="s">
        <v>1494</v>
      </c>
      <c r="C337" s="12" t="s">
        <v>1490</v>
      </c>
      <c r="D337" s="61"/>
      <c r="E337" s="12" t="s">
        <v>1490</v>
      </c>
      <c r="F337" s="12" t="s">
        <v>111</v>
      </c>
      <c r="G337" s="12" t="s">
        <v>106</v>
      </c>
      <c r="H337" s="12">
        <v>10</v>
      </c>
      <c r="I337" s="13"/>
      <c r="J337" s="12" t="s">
        <v>1447</v>
      </c>
    </row>
    <row r="338" spans="1:10">
      <c r="A338" s="12">
        <f>IF(B338="","",COUNTA($B$4:B338))</f>
        <v>335</v>
      </c>
      <c r="B338" s="12" t="s">
        <v>2153</v>
      </c>
      <c r="C338" s="12" t="s">
        <v>2183</v>
      </c>
      <c r="D338" s="61"/>
      <c r="E338" s="12" t="s">
        <v>2184</v>
      </c>
      <c r="F338" s="12" t="s">
        <v>1899</v>
      </c>
      <c r="G338" s="12" t="s">
        <v>1862</v>
      </c>
      <c r="H338" s="12">
        <v>10</v>
      </c>
      <c r="I338" s="13"/>
      <c r="J338" s="12" t="s">
        <v>1447</v>
      </c>
    </row>
    <row r="339" spans="1:10">
      <c r="A339" s="12">
        <f>IF(B339="","",COUNTA($B$4:B339))</f>
        <v>336</v>
      </c>
      <c r="B339" s="12" t="s">
        <v>2190</v>
      </c>
      <c r="C339" s="12" t="s">
        <v>2183</v>
      </c>
      <c r="D339" s="61"/>
      <c r="E339" s="12" t="s">
        <v>2184</v>
      </c>
      <c r="F339" s="12" t="s">
        <v>1899</v>
      </c>
      <c r="G339" s="12" t="s">
        <v>1862</v>
      </c>
      <c r="H339" s="12">
        <v>10</v>
      </c>
      <c r="I339" s="13"/>
      <c r="J339" s="12" t="s">
        <v>1447</v>
      </c>
    </row>
    <row r="340" spans="1:10">
      <c r="A340" s="12">
        <f>IF(B340="","",COUNTA($B$4:B340))</f>
        <v>337</v>
      </c>
      <c r="B340" s="12" t="s">
        <v>1494</v>
      </c>
      <c r="C340" s="12" t="s">
        <v>1495</v>
      </c>
      <c r="D340" s="12" t="s">
        <v>506</v>
      </c>
      <c r="E340" s="12" t="s">
        <v>1495</v>
      </c>
      <c r="F340" s="12" t="s">
        <v>111</v>
      </c>
      <c r="G340" s="12" t="s">
        <v>106</v>
      </c>
      <c r="H340" s="12">
        <v>4</v>
      </c>
      <c r="I340" s="13"/>
      <c r="J340" s="12" t="s">
        <v>1447</v>
      </c>
    </row>
    <row r="341" spans="1:10">
      <c r="A341" s="12">
        <f>IF(B341="","",COUNTA($B$4:B341))</f>
        <v>338</v>
      </c>
      <c r="B341" s="12" t="s">
        <v>2153</v>
      </c>
      <c r="C341" s="12" t="s">
        <v>2185</v>
      </c>
      <c r="D341" s="12" t="s">
        <v>2186</v>
      </c>
      <c r="E341" s="12" t="s">
        <v>2185</v>
      </c>
      <c r="F341" s="12" t="s">
        <v>1899</v>
      </c>
      <c r="G341" s="12" t="s">
        <v>1900</v>
      </c>
      <c r="H341" s="12">
        <v>7</v>
      </c>
      <c r="I341" s="13">
        <v>1</v>
      </c>
      <c r="J341" s="12" t="s">
        <v>1447</v>
      </c>
    </row>
    <row r="342" spans="1:10">
      <c r="A342" s="12">
        <f>IF(B342="","",COUNTA($B$4:B342))</f>
        <v>339</v>
      </c>
      <c r="B342" s="12" t="s">
        <v>2193</v>
      </c>
      <c r="C342" s="12" t="s">
        <v>2185</v>
      </c>
      <c r="D342" s="61"/>
      <c r="E342" s="12" t="s">
        <v>2185</v>
      </c>
      <c r="F342" s="12" t="s">
        <v>1899</v>
      </c>
      <c r="G342" s="12" t="s">
        <v>1900</v>
      </c>
      <c r="H342" s="12">
        <v>7</v>
      </c>
      <c r="I342" s="13" t="s">
        <v>1493</v>
      </c>
      <c r="J342" s="12" t="s">
        <v>1447</v>
      </c>
    </row>
    <row r="343" spans="1:10">
      <c r="A343" s="12">
        <f>IF(B343="","",COUNTA($B$4:B343))</f>
        <v>340</v>
      </c>
      <c r="B343" s="12" t="s">
        <v>1957</v>
      </c>
      <c r="C343" s="12" t="s">
        <v>1990</v>
      </c>
      <c r="D343" s="12" t="s">
        <v>1991</v>
      </c>
      <c r="E343" s="12" t="s">
        <v>1990</v>
      </c>
      <c r="F343" s="12" t="s">
        <v>1861</v>
      </c>
      <c r="G343" s="12" t="s">
        <v>1862</v>
      </c>
      <c r="H343" s="12">
        <v>20</v>
      </c>
      <c r="I343" s="13"/>
      <c r="J343" s="12" t="s">
        <v>1447</v>
      </c>
    </row>
    <row r="344" spans="1:10">
      <c r="A344" s="12">
        <f>IF(B344="","",COUNTA($B$4:B344))</f>
        <v>341</v>
      </c>
      <c r="B344" s="12" t="s">
        <v>2153</v>
      </c>
      <c r="C344" s="12" t="s">
        <v>2174</v>
      </c>
      <c r="D344" s="12" t="s">
        <v>2175</v>
      </c>
      <c r="E344" s="12" t="s">
        <v>2174</v>
      </c>
      <c r="F344" s="12" t="s">
        <v>1899</v>
      </c>
      <c r="G344" s="12" t="s">
        <v>1900</v>
      </c>
      <c r="H344" s="12">
        <v>5</v>
      </c>
      <c r="I344" s="13"/>
      <c r="J344" s="12"/>
    </row>
    <row r="345" spans="1:10">
      <c r="A345" s="12">
        <f>IF(B345="","",COUNTA($B$4:B345))</f>
        <v>342</v>
      </c>
      <c r="B345" s="12" t="s">
        <v>2153</v>
      </c>
      <c r="C345" s="12" t="s">
        <v>2176</v>
      </c>
      <c r="D345" s="12" t="s">
        <v>2177</v>
      </c>
      <c r="E345" s="12" t="s">
        <v>2178</v>
      </c>
      <c r="F345" s="12" t="s">
        <v>1861</v>
      </c>
      <c r="G345" s="12" t="s">
        <v>1862</v>
      </c>
      <c r="H345" s="12">
        <v>10</v>
      </c>
      <c r="I345" s="13"/>
      <c r="J345" s="12"/>
    </row>
    <row r="346" spans="1:10">
      <c r="A346" s="12">
        <f>IF(B346="","",COUNTA($B$4:B346))</f>
        <v>343</v>
      </c>
      <c r="B346" s="12" t="s">
        <v>2153</v>
      </c>
      <c r="C346" s="12" t="s">
        <v>2179</v>
      </c>
      <c r="D346" s="12" t="s">
        <v>2180</v>
      </c>
      <c r="E346" s="12" t="s">
        <v>2179</v>
      </c>
      <c r="F346" s="12" t="s">
        <v>1899</v>
      </c>
      <c r="G346" s="12" t="s">
        <v>1900</v>
      </c>
      <c r="H346" s="12">
        <v>5</v>
      </c>
      <c r="I346" s="13"/>
      <c r="J346" s="12"/>
    </row>
    <row r="347" spans="1:10">
      <c r="A347" s="12">
        <f>IF(B347="","",COUNTA($B$4:B347))</f>
        <v>344</v>
      </c>
      <c r="B347" s="12" t="s">
        <v>1888</v>
      </c>
      <c r="C347" s="12" t="s">
        <v>1905</v>
      </c>
      <c r="D347" s="12" t="s">
        <v>1906</v>
      </c>
      <c r="E347" s="12" t="s">
        <v>1905</v>
      </c>
      <c r="F347" s="12" t="s">
        <v>1899</v>
      </c>
      <c r="G347" s="12" t="s">
        <v>1900</v>
      </c>
      <c r="H347" s="12">
        <v>5</v>
      </c>
      <c r="I347" s="13"/>
      <c r="J347" s="12"/>
    </row>
    <row r="348" spans="1:10">
      <c r="A348" s="12">
        <f>IF(B348="","",COUNTA($B$4:B348))</f>
        <v>345</v>
      </c>
      <c r="B348" s="12" t="s">
        <v>1932</v>
      </c>
      <c r="C348" s="12" t="s">
        <v>1905</v>
      </c>
      <c r="D348" s="12" t="s">
        <v>1906</v>
      </c>
      <c r="E348" s="12" t="s">
        <v>1905</v>
      </c>
      <c r="F348" s="12" t="s">
        <v>1899</v>
      </c>
      <c r="G348" s="12" t="s">
        <v>1900</v>
      </c>
      <c r="H348" s="12">
        <v>5</v>
      </c>
      <c r="I348" s="13"/>
      <c r="J348" s="12"/>
    </row>
    <row r="349" spans="1:10">
      <c r="A349" s="12">
        <f>IF(B349="","",COUNTA($B$4:B349))</f>
        <v>346</v>
      </c>
      <c r="B349" s="12" t="s">
        <v>1957</v>
      </c>
      <c r="C349" s="12" t="s">
        <v>1905</v>
      </c>
      <c r="D349" s="12" t="s">
        <v>1906</v>
      </c>
      <c r="E349" s="12" t="s">
        <v>1905</v>
      </c>
      <c r="F349" s="12" t="s">
        <v>1899</v>
      </c>
      <c r="G349" s="12" t="s">
        <v>1900</v>
      </c>
      <c r="H349" s="12">
        <v>5</v>
      </c>
      <c r="I349" s="13"/>
      <c r="J349" s="12"/>
    </row>
    <row r="350" spans="1:10">
      <c r="A350" s="12">
        <f>IF(B350="","",COUNTA($B$4:B350))</f>
        <v>347</v>
      </c>
      <c r="B350" s="12" t="s">
        <v>2012</v>
      </c>
      <c r="C350" s="12" t="s">
        <v>1905</v>
      </c>
      <c r="D350" s="12" t="s">
        <v>1906</v>
      </c>
      <c r="E350" s="12" t="s">
        <v>1905</v>
      </c>
      <c r="F350" s="12" t="s">
        <v>107</v>
      </c>
      <c r="G350" s="12" t="s">
        <v>109</v>
      </c>
      <c r="H350" s="12">
        <v>5</v>
      </c>
      <c r="I350" s="13"/>
      <c r="J350" s="12"/>
    </row>
    <row r="351" spans="1:10">
      <c r="A351" s="12">
        <f>IF(B351="","",COUNTA($B$4:B351))</f>
        <v>348</v>
      </c>
      <c r="B351" s="12" t="s">
        <v>2054</v>
      </c>
      <c r="C351" s="12" t="s">
        <v>1905</v>
      </c>
      <c r="D351" s="12" t="s">
        <v>1906</v>
      </c>
      <c r="E351" s="12" t="s">
        <v>1905</v>
      </c>
      <c r="F351" s="12" t="s">
        <v>1899</v>
      </c>
      <c r="G351" s="12" t="s">
        <v>1900</v>
      </c>
      <c r="H351" s="12">
        <v>5</v>
      </c>
      <c r="I351" s="13"/>
      <c r="J351" s="12"/>
    </row>
    <row r="352" spans="1:10">
      <c r="A352" s="12">
        <f>IF(B352="","",COUNTA($B$4:B352))</f>
        <v>349</v>
      </c>
      <c r="B352" s="12" t="s">
        <v>2066</v>
      </c>
      <c r="C352" s="12" t="s">
        <v>1905</v>
      </c>
      <c r="D352" s="12" t="s">
        <v>1906</v>
      </c>
      <c r="E352" s="12" t="s">
        <v>1905</v>
      </c>
      <c r="F352" s="12" t="s">
        <v>1899</v>
      </c>
      <c r="G352" s="12" t="s">
        <v>1900</v>
      </c>
      <c r="H352" s="12">
        <v>5</v>
      </c>
      <c r="I352" s="13"/>
      <c r="J352" s="12"/>
    </row>
    <row r="353" spans="1:10">
      <c r="A353" s="12">
        <f>IF(B353="","",COUNTA($B$4:B353))</f>
        <v>350</v>
      </c>
      <c r="B353" s="12" t="s">
        <v>1888</v>
      </c>
      <c r="C353" s="12" t="s">
        <v>1901</v>
      </c>
      <c r="D353" s="12" t="s">
        <v>1902</v>
      </c>
      <c r="E353" s="12" t="s">
        <v>1901</v>
      </c>
      <c r="F353" s="12" t="s">
        <v>1899</v>
      </c>
      <c r="G353" s="12" t="s">
        <v>1900</v>
      </c>
      <c r="H353" s="12">
        <v>5</v>
      </c>
      <c r="I353" s="13">
        <v>2</v>
      </c>
      <c r="J353" s="12"/>
    </row>
    <row r="354" spans="1:10">
      <c r="A354" s="12">
        <f>IF(B354="","",COUNTA($B$4:B354))</f>
        <v>351</v>
      </c>
      <c r="B354" s="12" t="s">
        <v>1932</v>
      </c>
      <c r="C354" s="12" t="s">
        <v>1901</v>
      </c>
      <c r="D354" s="12" t="s">
        <v>1902</v>
      </c>
      <c r="E354" s="12" t="s">
        <v>1901</v>
      </c>
      <c r="F354" s="12" t="s">
        <v>1899</v>
      </c>
      <c r="G354" s="12" t="s">
        <v>1900</v>
      </c>
      <c r="H354" s="12">
        <v>5</v>
      </c>
      <c r="I354" s="13">
        <v>2</v>
      </c>
      <c r="J354" s="12"/>
    </row>
    <row r="355" spans="1:10">
      <c r="A355" s="12">
        <f>IF(B355="","",COUNTA($B$4:B355))</f>
        <v>352</v>
      </c>
      <c r="B355" s="12" t="s">
        <v>1957</v>
      </c>
      <c r="C355" s="12" t="s">
        <v>1901</v>
      </c>
      <c r="D355" s="12" t="s">
        <v>1902</v>
      </c>
      <c r="E355" s="12" t="s">
        <v>1901</v>
      </c>
      <c r="F355" s="12" t="s">
        <v>1899</v>
      </c>
      <c r="G355" s="12" t="s">
        <v>1900</v>
      </c>
      <c r="H355" s="12">
        <v>5</v>
      </c>
      <c r="I355" s="13">
        <v>2</v>
      </c>
      <c r="J355" s="12"/>
    </row>
    <row r="356" spans="1:10">
      <c r="A356" s="12">
        <f>IF(B356="","",COUNTA($B$4:B356))</f>
        <v>353</v>
      </c>
      <c r="B356" s="12" t="s">
        <v>2012</v>
      </c>
      <c r="C356" s="12" t="s">
        <v>1901</v>
      </c>
      <c r="D356" s="12" t="s">
        <v>1902</v>
      </c>
      <c r="E356" s="12" t="s">
        <v>1901</v>
      </c>
      <c r="F356" s="12" t="s">
        <v>107</v>
      </c>
      <c r="G356" s="12" t="s">
        <v>109</v>
      </c>
      <c r="H356" s="12">
        <v>5</v>
      </c>
      <c r="I356" s="13">
        <v>2</v>
      </c>
      <c r="J356" s="12"/>
    </row>
    <row r="357" spans="1:10">
      <c r="A357" s="12">
        <f>IF(B357="","",COUNTA($B$4:B357))</f>
        <v>354</v>
      </c>
      <c r="B357" s="12" t="s">
        <v>2054</v>
      </c>
      <c r="C357" s="12" t="s">
        <v>1901</v>
      </c>
      <c r="D357" s="12" t="s">
        <v>1902</v>
      </c>
      <c r="E357" s="12" t="s">
        <v>1901</v>
      </c>
      <c r="F357" s="12" t="s">
        <v>1899</v>
      </c>
      <c r="G357" s="12" t="s">
        <v>1900</v>
      </c>
      <c r="H357" s="12">
        <v>5</v>
      </c>
      <c r="I357" s="13">
        <v>2</v>
      </c>
      <c r="J357" s="12"/>
    </row>
    <row r="358" spans="1:10">
      <c r="A358" s="12">
        <f>IF(B358="","",COUNTA($B$4:B358))</f>
        <v>355</v>
      </c>
      <c r="B358" s="12" t="s">
        <v>2066</v>
      </c>
      <c r="C358" s="12" t="s">
        <v>1901</v>
      </c>
      <c r="D358" s="12" t="s">
        <v>1902</v>
      </c>
      <c r="E358" s="12" t="s">
        <v>1901</v>
      </c>
      <c r="F358" s="12" t="s">
        <v>1899</v>
      </c>
      <c r="G358" s="12" t="s">
        <v>1900</v>
      </c>
      <c r="H358" s="12">
        <v>5</v>
      </c>
      <c r="I358" s="13">
        <v>2</v>
      </c>
      <c r="J358" s="12"/>
    </row>
    <row r="359" spans="1:10">
      <c r="A359" s="12">
        <f>IF(B359="","",COUNTA($B$4:B359))</f>
        <v>356</v>
      </c>
      <c r="B359" s="12" t="s">
        <v>2066</v>
      </c>
      <c r="C359" s="12" t="s">
        <v>2067</v>
      </c>
      <c r="D359" s="12" t="s">
        <v>2068</v>
      </c>
      <c r="E359" s="12" t="s">
        <v>2067</v>
      </c>
      <c r="F359" s="12" t="s">
        <v>1861</v>
      </c>
      <c r="G359" s="12" t="s">
        <v>1862</v>
      </c>
      <c r="H359" s="12">
        <v>12</v>
      </c>
      <c r="I359" s="13"/>
      <c r="J359" s="12"/>
    </row>
    <row r="360" spans="1:10">
      <c r="A360" s="12">
        <f>IF(B360="","",COUNTA($B$4:B360))</f>
        <v>357</v>
      </c>
      <c r="B360" s="12" t="s">
        <v>2120</v>
      </c>
      <c r="C360" s="12" t="s">
        <v>2067</v>
      </c>
      <c r="D360" s="12" t="s">
        <v>1429</v>
      </c>
      <c r="E360" s="12" t="s">
        <v>2067</v>
      </c>
      <c r="F360" s="12" t="s">
        <v>1861</v>
      </c>
      <c r="G360" s="12" t="s">
        <v>1862</v>
      </c>
      <c r="H360" s="12">
        <v>12</v>
      </c>
      <c r="I360" s="13"/>
      <c r="J360" s="12"/>
    </row>
    <row r="361" spans="1:10">
      <c r="A361" s="12">
        <f>IF(B361="","",COUNTA($B$4:B361))</f>
        <v>358</v>
      </c>
      <c r="B361" s="12" t="s">
        <v>2124</v>
      </c>
      <c r="C361" s="12" t="s">
        <v>2125</v>
      </c>
      <c r="D361" s="12" t="s">
        <v>2068</v>
      </c>
      <c r="E361" s="12" t="s">
        <v>2125</v>
      </c>
      <c r="F361" s="12" t="s">
        <v>1879</v>
      </c>
      <c r="G361" s="12" t="s">
        <v>1880</v>
      </c>
      <c r="H361" s="12"/>
      <c r="I361" s="13"/>
      <c r="J361" s="12"/>
    </row>
    <row r="362" spans="1:10">
      <c r="A362" s="12">
        <f>IF(B362="","",COUNTA($B$4:B362))</f>
        <v>359</v>
      </c>
      <c r="B362" s="12" t="s">
        <v>2153</v>
      </c>
      <c r="C362" s="12" t="s">
        <v>2171</v>
      </c>
      <c r="D362" s="12" t="s">
        <v>2172</v>
      </c>
      <c r="E362" s="12" t="s">
        <v>2173</v>
      </c>
      <c r="F362" s="12" t="s">
        <v>1861</v>
      </c>
      <c r="G362" s="12" t="s">
        <v>1862</v>
      </c>
      <c r="H362" s="12">
        <v>1</v>
      </c>
      <c r="I362" s="13"/>
      <c r="J362" s="12"/>
    </row>
    <row r="363" spans="1:10">
      <c r="A363" s="12">
        <f>IF(B363="","",COUNTA($B$4:B363))</f>
        <v>360</v>
      </c>
      <c r="B363" s="12" t="s">
        <v>1858</v>
      </c>
      <c r="C363" s="12" t="s">
        <v>1873</v>
      </c>
      <c r="D363" s="12" t="s">
        <v>1874</v>
      </c>
      <c r="E363" s="12" t="s">
        <v>1875</v>
      </c>
      <c r="F363" s="12" t="s">
        <v>1861</v>
      </c>
      <c r="G363" s="12" t="s">
        <v>1862</v>
      </c>
      <c r="H363" s="12">
        <v>10</v>
      </c>
      <c r="I363" s="13"/>
      <c r="J363" s="12"/>
    </row>
    <row r="364" spans="1:10">
      <c r="A364" s="12">
        <f>IF(B364="","",COUNTA($B$4:B364))</f>
        <v>361</v>
      </c>
      <c r="B364" s="12" t="s">
        <v>1888</v>
      </c>
      <c r="C364" s="12" t="s">
        <v>1873</v>
      </c>
      <c r="D364" s="12" t="s">
        <v>1874</v>
      </c>
      <c r="E364" s="12" t="s">
        <v>1873</v>
      </c>
      <c r="F364" s="12" t="s">
        <v>1861</v>
      </c>
      <c r="G364" s="12" t="s">
        <v>1862</v>
      </c>
      <c r="H364" s="12">
        <v>10</v>
      </c>
      <c r="I364" s="13"/>
      <c r="J364" s="12"/>
    </row>
    <row r="365" spans="1:10">
      <c r="A365" s="12">
        <f>IF(B365="","",COUNTA($B$4:B365))</f>
        <v>362</v>
      </c>
      <c r="B365" s="12" t="s">
        <v>1932</v>
      </c>
      <c r="C365" s="12" t="s">
        <v>1873</v>
      </c>
      <c r="D365" s="12" t="s">
        <v>1874</v>
      </c>
      <c r="E365" s="12" t="s">
        <v>1875</v>
      </c>
      <c r="F365" s="12" t="s">
        <v>1861</v>
      </c>
      <c r="G365" s="12" t="s">
        <v>1862</v>
      </c>
      <c r="H365" s="12">
        <v>10</v>
      </c>
      <c r="I365" s="13"/>
      <c r="J365" s="12"/>
    </row>
    <row r="366" spans="1:10">
      <c r="A366" s="12">
        <f>IF(B366="","",COUNTA($B$4:B366))</f>
        <v>363</v>
      </c>
      <c r="B366" s="12" t="s">
        <v>1957</v>
      </c>
      <c r="C366" s="12" t="s">
        <v>1873</v>
      </c>
      <c r="D366" s="12" t="s">
        <v>1874</v>
      </c>
      <c r="E366" s="12" t="s">
        <v>1873</v>
      </c>
      <c r="F366" s="12" t="s">
        <v>111</v>
      </c>
      <c r="G366" s="12" t="s">
        <v>106</v>
      </c>
      <c r="H366" s="12">
        <v>10</v>
      </c>
      <c r="I366" s="13"/>
      <c r="J366" s="12"/>
    </row>
    <row r="367" spans="1:10">
      <c r="A367" s="12">
        <f>IF(B367="","",COUNTA($B$4:B367))</f>
        <v>364</v>
      </c>
      <c r="B367" s="12" t="s">
        <v>2012</v>
      </c>
      <c r="C367" s="12" t="s">
        <v>1873</v>
      </c>
      <c r="D367" s="12" t="s">
        <v>1874</v>
      </c>
      <c r="E367" s="12" t="s">
        <v>1875</v>
      </c>
      <c r="F367" s="12" t="s">
        <v>1861</v>
      </c>
      <c r="G367" s="12" t="s">
        <v>1862</v>
      </c>
      <c r="H367" s="12">
        <v>10</v>
      </c>
      <c r="I367" s="13"/>
      <c r="J367" s="12" t="s">
        <v>1447</v>
      </c>
    </row>
    <row r="368" spans="1:10">
      <c r="A368" s="12">
        <f>IF(B368="","",COUNTA($B$4:B368))</f>
        <v>365</v>
      </c>
      <c r="B368" s="12" t="s">
        <v>2054</v>
      </c>
      <c r="C368" s="12" t="s">
        <v>1873</v>
      </c>
      <c r="D368" s="12" t="s">
        <v>1874</v>
      </c>
      <c r="E368" s="12" t="s">
        <v>1875</v>
      </c>
      <c r="F368" s="12" t="s">
        <v>1861</v>
      </c>
      <c r="G368" s="12" t="s">
        <v>1862</v>
      </c>
      <c r="H368" s="12">
        <v>10</v>
      </c>
      <c r="I368" s="13"/>
      <c r="J368" s="12"/>
    </row>
    <row r="369" spans="1:10">
      <c r="A369" s="12">
        <f>IF(B369="","",COUNTA($B$4:B369))</f>
        <v>366</v>
      </c>
      <c r="B369" s="12" t="s">
        <v>2066</v>
      </c>
      <c r="C369" s="12" t="s">
        <v>1873</v>
      </c>
      <c r="D369" s="12" t="s">
        <v>624</v>
      </c>
      <c r="E369" s="12" t="s">
        <v>1440</v>
      </c>
      <c r="F369" s="12" t="s">
        <v>1861</v>
      </c>
      <c r="G369" s="12" t="s">
        <v>1862</v>
      </c>
      <c r="H369" s="12">
        <v>10</v>
      </c>
      <c r="I369" s="13"/>
      <c r="J369" s="12"/>
    </row>
    <row r="370" spans="1:10">
      <c r="A370" s="12">
        <f>IF(B370="","",COUNTA($B$4:B370))</f>
        <v>367</v>
      </c>
      <c r="B370" s="12" t="s">
        <v>2069</v>
      </c>
      <c r="C370" s="12" t="s">
        <v>1873</v>
      </c>
      <c r="D370" s="12" t="s">
        <v>624</v>
      </c>
      <c r="E370" s="12" t="s">
        <v>1440</v>
      </c>
      <c r="F370" s="12" t="s">
        <v>111</v>
      </c>
      <c r="G370" s="12" t="s">
        <v>106</v>
      </c>
      <c r="H370" s="12">
        <v>10</v>
      </c>
      <c r="I370" s="13"/>
      <c r="J370" s="12"/>
    </row>
    <row r="371" spans="1:10">
      <c r="A371" s="12">
        <f>IF(B371="","",COUNTA($B$4:B371))</f>
        <v>368</v>
      </c>
      <c r="B371" s="12" t="s">
        <v>2118</v>
      </c>
      <c r="C371" s="12" t="s">
        <v>1873</v>
      </c>
      <c r="D371" s="12" t="s">
        <v>624</v>
      </c>
      <c r="E371" s="12" t="s">
        <v>1875</v>
      </c>
      <c r="F371" s="12" t="s">
        <v>1861</v>
      </c>
      <c r="G371" s="12" t="s">
        <v>1862</v>
      </c>
      <c r="H371" s="12">
        <v>10</v>
      </c>
      <c r="I371" s="13"/>
      <c r="J371" s="12"/>
    </row>
    <row r="372" spans="1:10">
      <c r="A372" s="12">
        <f>IF(B372="","",COUNTA($B$4:B372))</f>
        <v>369</v>
      </c>
      <c r="B372" s="12" t="s">
        <v>2120</v>
      </c>
      <c r="C372" s="12" t="s">
        <v>1873</v>
      </c>
      <c r="D372" s="12" t="s">
        <v>624</v>
      </c>
      <c r="E372" s="12" t="s">
        <v>1875</v>
      </c>
      <c r="F372" s="12" t="s">
        <v>1861</v>
      </c>
      <c r="G372" s="12" t="s">
        <v>1862</v>
      </c>
      <c r="H372" s="12">
        <v>10</v>
      </c>
      <c r="I372" s="13"/>
      <c r="J372" s="12" t="s">
        <v>1447</v>
      </c>
    </row>
    <row r="373" spans="1:10">
      <c r="A373" s="12">
        <f>IF(B373="","",COUNTA($B$4:B373))</f>
        <v>370</v>
      </c>
      <c r="B373" s="12" t="s">
        <v>2124</v>
      </c>
      <c r="C373" s="12" t="s">
        <v>1873</v>
      </c>
      <c r="D373" s="12" t="s">
        <v>1874</v>
      </c>
      <c r="E373" s="12" t="s">
        <v>1875</v>
      </c>
      <c r="F373" s="12" t="s">
        <v>1861</v>
      </c>
      <c r="G373" s="12" t="s">
        <v>1862</v>
      </c>
      <c r="H373" s="12">
        <v>10</v>
      </c>
      <c r="I373" s="13"/>
      <c r="J373" s="12"/>
    </row>
    <row r="374" spans="1:10">
      <c r="A374" s="12">
        <f>IF(B374="","",COUNTA($B$4:B374))</f>
        <v>371</v>
      </c>
      <c r="B374" s="12" t="s">
        <v>2139</v>
      </c>
      <c r="C374" s="12" t="s">
        <v>1873</v>
      </c>
      <c r="D374" s="12" t="s">
        <v>624</v>
      </c>
      <c r="E374" s="12" t="s">
        <v>1873</v>
      </c>
      <c r="F374" s="12" t="s">
        <v>1861</v>
      </c>
      <c r="G374" s="12" t="s">
        <v>1862</v>
      </c>
      <c r="H374" s="12">
        <v>10</v>
      </c>
      <c r="I374" s="13"/>
      <c r="J374" s="12"/>
    </row>
    <row r="375" spans="1:10">
      <c r="A375" s="12">
        <f>IF(B375="","",COUNTA($B$4:B375))</f>
        <v>372</v>
      </c>
      <c r="B375" s="12" t="s">
        <v>2153</v>
      </c>
      <c r="C375" s="12" t="s">
        <v>1873</v>
      </c>
      <c r="D375" s="12" t="s">
        <v>624</v>
      </c>
      <c r="E375" s="12" t="s">
        <v>1873</v>
      </c>
      <c r="F375" s="12" t="s">
        <v>1861</v>
      </c>
      <c r="G375" s="12" t="s">
        <v>1862</v>
      </c>
      <c r="H375" s="12">
        <v>10</v>
      </c>
      <c r="I375" s="13"/>
      <c r="J375" s="12"/>
    </row>
    <row r="376" spans="1:10">
      <c r="A376" s="12">
        <f>IF(B376="","",COUNTA($B$4:B376))</f>
        <v>373</v>
      </c>
      <c r="B376" s="12" t="s">
        <v>2190</v>
      </c>
      <c r="C376" s="12" t="s">
        <v>1873</v>
      </c>
      <c r="D376" s="12" t="s">
        <v>624</v>
      </c>
      <c r="E376" s="12" t="s">
        <v>1875</v>
      </c>
      <c r="F376" s="12" t="s">
        <v>1861</v>
      </c>
      <c r="G376" s="12" t="s">
        <v>1862</v>
      </c>
      <c r="H376" s="12">
        <v>10</v>
      </c>
      <c r="I376" s="13"/>
      <c r="J376" s="12"/>
    </row>
    <row r="377" spans="1:10">
      <c r="A377" s="12">
        <f>IF(B377="","",COUNTA($B$4:B377))</f>
        <v>374</v>
      </c>
      <c r="B377" s="12" t="s">
        <v>2193</v>
      </c>
      <c r="C377" s="12" t="s">
        <v>1873</v>
      </c>
      <c r="D377" s="12" t="s">
        <v>624</v>
      </c>
      <c r="E377" s="12" t="s">
        <v>1875</v>
      </c>
      <c r="F377" s="12" t="s">
        <v>1861</v>
      </c>
      <c r="G377" s="12" t="s">
        <v>1862</v>
      </c>
      <c r="H377" s="12">
        <v>10</v>
      </c>
      <c r="I377" s="13"/>
      <c r="J377" s="12"/>
    </row>
    <row r="378" spans="1:10">
      <c r="A378" s="12">
        <f>IF(B378="","",COUNTA($B$4:B378))</f>
        <v>375</v>
      </c>
      <c r="B378" s="12" t="s">
        <v>1494</v>
      </c>
      <c r="C378" s="12" t="s">
        <v>1440</v>
      </c>
      <c r="D378" s="12" t="s">
        <v>624</v>
      </c>
      <c r="E378" s="12" t="s">
        <v>1441</v>
      </c>
      <c r="F378" s="12" t="s">
        <v>111</v>
      </c>
      <c r="G378" s="12" t="s">
        <v>106</v>
      </c>
      <c r="H378" s="12">
        <v>10</v>
      </c>
      <c r="I378" s="13"/>
      <c r="J378" s="12" t="s">
        <v>1447</v>
      </c>
    </row>
    <row r="379" spans="1:10">
      <c r="A379" s="12">
        <f>IF(B379="","",COUNTA($B$4:B379))</f>
        <v>376</v>
      </c>
      <c r="B379" s="12" t="s">
        <v>1858</v>
      </c>
      <c r="C379" s="12" t="s">
        <v>1876</v>
      </c>
      <c r="D379" s="12" t="s">
        <v>1874</v>
      </c>
      <c r="E379" s="12" t="s">
        <v>1876</v>
      </c>
      <c r="F379" s="12" t="s">
        <v>1861</v>
      </c>
      <c r="G379" s="12" t="s">
        <v>1862</v>
      </c>
      <c r="H379" s="12">
        <v>10</v>
      </c>
      <c r="I379" s="13"/>
      <c r="J379" s="12" t="s">
        <v>1447</v>
      </c>
    </row>
    <row r="380" spans="1:10">
      <c r="A380" s="12">
        <f>IF(B380="","",COUNTA($B$4:B380))</f>
        <v>377</v>
      </c>
      <c r="B380" s="12" t="s">
        <v>1888</v>
      </c>
      <c r="C380" s="12" t="s">
        <v>1876</v>
      </c>
      <c r="D380" s="12" t="s">
        <v>1874</v>
      </c>
      <c r="E380" s="12" t="s">
        <v>1876</v>
      </c>
      <c r="F380" s="12" t="s">
        <v>1861</v>
      </c>
      <c r="G380" s="12" t="s">
        <v>1862</v>
      </c>
      <c r="H380" s="12">
        <v>10</v>
      </c>
      <c r="I380" s="13"/>
      <c r="J380" s="12" t="s">
        <v>1447</v>
      </c>
    </row>
    <row r="381" spans="1:10">
      <c r="A381" s="12">
        <f>IF(B381="","",COUNTA($B$4:B381))</f>
        <v>378</v>
      </c>
      <c r="B381" s="12" t="s">
        <v>1932</v>
      </c>
      <c r="C381" s="12" t="s">
        <v>1876</v>
      </c>
      <c r="D381" s="12" t="s">
        <v>1874</v>
      </c>
      <c r="E381" s="12" t="s">
        <v>1876</v>
      </c>
      <c r="F381" s="12" t="s">
        <v>1861</v>
      </c>
      <c r="G381" s="12" t="s">
        <v>1862</v>
      </c>
      <c r="H381" s="12">
        <v>10</v>
      </c>
      <c r="I381" s="13"/>
      <c r="J381" s="12"/>
    </row>
    <row r="382" spans="1:10">
      <c r="A382" s="12">
        <f>IF(B382="","",COUNTA($B$4:B382))</f>
        <v>379</v>
      </c>
      <c r="B382" s="12" t="s">
        <v>1957</v>
      </c>
      <c r="C382" s="12" t="s">
        <v>1876</v>
      </c>
      <c r="D382" s="12" t="s">
        <v>624</v>
      </c>
      <c r="E382" s="12" t="s">
        <v>1876</v>
      </c>
      <c r="F382" s="12" t="s">
        <v>111</v>
      </c>
      <c r="G382" s="12" t="s">
        <v>106</v>
      </c>
      <c r="H382" s="12">
        <v>10</v>
      </c>
      <c r="I382" s="13"/>
      <c r="J382" s="12" t="s">
        <v>1447</v>
      </c>
    </row>
    <row r="383" spans="1:10">
      <c r="A383" s="12">
        <f>IF(B383="","",COUNTA($B$4:B383))</f>
        <v>380</v>
      </c>
      <c r="B383" s="12" t="s">
        <v>2012</v>
      </c>
      <c r="C383" s="12" t="s">
        <v>1876</v>
      </c>
      <c r="D383" s="12" t="s">
        <v>1874</v>
      </c>
      <c r="E383" s="12" t="s">
        <v>1876</v>
      </c>
      <c r="F383" s="12" t="s">
        <v>1861</v>
      </c>
      <c r="G383" s="12" t="s">
        <v>1862</v>
      </c>
      <c r="H383" s="12">
        <v>10</v>
      </c>
      <c r="I383" s="13"/>
      <c r="J383" s="12"/>
    </row>
    <row r="384" spans="1:10">
      <c r="A384" s="12">
        <f>IF(B384="","",COUNTA($B$4:B384))</f>
        <v>381</v>
      </c>
      <c r="B384" s="12" t="s">
        <v>2054</v>
      </c>
      <c r="C384" s="12" t="s">
        <v>1876</v>
      </c>
      <c r="D384" s="12" t="s">
        <v>1874</v>
      </c>
      <c r="E384" s="12" t="s">
        <v>1876</v>
      </c>
      <c r="F384" s="12" t="s">
        <v>1861</v>
      </c>
      <c r="G384" s="12" t="s">
        <v>1862</v>
      </c>
      <c r="H384" s="12">
        <v>10</v>
      </c>
      <c r="I384" s="13"/>
      <c r="J384" s="12" t="s">
        <v>1447</v>
      </c>
    </row>
    <row r="385" spans="1:10">
      <c r="A385" s="12">
        <f>IF(B385="","",COUNTA($B$4:B385))</f>
        <v>382</v>
      </c>
      <c r="B385" s="12" t="s">
        <v>2066</v>
      </c>
      <c r="C385" s="12" t="s">
        <v>1876</v>
      </c>
      <c r="D385" s="12" t="s">
        <v>624</v>
      </c>
      <c r="E385" s="12" t="s">
        <v>112</v>
      </c>
      <c r="F385" s="12" t="s">
        <v>111</v>
      </c>
      <c r="G385" s="12" t="s">
        <v>106</v>
      </c>
      <c r="H385" s="12">
        <v>10</v>
      </c>
      <c r="I385" s="13"/>
      <c r="J385" s="12" t="s">
        <v>1447</v>
      </c>
    </row>
    <row r="386" spans="1:10">
      <c r="A386" s="12">
        <f>IF(B386="","",COUNTA($B$4:B386))</f>
        <v>383</v>
      </c>
      <c r="B386" s="12" t="s">
        <v>2069</v>
      </c>
      <c r="C386" s="12" t="s">
        <v>1876</v>
      </c>
      <c r="D386" s="12" t="s">
        <v>624</v>
      </c>
      <c r="E386" s="12" t="s">
        <v>112</v>
      </c>
      <c r="F386" s="12" t="s">
        <v>111</v>
      </c>
      <c r="G386" s="12" t="s">
        <v>106</v>
      </c>
      <c r="H386" s="12">
        <v>10</v>
      </c>
      <c r="I386" s="13"/>
      <c r="J386" s="12" t="s">
        <v>1447</v>
      </c>
    </row>
    <row r="387" spans="1:10">
      <c r="A387" s="12">
        <f>IF(B387="","",COUNTA($B$4:B387))</f>
        <v>384</v>
      </c>
      <c r="B387" s="12" t="s">
        <v>2118</v>
      </c>
      <c r="C387" s="12" t="s">
        <v>1876</v>
      </c>
      <c r="D387" s="12" t="s">
        <v>624</v>
      </c>
      <c r="E387" s="12" t="s">
        <v>1876</v>
      </c>
      <c r="F387" s="12" t="s">
        <v>1861</v>
      </c>
      <c r="G387" s="12" t="s">
        <v>1862</v>
      </c>
      <c r="H387" s="12">
        <v>10</v>
      </c>
      <c r="I387" s="13"/>
      <c r="J387" s="12" t="s">
        <v>1447</v>
      </c>
    </row>
    <row r="388" spans="1:10">
      <c r="A388" s="12">
        <f>IF(B388="","",COUNTA($B$4:B388))</f>
        <v>385</v>
      </c>
      <c r="B388" s="12" t="s">
        <v>2120</v>
      </c>
      <c r="C388" s="12" t="s">
        <v>1876</v>
      </c>
      <c r="D388" s="12" t="s">
        <v>624</v>
      </c>
      <c r="E388" s="12" t="s">
        <v>1876</v>
      </c>
      <c r="F388" s="12" t="s">
        <v>1861</v>
      </c>
      <c r="G388" s="12" t="s">
        <v>1862</v>
      </c>
      <c r="H388" s="12">
        <v>10</v>
      </c>
      <c r="I388" s="13"/>
      <c r="J388" s="12" t="s">
        <v>1447</v>
      </c>
    </row>
    <row r="389" spans="1:10">
      <c r="A389" s="12">
        <f>IF(B389="","",COUNTA($B$4:B389))</f>
        <v>386</v>
      </c>
      <c r="B389" s="12" t="s">
        <v>2124</v>
      </c>
      <c r="C389" s="12" t="s">
        <v>1876</v>
      </c>
      <c r="D389" s="12" t="s">
        <v>2138</v>
      </c>
      <c r="E389" s="12" t="s">
        <v>1876</v>
      </c>
      <c r="F389" s="12" t="s">
        <v>1861</v>
      </c>
      <c r="G389" s="12" t="s">
        <v>1862</v>
      </c>
      <c r="H389" s="12">
        <v>10</v>
      </c>
      <c r="I389" s="13"/>
      <c r="J389" s="12" t="s">
        <v>1447</v>
      </c>
    </row>
    <row r="390" spans="1:10">
      <c r="A390" s="12">
        <f>IF(B390="","",COUNTA($B$4:B390))</f>
        <v>387</v>
      </c>
      <c r="B390" s="12" t="s">
        <v>2139</v>
      </c>
      <c r="C390" s="12" t="s">
        <v>1876</v>
      </c>
      <c r="D390" s="12" t="s">
        <v>624</v>
      </c>
      <c r="E390" s="12" t="s">
        <v>1876</v>
      </c>
      <c r="F390" s="12" t="s">
        <v>1861</v>
      </c>
      <c r="G390" s="12" t="s">
        <v>1862</v>
      </c>
      <c r="H390" s="12">
        <v>10</v>
      </c>
      <c r="I390" s="13"/>
      <c r="J390" s="12" t="s">
        <v>1447</v>
      </c>
    </row>
    <row r="391" spans="1:10">
      <c r="A391" s="12">
        <f>IF(B391="","",COUNTA($B$4:B391))</f>
        <v>388</v>
      </c>
      <c r="B391" s="12" t="s">
        <v>2153</v>
      </c>
      <c r="C391" s="12" t="s">
        <v>1876</v>
      </c>
      <c r="D391" s="12" t="s">
        <v>624</v>
      </c>
      <c r="E391" s="12" t="s">
        <v>1876</v>
      </c>
      <c r="F391" s="12" t="s">
        <v>1861</v>
      </c>
      <c r="G391" s="12" t="s">
        <v>1862</v>
      </c>
      <c r="H391" s="12">
        <v>10</v>
      </c>
      <c r="I391" s="13"/>
      <c r="J391" s="12" t="s">
        <v>1447</v>
      </c>
    </row>
    <row r="392" spans="1:10">
      <c r="A392" s="12">
        <f>IF(B392="","",COUNTA($B$4:B392))</f>
        <v>389</v>
      </c>
      <c r="B392" s="12" t="s">
        <v>2190</v>
      </c>
      <c r="C392" s="12" t="s">
        <v>1876</v>
      </c>
      <c r="D392" s="12" t="s">
        <v>624</v>
      </c>
      <c r="E392" s="12" t="s">
        <v>1876</v>
      </c>
      <c r="F392" s="12" t="s">
        <v>1861</v>
      </c>
      <c r="G392" s="12" t="s">
        <v>1862</v>
      </c>
      <c r="H392" s="12">
        <v>10</v>
      </c>
      <c r="I392" s="13"/>
      <c r="J392" s="12" t="s">
        <v>1918</v>
      </c>
    </row>
    <row r="393" spans="1:10">
      <c r="A393" s="12">
        <f>IF(B393="","",COUNTA($B$4:B393))</f>
        <v>390</v>
      </c>
      <c r="B393" s="12" t="s">
        <v>2193</v>
      </c>
      <c r="C393" s="12" t="s">
        <v>1876</v>
      </c>
      <c r="D393" s="12" t="s">
        <v>624</v>
      </c>
      <c r="E393" s="12" t="s">
        <v>1876</v>
      </c>
      <c r="F393" s="12" t="s">
        <v>1861</v>
      </c>
      <c r="G393" s="12" t="s">
        <v>1862</v>
      </c>
      <c r="H393" s="12">
        <v>10</v>
      </c>
      <c r="I393" s="13"/>
      <c r="J393" s="12" t="s">
        <v>1447</v>
      </c>
    </row>
    <row r="394" spans="1:10">
      <c r="A394" s="12">
        <f>IF(B394="","",COUNTA($B$4:B394))</f>
        <v>391</v>
      </c>
      <c r="B394" s="12" t="s">
        <v>1494</v>
      </c>
      <c r="C394" s="12" t="s">
        <v>112</v>
      </c>
      <c r="D394" s="12" t="s">
        <v>624</v>
      </c>
      <c r="E394" s="12" t="s">
        <v>112</v>
      </c>
      <c r="F394" s="12" t="s">
        <v>111</v>
      </c>
      <c r="G394" s="12" t="s">
        <v>106</v>
      </c>
      <c r="H394" s="12">
        <v>10</v>
      </c>
      <c r="I394" s="13"/>
      <c r="J394" s="12" t="s">
        <v>1447</v>
      </c>
    </row>
    <row r="395" spans="1:10">
      <c r="A395" s="12">
        <f>IF(B395="","",COUNTA($B$4:B395))</f>
        <v>392</v>
      </c>
      <c r="B395" s="12" t="s">
        <v>1858</v>
      </c>
      <c r="C395" s="12" t="s">
        <v>1877</v>
      </c>
      <c r="D395" s="12" t="s">
        <v>1878</v>
      </c>
      <c r="E395" s="12" t="s">
        <v>1877</v>
      </c>
      <c r="F395" s="12" t="s">
        <v>1879</v>
      </c>
      <c r="G395" s="12" t="s">
        <v>1880</v>
      </c>
      <c r="H395" s="12"/>
      <c r="I395" s="13"/>
      <c r="J395" s="12"/>
    </row>
    <row r="396" spans="1:10">
      <c r="A396" s="12">
        <f>IF(B396="","",COUNTA($B$4:B396))</f>
        <v>393</v>
      </c>
      <c r="B396" s="12" t="s">
        <v>1888</v>
      </c>
      <c r="C396" s="12" t="s">
        <v>1877</v>
      </c>
      <c r="D396" s="12" t="s">
        <v>1878</v>
      </c>
      <c r="E396" s="12" t="s">
        <v>1877</v>
      </c>
      <c r="F396" s="12" t="s">
        <v>1879</v>
      </c>
      <c r="G396" s="12" t="s">
        <v>1880</v>
      </c>
      <c r="H396" s="12"/>
      <c r="I396" s="13"/>
      <c r="J396" s="12"/>
    </row>
    <row r="397" spans="1:10">
      <c r="A397" s="12">
        <f>IF(B397="","",COUNTA($B$4:B397))</f>
        <v>394</v>
      </c>
      <c r="B397" s="12" t="s">
        <v>1932</v>
      </c>
      <c r="C397" s="12" t="s">
        <v>1877</v>
      </c>
      <c r="D397" s="12" t="s">
        <v>1878</v>
      </c>
      <c r="E397" s="12" t="s">
        <v>1877</v>
      </c>
      <c r="F397" s="12" t="s">
        <v>1879</v>
      </c>
      <c r="G397" s="12" t="s">
        <v>1880</v>
      </c>
      <c r="H397" s="12"/>
      <c r="I397" s="13"/>
      <c r="J397" s="12" t="s">
        <v>1447</v>
      </c>
    </row>
    <row r="398" spans="1:10">
      <c r="A398" s="12">
        <f>IF(B398="","",COUNTA($B$4:B398))</f>
        <v>395</v>
      </c>
      <c r="B398" s="12" t="s">
        <v>1957</v>
      </c>
      <c r="C398" s="12" t="s">
        <v>1877</v>
      </c>
      <c r="D398" s="12" t="s">
        <v>1878</v>
      </c>
      <c r="E398" s="12" t="s">
        <v>1877</v>
      </c>
      <c r="F398" s="12" t="s">
        <v>86</v>
      </c>
      <c r="G398" s="12" t="s">
        <v>108</v>
      </c>
      <c r="H398" s="12"/>
      <c r="I398" s="13"/>
      <c r="J398" s="12"/>
    </row>
    <row r="399" spans="1:10">
      <c r="A399" s="12">
        <f>IF(B399="","",COUNTA($B$4:B399))</f>
        <v>396</v>
      </c>
      <c r="B399" s="12" t="s">
        <v>2012</v>
      </c>
      <c r="C399" s="12" t="s">
        <v>1877</v>
      </c>
      <c r="D399" s="12" t="s">
        <v>1878</v>
      </c>
      <c r="E399" s="12" t="s">
        <v>1877</v>
      </c>
      <c r="F399" s="12" t="s">
        <v>1879</v>
      </c>
      <c r="G399" s="12" t="s">
        <v>1880</v>
      </c>
      <c r="H399" s="12"/>
      <c r="I399" s="13"/>
      <c r="J399" s="12"/>
    </row>
    <row r="400" spans="1:10">
      <c r="A400" s="12">
        <f>IF(B400="","",COUNTA($B$4:B400))</f>
        <v>397</v>
      </c>
      <c r="B400" s="12" t="s">
        <v>2054</v>
      </c>
      <c r="C400" s="12" t="s">
        <v>1877</v>
      </c>
      <c r="D400" s="12" t="s">
        <v>1878</v>
      </c>
      <c r="E400" s="12" t="s">
        <v>1877</v>
      </c>
      <c r="F400" s="12" t="s">
        <v>1879</v>
      </c>
      <c r="G400" s="12" t="s">
        <v>1880</v>
      </c>
      <c r="H400" s="12"/>
      <c r="I400" s="13"/>
      <c r="J400" s="12"/>
    </row>
    <row r="401" spans="1:10">
      <c r="A401" s="12">
        <f>IF(B401="","",COUNTA($B$4:B401))</f>
        <v>398</v>
      </c>
      <c r="B401" s="12" t="s">
        <v>2066</v>
      </c>
      <c r="C401" s="12" t="s">
        <v>1877</v>
      </c>
      <c r="D401" s="12" t="s">
        <v>548</v>
      </c>
      <c r="E401" s="12" t="s">
        <v>113</v>
      </c>
      <c r="F401" s="12" t="s">
        <v>86</v>
      </c>
      <c r="G401" s="12" t="s">
        <v>108</v>
      </c>
      <c r="H401" s="12"/>
      <c r="I401" s="13"/>
      <c r="J401" s="12"/>
    </row>
    <row r="402" spans="1:10">
      <c r="A402" s="12">
        <f>IF(B402="","",COUNTA($B$4:B402))</f>
        <v>399</v>
      </c>
      <c r="B402" s="12" t="s">
        <v>2069</v>
      </c>
      <c r="C402" s="12" t="s">
        <v>1877</v>
      </c>
      <c r="D402" s="12" t="s">
        <v>548</v>
      </c>
      <c r="E402" s="12" t="s">
        <v>113</v>
      </c>
      <c r="F402" s="12" t="s">
        <v>86</v>
      </c>
      <c r="G402" s="12" t="s">
        <v>1472</v>
      </c>
      <c r="H402" s="12"/>
      <c r="I402" s="13"/>
      <c r="J402" s="12"/>
    </row>
    <row r="403" spans="1:10">
      <c r="A403" s="12">
        <f>IF(B403="","",COUNTA($B$4:B403))</f>
        <v>400</v>
      </c>
      <c r="B403" s="12" t="s">
        <v>2118</v>
      </c>
      <c r="C403" s="12" t="s">
        <v>1877</v>
      </c>
      <c r="D403" s="12" t="s">
        <v>548</v>
      </c>
      <c r="E403" s="12" t="s">
        <v>1877</v>
      </c>
      <c r="F403" s="12" t="s">
        <v>1879</v>
      </c>
      <c r="G403" s="12" t="s">
        <v>1880</v>
      </c>
      <c r="H403" s="12"/>
      <c r="I403" s="13"/>
      <c r="J403" s="12"/>
    </row>
    <row r="404" spans="1:10">
      <c r="A404" s="12">
        <f>IF(B404="","",COUNTA($B$4:B404))</f>
        <v>401</v>
      </c>
      <c r="B404" s="12" t="s">
        <v>2120</v>
      </c>
      <c r="C404" s="12" t="s">
        <v>1877</v>
      </c>
      <c r="D404" s="12" t="s">
        <v>548</v>
      </c>
      <c r="E404" s="12" t="s">
        <v>1877</v>
      </c>
      <c r="F404" s="12" t="s">
        <v>1879</v>
      </c>
      <c r="G404" s="12" t="s">
        <v>1880</v>
      </c>
      <c r="H404" s="12"/>
      <c r="I404" s="13"/>
      <c r="J404" s="12"/>
    </row>
    <row r="405" spans="1:10">
      <c r="A405" s="12">
        <f>IF(B405="","",COUNTA($B$4:B405))</f>
        <v>402</v>
      </c>
      <c r="B405" s="12" t="s">
        <v>2124</v>
      </c>
      <c r="C405" s="12" t="s">
        <v>1877</v>
      </c>
      <c r="D405" s="12" t="s">
        <v>1878</v>
      </c>
      <c r="E405" s="12" t="s">
        <v>1877</v>
      </c>
      <c r="F405" s="12" t="s">
        <v>1879</v>
      </c>
      <c r="G405" s="12" t="s">
        <v>1880</v>
      </c>
      <c r="H405" s="12"/>
      <c r="I405" s="13"/>
      <c r="J405" s="12"/>
    </row>
    <row r="406" spans="1:10">
      <c r="A406" s="12">
        <f>IF(B406="","",COUNTA($B$4:B406))</f>
        <v>403</v>
      </c>
      <c r="B406" s="12" t="s">
        <v>2139</v>
      </c>
      <c r="C406" s="12" t="s">
        <v>1877</v>
      </c>
      <c r="D406" s="12" t="s">
        <v>1878</v>
      </c>
      <c r="E406" s="12" t="s">
        <v>1877</v>
      </c>
      <c r="F406" s="12" t="s">
        <v>1879</v>
      </c>
      <c r="G406" s="12" t="s">
        <v>2152</v>
      </c>
      <c r="H406" s="12"/>
      <c r="I406" s="13"/>
      <c r="J406" s="12"/>
    </row>
    <row r="407" spans="1:10">
      <c r="A407" s="12">
        <f>IF(B407="","",COUNTA($B$4:B407))</f>
        <v>404</v>
      </c>
      <c r="B407" s="12" t="s">
        <v>2153</v>
      </c>
      <c r="C407" s="12" t="s">
        <v>1877</v>
      </c>
      <c r="D407" s="12" t="s">
        <v>548</v>
      </c>
      <c r="E407" s="12" t="s">
        <v>1877</v>
      </c>
      <c r="F407" s="12" t="s">
        <v>1879</v>
      </c>
      <c r="G407" s="12" t="s">
        <v>2152</v>
      </c>
      <c r="H407" s="12"/>
      <c r="I407" s="13"/>
      <c r="J407" s="12" t="s">
        <v>1447</v>
      </c>
    </row>
    <row r="408" spans="1:10">
      <c r="A408" s="12">
        <f>IF(B408="","",COUNTA($B$4:B408))</f>
        <v>405</v>
      </c>
      <c r="B408" s="12" t="s">
        <v>2190</v>
      </c>
      <c r="C408" s="12" t="s">
        <v>1877</v>
      </c>
      <c r="D408" s="12" t="s">
        <v>548</v>
      </c>
      <c r="E408" s="12" t="s">
        <v>1877</v>
      </c>
      <c r="F408" s="12" t="s">
        <v>1879</v>
      </c>
      <c r="G408" s="12" t="s">
        <v>1880</v>
      </c>
      <c r="H408" s="12"/>
      <c r="I408" s="13"/>
      <c r="J408" s="12" t="s">
        <v>1447</v>
      </c>
    </row>
    <row r="409" spans="1:10">
      <c r="A409" s="12">
        <f>IF(B409="","",COUNTA($B$4:B409))</f>
        <v>406</v>
      </c>
      <c r="B409" s="12" t="s">
        <v>2193</v>
      </c>
      <c r="C409" s="12" t="s">
        <v>1877</v>
      </c>
      <c r="D409" s="12" t="s">
        <v>548</v>
      </c>
      <c r="E409" s="12" t="s">
        <v>1877</v>
      </c>
      <c r="F409" s="12" t="s">
        <v>1879</v>
      </c>
      <c r="G409" s="12" t="s">
        <v>1880</v>
      </c>
      <c r="H409" s="12"/>
      <c r="I409" s="13"/>
      <c r="J409" s="12" t="s">
        <v>1447</v>
      </c>
    </row>
    <row r="410" spans="1:10">
      <c r="A410" s="12">
        <f>IF(B410="","",COUNTA($B$4:B410))</f>
        <v>407</v>
      </c>
      <c r="B410" s="12" t="s">
        <v>1494</v>
      </c>
      <c r="C410" s="12" t="s">
        <v>113</v>
      </c>
      <c r="D410" s="12" t="s">
        <v>548</v>
      </c>
      <c r="E410" s="12" t="s">
        <v>113</v>
      </c>
      <c r="F410" s="12" t="s">
        <v>86</v>
      </c>
      <c r="G410" s="12" t="s">
        <v>108</v>
      </c>
      <c r="H410" s="12"/>
      <c r="I410" s="13"/>
      <c r="J410" s="12"/>
    </row>
    <row r="411" spans="1:10">
      <c r="A411" s="12">
        <f>IF(B411="","",COUNTA($B$4:B411))</f>
        <v>408</v>
      </c>
      <c r="B411" s="12" t="s">
        <v>1932</v>
      </c>
      <c r="C411" s="12" t="s">
        <v>1949</v>
      </c>
      <c r="D411" s="12" t="s">
        <v>1950</v>
      </c>
      <c r="E411" s="12" t="s">
        <v>1949</v>
      </c>
      <c r="F411" s="12" t="s">
        <v>1861</v>
      </c>
      <c r="G411" s="12" t="s">
        <v>1862</v>
      </c>
      <c r="H411" s="12">
        <v>1</v>
      </c>
      <c r="I411" s="13"/>
      <c r="J411" s="12" t="s">
        <v>1447</v>
      </c>
    </row>
    <row r="412" spans="1:10">
      <c r="A412" s="12">
        <f>IF(B412="","",COUNTA($B$4:B412))</f>
        <v>409</v>
      </c>
      <c r="B412" s="12" t="s">
        <v>2124</v>
      </c>
      <c r="C412" s="12" t="s">
        <v>2133</v>
      </c>
      <c r="D412" s="61"/>
      <c r="E412" s="12" t="s">
        <v>2133</v>
      </c>
      <c r="F412" s="12" t="s">
        <v>1899</v>
      </c>
      <c r="G412" s="12" t="s">
        <v>1900</v>
      </c>
      <c r="H412" s="12">
        <v>7</v>
      </c>
      <c r="I412" s="13">
        <v>1</v>
      </c>
      <c r="J412" s="12"/>
    </row>
    <row r="413" spans="1:10">
      <c r="A413" s="12">
        <f>IF(B413="","",COUNTA($B$4:B413))</f>
        <v>410</v>
      </c>
      <c r="B413" s="12" t="s">
        <v>2124</v>
      </c>
      <c r="C413" s="12" t="s">
        <v>2132</v>
      </c>
      <c r="D413" s="61"/>
      <c r="E413" s="12" t="s">
        <v>2132</v>
      </c>
      <c r="F413" s="12" t="s">
        <v>1899</v>
      </c>
      <c r="G413" s="12" t="s">
        <v>1900</v>
      </c>
      <c r="H413" s="12">
        <v>7</v>
      </c>
      <c r="I413" s="13">
        <v>1</v>
      </c>
      <c r="J413" s="12" t="s">
        <v>1447</v>
      </c>
    </row>
    <row r="414" spans="1:10">
      <c r="A414" s="12">
        <f>IF(B414="","",COUNTA($B$4:B414))</f>
        <v>411</v>
      </c>
      <c r="B414" s="12" t="s">
        <v>2124</v>
      </c>
      <c r="C414" s="12" t="s">
        <v>2131</v>
      </c>
      <c r="D414" s="61"/>
      <c r="E414" s="12" t="s">
        <v>2131</v>
      </c>
      <c r="F414" s="12" t="s">
        <v>1899</v>
      </c>
      <c r="G414" s="12" t="s">
        <v>1900</v>
      </c>
      <c r="H414" s="12">
        <v>7</v>
      </c>
      <c r="I414" s="13">
        <v>1</v>
      </c>
      <c r="J414" s="12" t="s">
        <v>1447</v>
      </c>
    </row>
    <row r="415" spans="1:10">
      <c r="A415" s="12">
        <f>IF(B415="","",COUNTA($B$4:B415))</f>
        <v>412</v>
      </c>
      <c r="B415" s="12" t="s">
        <v>2124</v>
      </c>
      <c r="C415" s="12" t="s">
        <v>2130</v>
      </c>
      <c r="D415" s="61"/>
      <c r="E415" s="12" t="s">
        <v>2130</v>
      </c>
      <c r="F415" s="12" t="s">
        <v>1899</v>
      </c>
      <c r="G415" s="12" t="s">
        <v>1900</v>
      </c>
      <c r="H415" s="12">
        <v>7</v>
      </c>
      <c r="I415" s="13">
        <v>1</v>
      </c>
      <c r="J415" s="12" t="s">
        <v>1447</v>
      </c>
    </row>
    <row r="416" spans="1:10">
      <c r="A416" s="12">
        <f>IF(B416="","",COUNTA($B$4:B416))</f>
        <v>413</v>
      </c>
      <c r="B416" s="12" t="s">
        <v>2124</v>
      </c>
      <c r="C416" s="12" t="s">
        <v>2135</v>
      </c>
      <c r="D416" s="61"/>
      <c r="E416" s="12" t="s">
        <v>2135</v>
      </c>
      <c r="F416" s="12" t="s">
        <v>1899</v>
      </c>
      <c r="G416" s="12" t="s">
        <v>1900</v>
      </c>
      <c r="H416" s="12">
        <v>7</v>
      </c>
      <c r="I416" s="13">
        <v>1</v>
      </c>
      <c r="J416" s="12" t="s">
        <v>1447</v>
      </c>
    </row>
    <row r="417" spans="1:10">
      <c r="A417" s="12">
        <f>IF(B417="","",COUNTA($B$4:B417))</f>
        <v>414</v>
      </c>
      <c r="B417" s="12" t="s">
        <v>2124</v>
      </c>
      <c r="C417" s="12" t="s">
        <v>2134</v>
      </c>
      <c r="D417" s="61"/>
      <c r="E417" s="12" t="s">
        <v>2134</v>
      </c>
      <c r="F417" s="12" t="s">
        <v>1899</v>
      </c>
      <c r="G417" s="12" t="s">
        <v>1900</v>
      </c>
      <c r="H417" s="12">
        <v>7</v>
      </c>
      <c r="I417" s="13">
        <v>1</v>
      </c>
      <c r="J417" s="12" t="s">
        <v>1447</v>
      </c>
    </row>
    <row r="418" spans="1:10">
      <c r="A418" s="12">
        <f>IF(B418="","",COUNTA($B$4:B418))</f>
        <v>415</v>
      </c>
      <c r="B418" s="12" t="s">
        <v>2196</v>
      </c>
      <c r="C418" s="12" t="s">
        <v>2202</v>
      </c>
      <c r="D418" s="61"/>
      <c r="E418" s="12" t="s">
        <v>2202</v>
      </c>
      <c r="F418" s="12" t="s">
        <v>1861</v>
      </c>
      <c r="G418" s="12" t="s">
        <v>1862</v>
      </c>
      <c r="H418" s="12">
        <v>5</v>
      </c>
      <c r="I418" s="13"/>
      <c r="J418" s="12" t="s">
        <v>1447</v>
      </c>
    </row>
    <row r="419" spans="1:10">
      <c r="A419" s="12">
        <f>IF(B419="","",COUNTA($B$4:B419))</f>
        <v>416</v>
      </c>
      <c r="B419" s="12" t="s">
        <v>2196</v>
      </c>
      <c r="C419" s="12" t="s">
        <v>2203</v>
      </c>
      <c r="D419" s="61"/>
      <c r="E419" s="12" t="s">
        <v>2203</v>
      </c>
      <c r="F419" s="12" t="s">
        <v>1861</v>
      </c>
      <c r="G419" s="12" t="s">
        <v>1862</v>
      </c>
      <c r="H419" s="12">
        <v>30</v>
      </c>
      <c r="I419" s="13"/>
      <c r="J419" s="12" t="s">
        <v>1447</v>
      </c>
    </row>
    <row r="420" spans="1:10">
      <c r="A420" s="12">
        <f>IF(B420="","",COUNTA($B$4:B420))</f>
        <v>417</v>
      </c>
      <c r="B420" s="12" t="s">
        <v>1932</v>
      </c>
      <c r="C420" s="12" t="s">
        <v>1953</v>
      </c>
      <c r="D420" s="12" t="s">
        <v>1954</v>
      </c>
      <c r="E420" s="12" t="s">
        <v>1953</v>
      </c>
      <c r="F420" s="12" t="s">
        <v>1861</v>
      </c>
      <c r="G420" s="12" t="s">
        <v>1862</v>
      </c>
      <c r="H420" s="12">
        <v>50</v>
      </c>
      <c r="I420" s="13"/>
      <c r="J420" s="12" t="s">
        <v>1447</v>
      </c>
    </row>
    <row r="421" spans="1:10">
      <c r="A421" s="12">
        <f>IF(B421="","",COUNTA($B$4:B421))</f>
        <v>418</v>
      </c>
      <c r="B421" s="12" t="s">
        <v>1932</v>
      </c>
      <c r="C421" s="12" t="s">
        <v>1951</v>
      </c>
      <c r="D421" s="12" t="s">
        <v>1952</v>
      </c>
      <c r="E421" s="12" t="s">
        <v>1951</v>
      </c>
      <c r="F421" s="12" t="s">
        <v>1861</v>
      </c>
      <c r="G421" s="12" t="s">
        <v>1880</v>
      </c>
      <c r="H421" s="12"/>
      <c r="I421" s="13"/>
      <c r="J421" s="12" t="s">
        <v>1447</v>
      </c>
    </row>
    <row r="422" spans="1:10">
      <c r="A422" s="12">
        <f>IF(B422="","",COUNTA($B$4:B422))</f>
        <v>419</v>
      </c>
      <c r="B422" s="12" t="s">
        <v>2069</v>
      </c>
      <c r="C422" s="12" t="s">
        <v>2071</v>
      </c>
      <c r="D422" s="12" t="s">
        <v>774</v>
      </c>
      <c r="E422" s="12" t="s">
        <v>1310</v>
      </c>
      <c r="F422" s="12" t="s">
        <v>107</v>
      </c>
      <c r="G422" s="12" t="s">
        <v>109</v>
      </c>
      <c r="H422" s="12">
        <v>5</v>
      </c>
      <c r="I422" s="13" t="s">
        <v>1585</v>
      </c>
      <c r="J422" s="12" t="s">
        <v>1447</v>
      </c>
    </row>
    <row r="423" spans="1:10">
      <c r="A423" s="12">
        <f>IF(B423="","",COUNTA($B$4:B423))</f>
        <v>420</v>
      </c>
      <c r="B423" s="12" t="s">
        <v>1957</v>
      </c>
      <c r="C423" s="12" t="s">
        <v>1969</v>
      </c>
      <c r="D423" s="12" t="s">
        <v>1970</v>
      </c>
      <c r="E423" s="12" t="s">
        <v>1969</v>
      </c>
      <c r="F423" s="12" t="s">
        <v>1861</v>
      </c>
      <c r="G423" s="12" t="s">
        <v>1862</v>
      </c>
      <c r="H423" s="12">
        <v>6</v>
      </c>
      <c r="I423" s="13"/>
      <c r="J423" s="12" t="s">
        <v>1447</v>
      </c>
    </row>
    <row r="424" spans="1:10">
      <c r="A424" s="12">
        <f>IF(B424="","",COUNTA($B$4:B424))</f>
        <v>421</v>
      </c>
      <c r="B424" s="12" t="s">
        <v>2012</v>
      </c>
      <c r="C424" s="12" t="s">
        <v>2049</v>
      </c>
      <c r="D424" s="12" t="s">
        <v>2050</v>
      </c>
      <c r="E424" s="12" t="s">
        <v>2051</v>
      </c>
      <c r="F424" s="12" t="s">
        <v>111</v>
      </c>
      <c r="G424" s="12" t="s">
        <v>106</v>
      </c>
      <c r="H424" s="12">
        <v>10</v>
      </c>
      <c r="I424" s="13"/>
      <c r="J424" s="12"/>
    </row>
    <row r="425" spans="1:10">
      <c r="A425" s="12">
        <f>IF(B425="","",COUNTA($B$4:B425))</f>
        <v>422</v>
      </c>
      <c r="B425" s="12" t="s">
        <v>1957</v>
      </c>
      <c r="C425" s="12" t="s">
        <v>1963</v>
      </c>
      <c r="D425" s="12" t="s">
        <v>1964</v>
      </c>
      <c r="E425" s="12" t="s">
        <v>1963</v>
      </c>
      <c r="F425" s="12" t="s">
        <v>1861</v>
      </c>
      <c r="G425" s="12" t="s">
        <v>1862</v>
      </c>
      <c r="H425" s="12">
        <v>8</v>
      </c>
      <c r="I425" s="13" t="s">
        <v>1585</v>
      </c>
      <c r="J425" s="12"/>
    </row>
    <row r="426" spans="1:10">
      <c r="A426" s="12">
        <f>IF(B426="","",COUNTA($B$4:B426))</f>
        <v>423</v>
      </c>
      <c r="B426" s="12" t="s">
        <v>2012</v>
      </c>
      <c r="C426" s="12" t="s">
        <v>1963</v>
      </c>
      <c r="D426" s="12" t="s">
        <v>2038</v>
      </c>
      <c r="E426" s="12" t="s">
        <v>1963</v>
      </c>
      <c r="F426" s="12" t="s">
        <v>1861</v>
      </c>
      <c r="G426" s="12" t="s">
        <v>1862</v>
      </c>
      <c r="H426" s="12">
        <v>8</v>
      </c>
      <c r="I426" s="13" t="s">
        <v>1585</v>
      </c>
      <c r="J426" s="12"/>
    </row>
    <row r="427" spans="1:10">
      <c r="A427" s="12">
        <f>IF(B427="","",COUNTA($B$4:B427))</f>
        <v>424</v>
      </c>
      <c r="B427" s="12" t="s">
        <v>2054</v>
      </c>
      <c r="C427" s="12" t="s">
        <v>1963</v>
      </c>
      <c r="D427" s="12" t="s">
        <v>2038</v>
      </c>
      <c r="E427" s="12" t="s">
        <v>1963</v>
      </c>
      <c r="F427" s="12" t="s">
        <v>1861</v>
      </c>
      <c r="G427" s="12" t="s">
        <v>1862</v>
      </c>
      <c r="H427" s="12">
        <v>8</v>
      </c>
      <c r="I427" s="13" t="s">
        <v>1585</v>
      </c>
      <c r="J427" s="12"/>
    </row>
    <row r="428" spans="1:10">
      <c r="A428" s="12">
        <f>IF(B428="","",COUNTA($B$4:B428))</f>
        <v>425</v>
      </c>
      <c r="B428" s="12" t="s">
        <v>2066</v>
      </c>
      <c r="C428" s="12" t="s">
        <v>1963</v>
      </c>
      <c r="D428" s="12" t="s">
        <v>2038</v>
      </c>
      <c r="E428" s="12" t="s">
        <v>1963</v>
      </c>
      <c r="F428" s="12" t="s">
        <v>1861</v>
      </c>
      <c r="G428" s="12" t="s">
        <v>1862</v>
      </c>
      <c r="H428" s="12">
        <v>2</v>
      </c>
      <c r="I428" s="13"/>
      <c r="J428" s="12"/>
    </row>
    <row r="429" spans="1:10">
      <c r="A429" s="12">
        <f>IF(B429="","",COUNTA($B$4:B429))</f>
        <v>426</v>
      </c>
      <c r="B429" s="12" t="s">
        <v>2076</v>
      </c>
      <c r="C429" s="12" t="s">
        <v>2084</v>
      </c>
      <c r="D429" s="61"/>
      <c r="E429" s="12"/>
      <c r="F429" s="12" t="s">
        <v>111</v>
      </c>
      <c r="G429" s="12" t="s">
        <v>106</v>
      </c>
      <c r="H429" s="12">
        <v>15</v>
      </c>
      <c r="I429" s="13"/>
      <c r="J429" s="12"/>
    </row>
    <row r="430" spans="1:10">
      <c r="A430" s="12">
        <f>IF(B430="","",COUNTA($B$4:B430))</f>
        <v>427</v>
      </c>
      <c r="B430" s="12" t="s">
        <v>2076</v>
      </c>
      <c r="C430" s="12" t="s">
        <v>2077</v>
      </c>
      <c r="D430" s="61"/>
      <c r="E430" s="12"/>
      <c r="F430" s="12" t="s">
        <v>111</v>
      </c>
      <c r="G430" s="12" t="s">
        <v>106</v>
      </c>
      <c r="H430" s="12">
        <v>10</v>
      </c>
      <c r="I430" s="13" t="s">
        <v>1585</v>
      </c>
      <c r="J430" s="12"/>
    </row>
    <row r="431" spans="1:10">
      <c r="A431" s="12">
        <f>IF(B431="","",COUNTA($B$4:B431))</f>
        <v>428</v>
      </c>
      <c r="B431" s="12" t="s">
        <v>1888</v>
      </c>
      <c r="C431" s="12" t="s">
        <v>1891</v>
      </c>
      <c r="D431" s="12" t="s">
        <v>1892</v>
      </c>
      <c r="E431" s="12" t="s">
        <v>1891</v>
      </c>
      <c r="F431" s="12" t="s">
        <v>1861</v>
      </c>
      <c r="G431" s="12" t="s">
        <v>1862</v>
      </c>
      <c r="H431" s="12">
        <v>2</v>
      </c>
      <c r="I431" s="13"/>
      <c r="J431" s="12"/>
    </row>
    <row r="432" spans="1:10">
      <c r="A432" s="12">
        <f>IF(B432="","",COUNTA($B$4:B432))</f>
        <v>429</v>
      </c>
      <c r="B432" s="12" t="s">
        <v>1932</v>
      </c>
      <c r="C432" s="12" t="s">
        <v>1891</v>
      </c>
      <c r="D432" s="12" t="s">
        <v>1892</v>
      </c>
      <c r="E432" s="12" t="s">
        <v>1891</v>
      </c>
      <c r="F432" s="12" t="s">
        <v>1861</v>
      </c>
      <c r="G432" s="12" t="s">
        <v>1862</v>
      </c>
      <c r="H432" s="12">
        <v>2</v>
      </c>
      <c r="I432" s="13"/>
      <c r="J432" s="12"/>
    </row>
    <row r="433" spans="1:10">
      <c r="A433" s="12">
        <f>IF(B433="","",COUNTA($B$4:B433))</f>
        <v>430</v>
      </c>
      <c r="B433" s="12" t="s">
        <v>1957</v>
      </c>
      <c r="C433" s="12" t="s">
        <v>1891</v>
      </c>
      <c r="D433" s="12" t="s">
        <v>1892</v>
      </c>
      <c r="E433" s="12" t="s">
        <v>1891</v>
      </c>
      <c r="F433" s="12" t="s">
        <v>1861</v>
      </c>
      <c r="G433" s="12" t="s">
        <v>1862</v>
      </c>
      <c r="H433" s="12">
        <v>30</v>
      </c>
      <c r="I433" s="13"/>
      <c r="J433" s="12"/>
    </row>
    <row r="434" spans="1:10">
      <c r="A434" s="12">
        <f>IF(B434="","",COUNTA($B$4:B434))</f>
        <v>431</v>
      </c>
      <c r="B434" s="12" t="s">
        <v>2012</v>
      </c>
      <c r="C434" s="12" t="s">
        <v>1891</v>
      </c>
      <c r="D434" s="12" t="s">
        <v>1444</v>
      </c>
      <c r="E434" s="12" t="s">
        <v>1891</v>
      </c>
      <c r="F434" s="12" t="s">
        <v>1861</v>
      </c>
      <c r="G434" s="12" t="s">
        <v>1862</v>
      </c>
      <c r="H434" s="12">
        <v>2</v>
      </c>
      <c r="I434" s="13"/>
      <c r="J434" s="12"/>
    </row>
    <row r="435" spans="1:10">
      <c r="A435" s="12">
        <f>IF(B435="","",COUNTA($B$4:B435))</f>
        <v>432</v>
      </c>
      <c r="B435" s="12" t="s">
        <v>2054</v>
      </c>
      <c r="C435" s="12" t="s">
        <v>1891</v>
      </c>
      <c r="D435" s="12" t="s">
        <v>1892</v>
      </c>
      <c r="E435" s="12" t="s">
        <v>1891</v>
      </c>
      <c r="F435" s="12" t="s">
        <v>1861</v>
      </c>
      <c r="G435" s="12" t="s">
        <v>1862</v>
      </c>
      <c r="H435" s="12">
        <v>2</v>
      </c>
      <c r="I435" s="13"/>
      <c r="J435" s="12"/>
    </row>
    <row r="436" spans="1:10">
      <c r="A436" s="12">
        <f>IF(B436="","",COUNTA($B$4:B436))</f>
        <v>433</v>
      </c>
      <c r="B436" s="12" t="s">
        <v>2066</v>
      </c>
      <c r="C436" s="12" t="s">
        <v>1891</v>
      </c>
      <c r="D436" s="12" t="s">
        <v>1892</v>
      </c>
      <c r="E436" s="12" t="s">
        <v>1891</v>
      </c>
      <c r="F436" s="12" t="s">
        <v>1861</v>
      </c>
      <c r="G436" s="12" t="s">
        <v>1862</v>
      </c>
      <c r="H436" s="12">
        <v>2</v>
      </c>
      <c r="I436" s="13"/>
      <c r="J436" s="12"/>
    </row>
    <row r="437" spans="1:10">
      <c r="A437" s="12">
        <f>IF(B437="","",COUNTA($B$4:B437))</f>
        <v>434</v>
      </c>
      <c r="B437" s="12" t="s">
        <v>2118</v>
      </c>
      <c r="C437" s="12" t="s">
        <v>1891</v>
      </c>
      <c r="D437" s="12" t="s">
        <v>1444</v>
      </c>
      <c r="E437" s="12" t="s">
        <v>1891</v>
      </c>
      <c r="F437" s="12" t="s">
        <v>1861</v>
      </c>
      <c r="G437" s="12" t="s">
        <v>1862</v>
      </c>
      <c r="H437" s="12">
        <v>4</v>
      </c>
      <c r="I437" s="13"/>
      <c r="J437" s="12"/>
    </row>
    <row r="438" spans="1:10">
      <c r="A438" s="12">
        <f>IF(B438="","",COUNTA($B$4:B438))</f>
        <v>435</v>
      </c>
      <c r="B438" s="12" t="s">
        <v>2120</v>
      </c>
      <c r="C438" s="12" t="s">
        <v>1891</v>
      </c>
      <c r="D438" s="12" t="s">
        <v>1444</v>
      </c>
      <c r="E438" s="12" t="s">
        <v>1891</v>
      </c>
      <c r="F438" s="12" t="s">
        <v>1861</v>
      </c>
      <c r="G438" s="12" t="s">
        <v>1862</v>
      </c>
      <c r="H438" s="12">
        <v>4</v>
      </c>
      <c r="I438" s="13"/>
      <c r="J438" s="12"/>
    </row>
    <row r="439" spans="1:10">
      <c r="A439" s="12">
        <f>IF(B439="","",COUNTA($B$4:B439))</f>
        <v>436</v>
      </c>
      <c r="B439" s="12" t="s">
        <v>2139</v>
      </c>
      <c r="C439" s="12" t="s">
        <v>1891</v>
      </c>
      <c r="D439" s="12" t="s">
        <v>1892</v>
      </c>
      <c r="E439" s="12" t="s">
        <v>1891</v>
      </c>
      <c r="F439" s="12" t="s">
        <v>1861</v>
      </c>
      <c r="G439" s="12" t="s">
        <v>1862</v>
      </c>
      <c r="H439" s="12">
        <v>4</v>
      </c>
      <c r="I439" s="13"/>
      <c r="J439" s="12"/>
    </row>
    <row r="440" spans="1:10">
      <c r="A440" s="12">
        <f>IF(B440="","",COUNTA($B$4:B440))</f>
        <v>437</v>
      </c>
      <c r="B440" s="12" t="s">
        <v>2153</v>
      </c>
      <c r="C440" s="12" t="s">
        <v>1891</v>
      </c>
      <c r="D440" s="12" t="s">
        <v>1444</v>
      </c>
      <c r="E440" s="12" t="s">
        <v>1891</v>
      </c>
      <c r="F440" s="12" t="s">
        <v>1861</v>
      </c>
      <c r="G440" s="12" t="s">
        <v>1862</v>
      </c>
      <c r="H440" s="12">
        <v>4</v>
      </c>
      <c r="I440" s="13"/>
      <c r="J440" s="12"/>
    </row>
    <row r="441" spans="1:10">
      <c r="A441" s="12">
        <f>IF(B441="","",COUNTA($B$4:B441))</f>
        <v>438</v>
      </c>
      <c r="B441" s="12" t="s">
        <v>2190</v>
      </c>
      <c r="C441" s="12" t="s">
        <v>1891</v>
      </c>
      <c r="D441" s="12" t="s">
        <v>1444</v>
      </c>
      <c r="E441" s="12" t="s">
        <v>1891</v>
      </c>
      <c r="F441" s="12" t="s">
        <v>1861</v>
      </c>
      <c r="G441" s="12" t="s">
        <v>1862</v>
      </c>
      <c r="H441" s="12">
        <v>4</v>
      </c>
      <c r="I441" s="13"/>
      <c r="J441" s="12"/>
    </row>
    <row r="442" spans="1:10">
      <c r="A442" s="12">
        <f>IF(B442="","",COUNTA($B$4:B442))</f>
        <v>439</v>
      </c>
      <c r="B442" s="12" t="s">
        <v>2120</v>
      </c>
      <c r="C442" s="12" t="s">
        <v>2122</v>
      </c>
      <c r="D442" s="61"/>
      <c r="E442" s="12" t="s">
        <v>2122</v>
      </c>
      <c r="F442" s="12" t="s">
        <v>1861</v>
      </c>
      <c r="G442" s="12" t="s">
        <v>1862</v>
      </c>
      <c r="H442" s="12">
        <v>3</v>
      </c>
      <c r="I442" s="13"/>
      <c r="J442" s="12"/>
    </row>
    <row r="443" spans="1:10">
      <c r="A443" s="12">
        <f>IF(B443="","",COUNTA($B$4:B443))</f>
        <v>440</v>
      </c>
      <c r="B443" s="12" t="s">
        <v>2153</v>
      </c>
      <c r="C443" s="12" t="s">
        <v>2122</v>
      </c>
      <c r="D443" s="61"/>
      <c r="E443" s="12" t="s">
        <v>2122</v>
      </c>
      <c r="F443" s="12" t="s">
        <v>1861</v>
      </c>
      <c r="G443" s="12" t="s">
        <v>1862</v>
      </c>
      <c r="H443" s="12">
        <v>3</v>
      </c>
      <c r="I443" s="13"/>
      <c r="J443" s="12"/>
    </row>
    <row r="444" spans="1:10">
      <c r="A444" s="12">
        <f>IF(B444="","",COUNTA($B$4:B444))</f>
        <v>441</v>
      </c>
      <c r="B444" s="12" t="s">
        <v>2190</v>
      </c>
      <c r="C444" s="12" t="s">
        <v>2122</v>
      </c>
      <c r="D444" s="61"/>
      <c r="E444" s="12" t="s">
        <v>2122</v>
      </c>
      <c r="F444" s="12" t="s">
        <v>1861</v>
      </c>
      <c r="G444" s="12" t="s">
        <v>1862</v>
      </c>
      <c r="H444" s="12">
        <v>3</v>
      </c>
      <c r="I444" s="13"/>
      <c r="J444" s="12"/>
    </row>
    <row r="445" spans="1:10">
      <c r="A445" s="12">
        <f>IF(B445="","",COUNTA($B$4:B445))</f>
        <v>442</v>
      </c>
      <c r="B445" s="12" t="s">
        <v>1888</v>
      </c>
      <c r="C445" s="12" t="s">
        <v>1893</v>
      </c>
      <c r="D445" s="12" t="s">
        <v>1894</v>
      </c>
      <c r="E445" s="12" t="s">
        <v>1893</v>
      </c>
      <c r="F445" s="12" t="s">
        <v>1861</v>
      </c>
      <c r="G445" s="12" t="s">
        <v>1862</v>
      </c>
      <c r="H445" s="12">
        <v>20</v>
      </c>
      <c r="I445" s="13"/>
      <c r="J445" s="12"/>
    </row>
    <row r="446" spans="1:10">
      <c r="A446" s="12">
        <f>IF(B446="","",COUNTA($B$4:B446))</f>
        <v>443</v>
      </c>
      <c r="B446" s="12" t="s">
        <v>1932</v>
      </c>
      <c r="C446" s="12" t="s">
        <v>1893</v>
      </c>
      <c r="D446" s="12" t="s">
        <v>1894</v>
      </c>
      <c r="E446" s="12" t="s">
        <v>1893</v>
      </c>
      <c r="F446" s="12" t="s">
        <v>1861</v>
      </c>
      <c r="G446" s="12" t="s">
        <v>1862</v>
      </c>
      <c r="H446" s="12">
        <v>20</v>
      </c>
      <c r="I446" s="13"/>
      <c r="J446" s="12"/>
    </row>
    <row r="447" spans="1:10">
      <c r="A447" s="12">
        <f>IF(B447="","",COUNTA($B$4:B447))</f>
        <v>444</v>
      </c>
      <c r="B447" s="12" t="s">
        <v>1957</v>
      </c>
      <c r="C447" s="12" t="s">
        <v>1893</v>
      </c>
      <c r="D447" s="12" t="s">
        <v>1894</v>
      </c>
      <c r="E447" s="12" t="s">
        <v>1893</v>
      </c>
      <c r="F447" s="12" t="s">
        <v>1861</v>
      </c>
      <c r="G447" s="12" t="s">
        <v>1862</v>
      </c>
      <c r="H447" s="12">
        <v>20</v>
      </c>
      <c r="I447" s="13"/>
      <c r="J447" s="12"/>
    </row>
    <row r="448" spans="1:10">
      <c r="A448" s="12">
        <f>IF(B448="","",COUNTA($B$4:B448))</f>
        <v>445</v>
      </c>
      <c r="B448" s="12" t="s">
        <v>2012</v>
      </c>
      <c r="C448" s="12" t="s">
        <v>1893</v>
      </c>
      <c r="D448" s="12" t="s">
        <v>1894</v>
      </c>
      <c r="E448" s="12" t="s">
        <v>1893</v>
      </c>
      <c r="F448" s="12" t="s">
        <v>111</v>
      </c>
      <c r="G448" s="12" t="s">
        <v>106</v>
      </c>
      <c r="H448" s="12">
        <v>20</v>
      </c>
      <c r="I448" s="13"/>
      <c r="J448" s="12"/>
    </row>
    <row r="449" spans="1:10">
      <c r="A449" s="12">
        <f>IF(B449="","",COUNTA($B$4:B449))</f>
        <v>446</v>
      </c>
      <c r="B449" s="12" t="s">
        <v>2054</v>
      </c>
      <c r="C449" s="12" t="s">
        <v>1893</v>
      </c>
      <c r="D449" s="12" t="s">
        <v>1894</v>
      </c>
      <c r="E449" s="12" t="s">
        <v>1893</v>
      </c>
      <c r="F449" s="12" t="s">
        <v>1861</v>
      </c>
      <c r="G449" s="12" t="s">
        <v>1862</v>
      </c>
      <c r="H449" s="12">
        <v>20</v>
      </c>
      <c r="I449" s="13"/>
      <c r="J449" s="12"/>
    </row>
    <row r="450" spans="1:10">
      <c r="A450" s="12">
        <f>IF(B450="","",COUNTA($B$4:B450))</f>
        <v>447</v>
      </c>
      <c r="B450" s="12" t="s">
        <v>2066</v>
      </c>
      <c r="C450" s="12" t="s">
        <v>1893</v>
      </c>
      <c r="D450" s="12" t="s">
        <v>1894</v>
      </c>
      <c r="E450" s="12" t="s">
        <v>1893</v>
      </c>
      <c r="F450" s="12" t="s">
        <v>1861</v>
      </c>
      <c r="G450" s="12" t="s">
        <v>1862</v>
      </c>
      <c r="H450" s="12">
        <v>20</v>
      </c>
      <c r="I450" s="13"/>
      <c r="J450" s="12"/>
    </row>
    <row r="451" spans="1:10">
      <c r="A451" s="12">
        <f>IF(B451="","",COUNTA($B$4:B451))</f>
        <v>448</v>
      </c>
      <c r="B451" s="12" t="s">
        <v>2069</v>
      </c>
      <c r="C451" s="12" t="s">
        <v>1893</v>
      </c>
      <c r="D451" s="12" t="s">
        <v>568</v>
      </c>
      <c r="E451" s="12" t="s">
        <v>122</v>
      </c>
      <c r="F451" s="12" t="s">
        <v>111</v>
      </c>
      <c r="G451" s="12" t="s">
        <v>106</v>
      </c>
      <c r="H451" s="12">
        <v>20</v>
      </c>
      <c r="I451" s="13"/>
      <c r="J451" s="12"/>
    </row>
    <row r="452" spans="1:10">
      <c r="A452" s="12">
        <f>IF(B452="","",COUNTA($B$4:B452))</f>
        <v>449</v>
      </c>
      <c r="B452" s="12" t="s">
        <v>2118</v>
      </c>
      <c r="C452" s="12" t="s">
        <v>1893</v>
      </c>
      <c r="D452" s="12" t="s">
        <v>568</v>
      </c>
      <c r="E452" s="12" t="s">
        <v>1893</v>
      </c>
      <c r="F452" s="12" t="s">
        <v>1861</v>
      </c>
      <c r="G452" s="12" t="s">
        <v>1862</v>
      </c>
      <c r="H452" s="12">
        <v>20</v>
      </c>
      <c r="I452" s="13"/>
      <c r="J452" s="12"/>
    </row>
    <row r="453" spans="1:10">
      <c r="A453" s="12">
        <f>IF(B453="","",COUNTA($B$4:B453))</f>
        <v>450</v>
      </c>
      <c r="B453" s="12" t="s">
        <v>2120</v>
      </c>
      <c r="C453" s="12" t="s">
        <v>1893</v>
      </c>
      <c r="D453" s="12" t="s">
        <v>568</v>
      </c>
      <c r="E453" s="12" t="s">
        <v>1893</v>
      </c>
      <c r="F453" s="12" t="s">
        <v>1861</v>
      </c>
      <c r="G453" s="12" t="s">
        <v>1862</v>
      </c>
      <c r="H453" s="12">
        <v>20</v>
      </c>
      <c r="I453" s="13"/>
      <c r="J453" s="12"/>
    </row>
    <row r="454" spans="1:10">
      <c r="A454" s="12">
        <f>IF(B454="","",COUNTA($B$4:B454))</f>
        <v>451</v>
      </c>
      <c r="B454" s="12" t="s">
        <v>2124</v>
      </c>
      <c r="C454" s="12" t="s">
        <v>1893</v>
      </c>
      <c r="D454" s="12" t="s">
        <v>1894</v>
      </c>
      <c r="E454" s="12" t="s">
        <v>1893</v>
      </c>
      <c r="F454" s="12" t="s">
        <v>1861</v>
      </c>
      <c r="G454" s="12" t="s">
        <v>1862</v>
      </c>
      <c r="H454" s="12">
        <v>20</v>
      </c>
      <c r="I454" s="13"/>
      <c r="J454" s="12"/>
    </row>
    <row r="455" spans="1:10">
      <c r="A455" s="12">
        <f>IF(B455="","",COUNTA($B$4:B455))</f>
        <v>452</v>
      </c>
      <c r="B455" s="12" t="s">
        <v>2139</v>
      </c>
      <c r="C455" s="12" t="s">
        <v>1893</v>
      </c>
      <c r="D455" s="12" t="s">
        <v>1894</v>
      </c>
      <c r="E455" s="12" t="s">
        <v>1893</v>
      </c>
      <c r="F455" s="12" t="s">
        <v>1861</v>
      </c>
      <c r="G455" s="12" t="s">
        <v>1862</v>
      </c>
      <c r="H455" s="12">
        <v>20</v>
      </c>
      <c r="I455" s="13"/>
      <c r="J455" s="12"/>
    </row>
    <row r="456" spans="1:10">
      <c r="A456" s="12">
        <f>IF(B456="","",COUNTA($B$4:B456))</f>
        <v>453</v>
      </c>
      <c r="B456" s="12" t="s">
        <v>2153</v>
      </c>
      <c r="C456" s="12" t="s">
        <v>1893</v>
      </c>
      <c r="D456" s="12" t="s">
        <v>568</v>
      </c>
      <c r="E456" s="12" t="s">
        <v>1893</v>
      </c>
      <c r="F456" s="12" t="s">
        <v>1861</v>
      </c>
      <c r="G456" s="12" t="s">
        <v>1862</v>
      </c>
      <c r="H456" s="12">
        <v>20</v>
      </c>
      <c r="I456" s="13"/>
      <c r="J456" s="12"/>
    </row>
    <row r="457" spans="1:10">
      <c r="A457" s="12">
        <f>IF(B457="","",COUNTA($B$4:B457))</f>
        <v>454</v>
      </c>
      <c r="B457" s="12" t="s">
        <v>2190</v>
      </c>
      <c r="C457" s="12" t="s">
        <v>1893</v>
      </c>
      <c r="D457" s="12" t="s">
        <v>568</v>
      </c>
      <c r="E457" s="12" t="s">
        <v>1893</v>
      </c>
      <c r="F457" s="12" t="s">
        <v>1861</v>
      </c>
      <c r="G457" s="12" t="s">
        <v>1862</v>
      </c>
      <c r="H457" s="12">
        <v>20</v>
      </c>
      <c r="I457" s="13"/>
      <c r="J457" s="12"/>
    </row>
    <row r="458" spans="1:10">
      <c r="A458" s="12">
        <f>IF(B458="","",COUNTA($B$4:B458))</f>
        <v>455</v>
      </c>
      <c r="B458" s="12" t="s">
        <v>2193</v>
      </c>
      <c r="C458" s="12" t="s">
        <v>1893</v>
      </c>
      <c r="D458" s="12" t="s">
        <v>568</v>
      </c>
      <c r="E458" s="12" t="s">
        <v>1893</v>
      </c>
      <c r="F458" s="12" t="s">
        <v>1861</v>
      </c>
      <c r="G458" s="12" t="s">
        <v>1862</v>
      </c>
      <c r="H458" s="12">
        <v>20</v>
      </c>
      <c r="I458" s="13"/>
      <c r="J458" s="12"/>
    </row>
    <row r="459" spans="1:10">
      <c r="A459" s="12">
        <f>IF(B459="","",COUNTA($B$4:B459))</f>
        <v>456</v>
      </c>
      <c r="B459" s="12" t="s">
        <v>2196</v>
      </c>
      <c r="C459" s="12" t="s">
        <v>1893</v>
      </c>
      <c r="D459" s="12" t="s">
        <v>568</v>
      </c>
      <c r="E459" s="12" t="s">
        <v>1893</v>
      </c>
      <c r="F459" s="12" t="s">
        <v>1861</v>
      </c>
      <c r="G459" s="12" t="s">
        <v>1862</v>
      </c>
      <c r="H459" s="12">
        <v>20</v>
      </c>
      <c r="I459" s="13"/>
      <c r="J459" s="12"/>
    </row>
    <row r="460" spans="1:10">
      <c r="A460" s="12">
        <f>IF(B460="","",COUNTA($B$4:B460))</f>
        <v>457</v>
      </c>
      <c r="B460" s="12" t="s">
        <v>1932</v>
      </c>
      <c r="C460" s="12" t="s">
        <v>1935</v>
      </c>
      <c r="D460" s="12" t="s">
        <v>1936</v>
      </c>
      <c r="E460" s="12" t="s">
        <v>1935</v>
      </c>
      <c r="F460" s="12" t="s">
        <v>1861</v>
      </c>
      <c r="G460" s="12" t="s">
        <v>1862</v>
      </c>
      <c r="H460" s="12">
        <v>2</v>
      </c>
      <c r="I460" s="13"/>
      <c r="J460" s="12"/>
    </row>
    <row r="461" spans="1:10">
      <c r="A461" s="12">
        <f>IF(B461="","",COUNTA($B$4:B461))</f>
        <v>458</v>
      </c>
      <c r="B461" s="12" t="s">
        <v>2118</v>
      </c>
      <c r="C461" s="12" t="s">
        <v>1935</v>
      </c>
      <c r="D461" s="12" t="s">
        <v>570</v>
      </c>
      <c r="E461" s="12" t="s">
        <v>1935</v>
      </c>
      <c r="F461" s="12" t="s">
        <v>1861</v>
      </c>
      <c r="G461" s="12" t="s">
        <v>1862</v>
      </c>
      <c r="H461" s="12">
        <v>2</v>
      </c>
      <c r="I461" s="13"/>
      <c r="J461" s="12"/>
    </row>
    <row r="462" spans="1:10">
      <c r="A462" s="12">
        <f>IF(B462="","",COUNTA($B$4:B462))</f>
        <v>459</v>
      </c>
      <c r="B462" s="12" t="s">
        <v>2120</v>
      </c>
      <c r="C462" s="12" t="s">
        <v>1935</v>
      </c>
      <c r="D462" s="12" t="s">
        <v>570</v>
      </c>
      <c r="E462" s="12" t="s">
        <v>1935</v>
      </c>
      <c r="F462" s="12" t="s">
        <v>1861</v>
      </c>
      <c r="G462" s="12" t="s">
        <v>1862</v>
      </c>
      <c r="H462" s="12">
        <v>2</v>
      </c>
      <c r="I462" s="13"/>
      <c r="J462" s="12"/>
    </row>
    <row r="463" spans="1:10">
      <c r="A463" s="12">
        <f>IF(B463="","",COUNTA($B$4:B463))</f>
        <v>460</v>
      </c>
      <c r="B463" s="12" t="s">
        <v>2124</v>
      </c>
      <c r="C463" s="12" t="s">
        <v>1935</v>
      </c>
      <c r="D463" s="12" t="s">
        <v>1936</v>
      </c>
      <c r="E463" s="12" t="s">
        <v>1935</v>
      </c>
      <c r="F463" s="12" t="s">
        <v>1861</v>
      </c>
      <c r="G463" s="12" t="s">
        <v>1862</v>
      </c>
      <c r="H463" s="12">
        <v>2</v>
      </c>
      <c r="I463" s="13"/>
      <c r="J463" s="12"/>
    </row>
    <row r="464" spans="1:10">
      <c r="A464" s="12">
        <f>IF(B464="","",COUNTA($B$4:B464))</f>
        <v>461</v>
      </c>
      <c r="B464" s="12" t="s">
        <v>2139</v>
      </c>
      <c r="C464" s="12" t="s">
        <v>1935</v>
      </c>
      <c r="D464" s="12" t="s">
        <v>1936</v>
      </c>
      <c r="E464" s="12" t="s">
        <v>1935</v>
      </c>
      <c r="F464" s="12" t="s">
        <v>1861</v>
      </c>
      <c r="G464" s="12" t="s">
        <v>1862</v>
      </c>
      <c r="H464" s="12">
        <v>2</v>
      </c>
      <c r="I464" s="13"/>
      <c r="J464" s="12"/>
    </row>
    <row r="465" spans="1:10">
      <c r="A465" s="12">
        <f>IF(B465="","",COUNTA($B$4:B465))</f>
        <v>462</v>
      </c>
      <c r="B465" s="12" t="s">
        <v>2153</v>
      </c>
      <c r="C465" s="12" t="s">
        <v>1935</v>
      </c>
      <c r="D465" s="12" t="s">
        <v>570</v>
      </c>
      <c r="E465" s="12" t="s">
        <v>1935</v>
      </c>
      <c r="F465" s="12" t="s">
        <v>1861</v>
      </c>
      <c r="G465" s="12" t="s">
        <v>1862</v>
      </c>
      <c r="H465" s="12">
        <v>2</v>
      </c>
      <c r="I465" s="13"/>
      <c r="J465" s="12"/>
    </row>
    <row r="466" spans="1:10">
      <c r="A466" s="12">
        <f>IF(B466="","",COUNTA($B$4:B466))</f>
        <v>463</v>
      </c>
      <c r="B466" s="12" t="s">
        <v>2190</v>
      </c>
      <c r="C466" s="12" t="s">
        <v>1935</v>
      </c>
      <c r="D466" s="12" t="s">
        <v>570</v>
      </c>
      <c r="E466" s="12" t="s">
        <v>1935</v>
      </c>
      <c r="F466" s="12" t="s">
        <v>1861</v>
      </c>
      <c r="G466" s="12" t="s">
        <v>1862</v>
      </c>
      <c r="H466" s="12">
        <v>2</v>
      </c>
      <c r="I466" s="13"/>
      <c r="J466" s="12"/>
    </row>
    <row r="467" spans="1:10">
      <c r="A467" s="12">
        <f>IF(B467="","",COUNTA($B$4:B467))</f>
        <v>464</v>
      </c>
      <c r="B467" s="12" t="s">
        <v>2196</v>
      </c>
      <c r="C467" s="12" t="s">
        <v>1935</v>
      </c>
      <c r="D467" s="12" t="s">
        <v>570</v>
      </c>
      <c r="E467" s="12" t="s">
        <v>1935</v>
      </c>
      <c r="F467" s="12" t="s">
        <v>1861</v>
      </c>
      <c r="G467" s="12" t="s">
        <v>1862</v>
      </c>
      <c r="H467" s="12">
        <v>2</v>
      </c>
      <c r="I467" s="13"/>
      <c r="J467" s="12"/>
    </row>
    <row r="468" spans="1:10">
      <c r="A468" s="12">
        <f>IF(B468="","",COUNTA($B$4:B468))</f>
        <v>465</v>
      </c>
      <c r="B468" s="12" t="s">
        <v>2124</v>
      </c>
      <c r="C468" s="12" t="s">
        <v>2126</v>
      </c>
      <c r="D468" s="61"/>
      <c r="E468" s="12" t="s">
        <v>2126</v>
      </c>
      <c r="F468" s="12" t="s">
        <v>1861</v>
      </c>
      <c r="G468" s="12" t="s">
        <v>1862</v>
      </c>
      <c r="H468" s="12">
        <v>30</v>
      </c>
      <c r="I468" s="13"/>
      <c r="J468" s="12"/>
    </row>
    <row r="469" spans="1:10">
      <c r="A469" s="12">
        <f>IF(B469="","",COUNTA($B$4:B469))</f>
        <v>466</v>
      </c>
      <c r="B469" s="12" t="s">
        <v>2153</v>
      </c>
      <c r="C469" s="12" t="s">
        <v>2126</v>
      </c>
      <c r="D469" s="61"/>
      <c r="E469" s="12" t="s">
        <v>2126</v>
      </c>
      <c r="F469" s="12" t="s">
        <v>1861</v>
      </c>
      <c r="G469" s="12" t="s">
        <v>1862</v>
      </c>
      <c r="H469" s="12">
        <v>30</v>
      </c>
      <c r="I469" s="13"/>
      <c r="J469" s="12"/>
    </row>
    <row r="470" spans="1:10">
      <c r="A470" s="12">
        <f>IF(B470="","",COUNTA($B$4:B470))</f>
        <v>467</v>
      </c>
      <c r="B470" s="12" t="s">
        <v>2190</v>
      </c>
      <c r="C470" s="12" t="s">
        <v>2126</v>
      </c>
      <c r="D470" s="61"/>
      <c r="E470" s="12" t="s">
        <v>2126</v>
      </c>
      <c r="F470" s="12" t="s">
        <v>1861</v>
      </c>
      <c r="G470" s="12" t="s">
        <v>1862</v>
      </c>
      <c r="H470" s="12">
        <v>30</v>
      </c>
      <c r="I470" s="13"/>
      <c r="J470" s="12"/>
    </row>
    <row r="471" spans="1:10">
      <c r="A471" s="12">
        <f>IF(B471="","",COUNTA($B$4:B471))</f>
        <v>468</v>
      </c>
      <c r="B471" s="12" t="s">
        <v>2196</v>
      </c>
      <c r="C471" s="12" t="s">
        <v>2126</v>
      </c>
      <c r="D471" s="61"/>
      <c r="E471" s="12" t="s">
        <v>2126</v>
      </c>
      <c r="F471" s="12" t="s">
        <v>1861</v>
      </c>
      <c r="G471" s="12" t="s">
        <v>1862</v>
      </c>
      <c r="H471" s="12">
        <v>30</v>
      </c>
      <c r="I471" s="13"/>
      <c r="J471" s="12"/>
    </row>
    <row r="472" spans="1:10">
      <c r="A472" s="12">
        <f>IF(B472="","",COUNTA($B$4:B472))</f>
        <v>469</v>
      </c>
      <c r="B472" s="12" t="s">
        <v>1932</v>
      </c>
      <c r="C472" s="12" t="s">
        <v>1937</v>
      </c>
      <c r="D472" s="12" t="s">
        <v>1938</v>
      </c>
      <c r="E472" s="12" t="s">
        <v>1937</v>
      </c>
      <c r="F472" s="12" t="s">
        <v>1861</v>
      </c>
      <c r="G472" s="12" t="s">
        <v>1862</v>
      </c>
      <c r="H472" s="12">
        <v>2</v>
      </c>
      <c r="I472" s="13"/>
      <c r="J472" s="12"/>
    </row>
    <row r="473" spans="1:10">
      <c r="A473" s="12">
        <f>IF(B473="","",COUNTA($B$4:B473))</f>
        <v>470</v>
      </c>
      <c r="B473" s="12" t="s">
        <v>2118</v>
      </c>
      <c r="C473" s="12" t="s">
        <v>1937</v>
      </c>
      <c r="D473" s="12" t="s">
        <v>572</v>
      </c>
      <c r="E473" s="12" t="s">
        <v>1937</v>
      </c>
      <c r="F473" s="12" t="s">
        <v>1861</v>
      </c>
      <c r="G473" s="12" t="s">
        <v>1862</v>
      </c>
      <c r="H473" s="12">
        <v>2</v>
      </c>
      <c r="I473" s="13"/>
      <c r="J473" s="12"/>
    </row>
    <row r="474" spans="1:10">
      <c r="A474" s="12">
        <f>IF(B474="","",COUNTA($B$4:B474))</f>
        <v>471</v>
      </c>
      <c r="B474" s="12" t="s">
        <v>2120</v>
      </c>
      <c r="C474" s="12" t="s">
        <v>1937</v>
      </c>
      <c r="D474" s="12" t="s">
        <v>572</v>
      </c>
      <c r="E474" s="12" t="s">
        <v>1937</v>
      </c>
      <c r="F474" s="12" t="s">
        <v>1861</v>
      </c>
      <c r="G474" s="12" t="s">
        <v>1862</v>
      </c>
      <c r="H474" s="12">
        <v>2</v>
      </c>
      <c r="I474" s="13"/>
      <c r="J474" s="12"/>
    </row>
    <row r="475" spans="1:10">
      <c r="A475" s="12">
        <f>IF(B475="","",COUNTA($B$4:B475))</f>
        <v>472</v>
      </c>
      <c r="B475" s="12" t="s">
        <v>2124</v>
      </c>
      <c r="C475" s="12" t="s">
        <v>1937</v>
      </c>
      <c r="D475" s="12" t="s">
        <v>1938</v>
      </c>
      <c r="E475" s="12" t="s">
        <v>1937</v>
      </c>
      <c r="F475" s="12" t="s">
        <v>1861</v>
      </c>
      <c r="G475" s="12" t="s">
        <v>1862</v>
      </c>
      <c r="H475" s="12">
        <v>2</v>
      </c>
      <c r="I475" s="13"/>
      <c r="J475" s="12"/>
    </row>
    <row r="476" spans="1:10">
      <c r="A476" s="12">
        <f>IF(B476="","",COUNTA($B$4:B476))</f>
        <v>473</v>
      </c>
      <c r="B476" s="12" t="s">
        <v>2139</v>
      </c>
      <c r="C476" s="12" t="s">
        <v>1937</v>
      </c>
      <c r="D476" s="12" t="s">
        <v>1938</v>
      </c>
      <c r="E476" s="12" t="s">
        <v>1937</v>
      </c>
      <c r="F476" s="12" t="s">
        <v>1861</v>
      </c>
      <c r="G476" s="12" t="s">
        <v>1862</v>
      </c>
      <c r="H476" s="12">
        <v>2</v>
      </c>
      <c r="I476" s="13"/>
      <c r="J476" s="12"/>
    </row>
    <row r="477" spans="1:10">
      <c r="A477" s="12">
        <f>IF(B477="","",COUNTA($B$4:B477))</f>
        <v>474</v>
      </c>
      <c r="B477" s="12" t="s">
        <v>2153</v>
      </c>
      <c r="C477" s="12" t="s">
        <v>1937</v>
      </c>
      <c r="D477" s="12" t="s">
        <v>572</v>
      </c>
      <c r="E477" s="12" t="s">
        <v>1937</v>
      </c>
      <c r="F477" s="12" t="s">
        <v>1861</v>
      </c>
      <c r="G477" s="12" t="s">
        <v>1862</v>
      </c>
      <c r="H477" s="12">
        <v>2</v>
      </c>
      <c r="I477" s="13"/>
      <c r="J477" s="12"/>
    </row>
    <row r="478" spans="1:10">
      <c r="A478" s="12">
        <f>IF(B478="","",COUNTA($B$4:B478))</f>
        <v>475</v>
      </c>
      <c r="B478" s="12" t="s">
        <v>2190</v>
      </c>
      <c r="C478" s="12" t="s">
        <v>1937</v>
      </c>
      <c r="D478" s="12" t="s">
        <v>572</v>
      </c>
      <c r="E478" s="12" t="s">
        <v>1937</v>
      </c>
      <c r="F478" s="12" t="s">
        <v>1861</v>
      </c>
      <c r="G478" s="12" t="s">
        <v>1862</v>
      </c>
      <c r="H478" s="12">
        <v>2</v>
      </c>
      <c r="I478" s="13"/>
      <c r="J478" s="12"/>
    </row>
    <row r="479" spans="1:10">
      <c r="A479" s="12">
        <f>IF(B479="","",COUNTA($B$4:B479))</f>
        <v>476</v>
      </c>
      <c r="B479" s="12" t="s">
        <v>1494</v>
      </c>
      <c r="C479" s="12" t="s">
        <v>1454</v>
      </c>
      <c r="D479" s="12" t="s">
        <v>572</v>
      </c>
      <c r="E479" s="12" t="s">
        <v>1454</v>
      </c>
      <c r="F479" s="12" t="s">
        <v>111</v>
      </c>
      <c r="G479" s="12" t="s">
        <v>106</v>
      </c>
      <c r="H479" s="12">
        <v>2</v>
      </c>
      <c r="I479" s="13"/>
      <c r="J479" s="12"/>
    </row>
    <row r="480" spans="1:10">
      <c r="A480" s="12">
        <f>IF(B480="","",COUNTA($B$4:B480))</f>
        <v>477</v>
      </c>
      <c r="B480" s="12" t="s">
        <v>2124</v>
      </c>
      <c r="C480" s="12" t="s">
        <v>2127</v>
      </c>
      <c r="D480" s="61"/>
      <c r="E480" s="12" t="s">
        <v>2127</v>
      </c>
      <c r="F480" s="12" t="s">
        <v>1861</v>
      </c>
      <c r="G480" s="12" t="s">
        <v>1862</v>
      </c>
      <c r="H480" s="12">
        <v>30</v>
      </c>
      <c r="I480" s="13"/>
      <c r="J480" s="12"/>
    </row>
    <row r="481" spans="1:10">
      <c r="A481" s="12">
        <f>IF(B481="","",COUNTA($B$4:B481))</f>
        <v>478</v>
      </c>
      <c r="B481" s="12" t="s">
        <v>2153</v>
      </c>
      <c r="C481" s="12" t="s">
        <v>2127</v>
      </c>
      <c r="D481" s="61"/>
      <c r="E481" s="12" t="s">
        <v>2127</v>
      </c>
      <c r="F481" s="12" t="s">
        <v>1861</v>
      </c>
      <c r="G481" s="12" t="s">
        <v>1862</v>
      </c>
      <c r="H481" s="12">
        <v>30</v>
      </c>
      <c r="I481" s="13"/>
      <c r="J481" s="12"/>
    </row>
    <row r="482" spans="1:10">
      <c r="A482" s="12">
        <f>IF(B482="","",COUNTA($B$4:B482))</f>
        <v>479</v>
      </c>
      <c r="B482" s="12" t="s">
        <v>2190</v>
      </c>
      <c r="C482" s="12" t="s">
        <v>2127</v>
      </c>
      <c r="D482" s="61"/>
      <c r="E482" s="12" t="s">
        <v>2127</v>
      </c>
      <c r="F482" s="12" t="s">
        <v>1861</v>
      </c>
      <c r="G482" s="12" t="s">
        <v>1862</v>
      </c>
      <c r="H482" s="12">
        <v>30</v>
      </c>
      <c r="I482" s="13"/>
      <c r="J482" s="12"/>
    </row>
    <row r="483" spans="1:10">
      <c r="A483" s="12">
        <f>IF(B483="","",COUNTA($B$4:B483))</f>
        <v>480</v>
      </c>
      <c r="B483" s="12" t="s">
        <v>1494</v>
      </c>
      <c r="C483" s="12" t="s">
        <v>1479</v>
      </c>
      <c r="D483" s="61"/>
      <c r="E483" s="12" t="s">
        <v>1479</v>
      </c>
      <c r="F483" s="12" t="s">
        <v>111</v>
      </c>
      <c r="G483" s="12" t="s">
        <v>106</v>
      </c>
      <c r="H483" s="12">
        <v>30</v>
      </c>
      <c r="I483" s="13"/>
      <c r="J483" s="12"/>
    </row>
    <row r="484" spans="1:10">
      <c r="A484" s="12">
        <f>IF(B484="","",COUNTA($B$4:B484))</f>
        <v>481</v>
      </c>
      <c r="B484" s="12" t="s">
        <v>1888</v>
      </c>
      <c r="C484" s="12" t="s">
        <v>1895</v>
      </c>
      <c r="D484" s="12" t="s">
        <v>1896</v>
      </c>
      <c r="E484" s="12" t="s">
        <v>1895</v>
      </c>
      <c r="F484" s="12" t="s">
        <v>1861</v>
      </c>
      <c r="G484" s="12" t="s">
        <v>1862</v>
      </c>
      <c r="H484" s="12">
        <v>30</v>
      </c>
      <c r="I484" s="13"/>
      <c r="J484" s="12"/>
    </row>
    <row r="485" spans="1:10">
      <c r="A485" s="12">
        <f>IF(B485="","",COUNTA($B$4:B485))</f>
        <v>482</v>
      </c>
      <c r="B485" s="12" t="s">
        <v>1932</v>
      </c>
      <c r="C485" s="12" t="s">
        <v>1895</v>
      </c>
      <c r="D485" s="12" t="s">
        <v>1896</v>
      </c>
      <c r="E485" s="12" t="s">
        <v>1895</v>
      </c>
      <c r="F485" s="12" t="s">
        <v>1861</v>
      </c>
      <c r="G485" s="12" t="s">
        <v>1862</v>
      </c>
      <c r="H485" s="12">
        <v>30</v>
      </c>
      <c r="I485" s="13"/>
      <c r="J485" s="12"/>
    </row>
    <row r="486" spans="1:10">
      <c r="A486" s="12">
        <f>IF(B486="","",COUNTA($B$4:B486))</f>
        <v>483</v>
      </c>
      <c r="B486" s="12" t="s">
        <v>1957</v>
      </c>
      <c r="C486" s="12" t="s">
        <v>1895</v>
      </c>
      <c r="D486" s="12" t="s">
        <v>1896</v>
      </c>
      <c r="E486" s="12" t="s">
        <v>1895</v>
      </c>
      <c r="F486" s="12" t="s">
        <v>1861</v>
      </c>
      <c r="G486" s="12" t="s">
        <v>1862</v>
      </c>
      <c r="H486" s="12">
        <v>30</v>
      </c>
      <c r="I486" s="13"/>
      <c r="J486" s="12"/>
    </row>
    <row r="487" spans="1:10">
      <c r="A487" s="12">
        <f>IF(B487="","",COUNTA($B$4:B487))</f>
        <v>484</v>
      </c>
      <c r="B487" s="12" t="s">
        <v>2054</v>
      </c>
      <c r="C487" s="12" t="s">
        <v>1895</v>
      </c>
      <c r="D487" s="12" t="s">
        <v>1896</v>
      </c>
      <c r="E487" s="12" t="s">
        <v>1895</v>
      </c>
      <c r="F487" s="12" t="s">
        <v>1861</v>
      </c>
      <c r="G487" s="12" t="s">
        <v>1862</v>
      </c>
      <c r="H487" s="12">
        <v>30</v>
      </c>
      <c r="I487" s="13"/>
      <c r="J487" s="12"/>
    </row>
    <row r="488" spans="1:10">
      <c r="A488" s="12">
        <f>IF(B488="","",COUNTA($B$4:B488))</f>
        <v>485</v>
      </c>
      <c r="B488" s="12" t="s">
        <v>2066</v>
      </c>
      <c r="C488" s="12" t="s">
        <v>1895</v>
      </c>
      <c r="D488" s="12" t="s">
        <v>1896</v>
      </c>
      <c r="E488" s="12" t="s">
        <v>1895</v>
      </c>
      <c r="F488" s="12" t="s">
        <v>1861</v>
      </c>
      <c r="G488" s="12" t="s">
        <v>1862</v>
      </c>
      <c r="H488" s="12">
        <v>30</v>
      </c>
      <c r="I488" s="13"/>
      <c r="J488" s="12"/>
    </row>
    <row r="489" spans="1:10">
      <c r="A489" s="12">
        <f>IF(B489="","",COUNTA($B$4:B489))</f>
        <v>486</v>
      </c>
      <c r="B489" s="12" t="s">
        <v>2069</v>
      </c>
      <c r="C489" s="12" t="s">
        <v>1895</v>
      </c>
      <c r="D489" s="12" t="s">
        <v>657</v>
      </c>
      <c r="E489" s="12" t="s">
        <v>123</v>
      </c>
      <c r="F489" s="12" t="s">
        <v>111</v>
      </c>
      <c r="G489" s="12" t="s">
        <v>106</v>
      </c>
      <c r="H489" s="12">
        <v>30</v>
      </c>
      <c r="I489" s="13"/>
      <c r="J489" s="12"/>
    </row>
    <row r="490" spans="1:10">
      <c r="A490" s="12">
        <f>IF(B490="","",COUNTA($B$4:B490))</f>
        <v>487</v>
      </c>
      <c r="B490" s="12" t="s">
        <v>2120</v>
      </c>
      <c r="C490" s="12" t="s">
        <v>1895</v>
      </c>
      <c r="D490" s="12" t="s">
        <v>657</v>
      </c>
      <c r="E490" s="12" t="s">
        <v>1895</v>
      </c>
      <c r="F490" s="12" t="s">
        <v>1861</v>
      </c>
      <c r="G490" s="12" t="s">
        <v>1862</v>
      </c>
      <c r="H490" s="12">
        <v>30</v>
      </c>
      <c r="I490" s="13"/>
      <c r="J490" s="12"/>
    </row>
    <row r="491" spans="1:10">
      <c r="A491" s="12">
        <f>IF(B491="","",COUNTA($B$4:B491))</f>
        <v>488</v>
      </c>
      <c r="B491" s="12" t="s">
        <v>2124</v>
      </c>
      <c r="C491" s="12" t="s">
        <v>1895</v>
      </c>
      <c r="D491" s="12" t="s">
        <v>1896</v>
      </c>
      <c r="E491" s="12" t="s">
        <v>1895</v>
      </c>
      <c r="F491" s="12" t="s">
        <v>1861</v>
      </c>
      <c r="G491" s="12" t="s">
        <v>1862</v>
      </c>
      <c r="H491" s="12">
        <v>30</v>
      </c>
      <c r="I491" s="13"/>
      <c r="J491" s="12"/>
    </row>
    <row r="492" spans="1:10">
      <c r="A492" s="12">
        <f>IF(B492="","",COUNTA($B$4:B492))</f>
        <v>489</v>
      </c>
      <c r="B492" s="12" t="s">
        <v>2153</v>
      </c>
      <c r="C492" s="12" t="s">
        <v>1895</v>
      </c>
      <c r="D492" s="12" t="s">
        <v>657</v>
      </c>
      <c r="E492" s="12" t="s">
        <v>1895</v>
      </c>
      <c r="F492" s="12" t="s">
        <v>1861</v>
      </c>
      <c r="G492" s="12" t="s">
        <v>1862</v>
      </c>
      <c r="H492" s="12">
        <v>30</v>
      </c>
      <c r="I492" s="13"/>
      <c r="J492" s="12"/>
    </row>
    <row r="493" spans="1:10">
      <c r="A493" s="12">
        <f>IF(B493="","",COUNTA($B$4:B493))</f>
        <v>490</v>
      </c>
      <c r="B493" s="12" t="s">
        <v>2190</v>
      </c>
      <c r="C493" s="12" t="s">
        <v>1895</v>
      </c>
      <c r="D493" s="12" t="s">
        <v>657</v>
      </c>
      <c r="E493" s="12" t="s">
        <v>1895</v>
      </c>
      <c r="F493" s="12" t="s">
        <v>1861</v>
      </c>
      <c r="G493" s="12" t="s">
        <v>1862</v>
      </c>
      <c r="H493" s="12">
        <v>30</v>
      </c>
      <c r="I493" s="13"/>
      <c r="J493" s="12"/>
    </row>
    <row r="494" spans="1:10">
      <c r="A494" s="12">
        <f>IF(B494="","",COUNTA($B$4:B494))</f>
        <v>491</v>
      </c>
      <c r="B494" s="12" t="s">
        <v>2193</v>
      </c>
      <c r="C494" s="12" t="s">
        <v>1895</v>
      </c>
      <c r="D494" s="12" t="s">
        <v>657</v>
      </c>
      <c r="E494" s="12" t="s">
        <v>1895</v>
      </c>
      <c r="F494" s="12" t="s">
        <v>1861</v>
      </c>
      <c r="G494" s="12" t="s">
        <v>1862</v>
      </c>
      <c r="H494" s="12">
        <v>30</v>
      </c>
      <c r="I494" s="13"/>
      <c r="J494" s="12"/>
    </row>
    <row r="495" spans="1:10">
      <c r="A495" s="12">
        <f>IF(B495="","",COUNTA($B$4:B495))</f>
        <v>492</v>
      </c>
      <c r="B495" s="12" t="s">
        <v>2196</v>
      </c>
      <c r="C495" s="12" t="s">
        <v>1895</v>
      </c>
      <c r="D495" s="12" t="s">
        <v>657</v>
      </c>
      <c r="E495" s="12" t="s">
        <v>1895</v>
      </c>
      <c r="F495" s="12" t="s">
        <v>1861</v>
      </c>
      <c r="G495" s="12" t="s">
        <v>1862</v>
      </c>
      <c r="H495" s="12">
        <v>30</v>
      </c>
      <c r="I495" s="13"/>
      <c r="J495" s="12"/>
    </row>
    <row r="496" spans="1:10">
      <c r="A496" s="12">
        <f>IF(B496="","",COUNTA($B$4:B496))</f>
        <v>493</v>
      </c>
      <c r="B496" s="12" t="s">
        <v>1888</v>
      </c>
      <c r="C496" s="12" t="s">
        <v>1903</v>
      </c>
      <c r="D496" s="12" t="s">
        <v>1904</v>
      </c>
      <c r="E496" s="12" t="s">
        <v>1903</v>
      </c>
      <c r="F496" s="12" t="s">
        <v>1899</v>
      </c>
      <c r="G496" s="12" t="s">
        <v>1900</v>
      </c>
      <c r="H496" s="12">
        <v>5</v>
      </c>
      <c r="I496" s="13"/>
      <c r="J496" s="12"/>
    </row>
    <row r="497" spans="1:10">
      <c r="A497" s="12">
        <f>IF(B497="","",COUNTA($B$4:B497))</f>
        <v>494</v>
      </c>
      <c r="B497" s="12" t="s">
        <v>1932</v>
      </c>
      <c r="C497" s="12" t="s">
        <v>1903</v>
      </c>
      <c r="D497" s="12" t="s">
        <v>1904</v>
      </c>
      <c r="E497" s="12" t="s">
        <v>1903</v>
      </c>
      <c r="F497" s="12" t="s">
        <v>1899</v>
      </c>
      <c r="G497" s="12" t="s">
        <v>1900</v>
      </c>
      <c r="H497" s="12">
        <v>5</v>
      </c>
      <c r="I497" s="13"/>
      <c r="J497" s="12"/>
    </row>
    <row r="498" spans="1:10">
      <c r="A498" s="12">
        <f>IF(B498="","",COUNTA($B$4:B498))</f>
        <v>495</v>
      </c>
      <c r="B498" s="12" t="s">
        <v>1957</v>
      </c>
      <c r="C498" s="12" t="s">
        <v>1903</v>
      </c>
      <c r="D498" s="12" t="s">
        <v>1904</v>
      </c>
      <c r="E498" s="12" t="s">
        <v>1903</v>
      </c>
      <c r="F498" s="12" t="s">
        <v>1899</v>
      </c>
      <c r="G498" s="12" t="s">
        <v>1900</v>
      </c>
      <c r="H498" s="12">
        <v>4</v>
      </c>
      <c r="I498" s="13"/>
      <c r="J498" s="12"/>
    </row>
    <row r="499" spans="1:10">
      <c r="A499" s="12">
        <f>IF(B499="","",COUNTA($B$4:B499))</f>
        <v>496</v>
      </c>
      <c r="B499" s="12" t="s">
        <v>2012</v>
      </c>
      <c r="C499" s="12" t="s">
        <v>1903</v>
      </c>
      <c r="D499" s="12" t="s">
        <v>1904</v>
      </c>
      <c r="E499" s="12" t="s">
        <v>1903</v>
      </c>
      <c r="F499" s="12" t="s">
        <v>107</v>
      </c>
      <c r="G499" s="12" t="s">
        <v>109</v>
      </c>
      <c r="H499" s="12">
        <v>5</v>
      </c>
      <c r="I499" s="13"/>
      <c r="J499" s="12"/>
    </row>
    <row r="500" spans="1:10">
      <c r="A500" s="12">
        <f>IF(B500="","",COUNTA($B$4:B500))</f>
        <v>497</v>
      </c>
      <c r="B500" s="12" t="s">
        <v>2054</v>
      </c>
      <c r="C500" s="12" t="s">
        <v>1903</v>
      </c>
      <c r="D500" s="12" t="s">
        <v>1904</v>
      </c>
      <c r="E500" s="12" t="s">
        <v>1903</v>
      </c>
      <c r="F500" s="12" t="s">
        <v>1899</v>
      </c>
      <c r="G500" s="12" t="s">
        <v>1900</v>
      </c>
      <c r="H500" s="12">
        <v>5</v>
      </c>
      <c r="I500" s="13"/>
      <c r="J500" s="12"/>
    </row>
    <row r="501" spans="1:10">
      <c r="A501" s="12">
        <f>IF(B501="","",COUNTA($B$4:B501))</f>
        <v>498</v>
      </c>
      <c r="B501" s="12" t="s">
        <v>2066</v>
      </c>
      <c r="C501" s="12" t="s">
        <v>1903</v>
      </c>
      <c r="D501" s="12" t="s">
        <v>1904</v>
      </c>
      <c r="E501" s="12" t="s">
        <v>1903</v>
      </c>
      <c r="F501" s="12" t="s">
        <v>1899</v>
      </c>
      <c r="G501" s="12" t="s">
        <v>1900</v>
      </c>
      <c r="H501" s="12">
        <v>5</v>
      </c>
      <c r="I501" s="13"/>
      <c r="J501" s="12"/>
    </row>
    <row r="502" spans="1:10">
      <c r="A502" s="12">
        <f>IF(B502="","",COUNTA($B$4:B502))</f>
        <v>499</v>
      </c>
      <c r="B502" s="12" t="s">
        <v>2153</v>
      </c>
      <c r="C502" s="12" t="s">
        <v>2181</v>
      </c>
      <c r="D502" s="61"/>
      <c r="E502" s="12" t="s">
        <v>2181</v>
      </c>
      <c r="F502" s="12" t="s">
        <v>1861</v>
      </c>
      <c r="G502" s="12" t="s">
        <v>1862</v>
      </c>
      <c r="H502" s="12">
        <v>30</v>
      </c>
      <c r="I502" s="13"/>
      <c r="J502" s="12"/>
    </row>
    <row r="503" spans="1:10">
      <c r="A503" s="12">
        <f>IF(B503="","",COUNTA($B$4:B503))</f>
        <v>500</v>
      </c>
      <c r="B503" s="12" t="s">
        <v>2190</v>
      </c>
      <c r="C503" s="12" t="s">
        <v>2181</v>
      </c>
      <c r="D503" s="61"/>
      <c r="E503" s="12" t="s">
        <v>2181</v>
      </c>
      <c r="F503" s="12" t="s">
        <v>1861</v>
      </c>
      <c r="G503" s="12" t="s">
        <v>1862</v>
      </c>
      <c r="H503" s="12">
        <v>30</v>
      </c>
      <c r="I503" s="13"/>
      <c r="J503" s="12"/>
    </row>
    <row r="504" spans="1:10">
      <c r="A504" s="12">
        <f>IF(B504="","",COUNTA($B$4:B504))</f>
        <v>501</v>
      </c>
      <c r="B504" s="12" t="s">
        <v>1494</v>
      </c>
      <c r="C504" s="12" t="s">
        <v>126</v>
      </c>
      <c r="D504" s="61"/>
      <c r="E504" s="12" t="s">
        <v>126</v>
      </c>
      <c r="F504" s="12" t="s">
        <v>111</v>
      </c>
      <c r="G504" s="12" t="s">
        <v>106</v>
      </c>
      <c r="H504" s="12">
        <v>30</v>
      </c>
      <c r="I504" s="13"/>
      <c r="J504" s="12"/>
    </row>
    <row r="505" spans="1:10">
      <c r="A505" s="12">
        <f>IF(B505="","",COUNTA($B$4:B505))</f>
        <v>502</v>
      </c>
      <c r="B505" s="12" t="s">
        <v>1858</v>
      </c>
      <c r="C505" s="12" t="s">
        <v>1863</v>
      </c>
      <c r="D505" s="12" t="s">
        <v>1864</v>
      </c>
      <c r="E505" s="12" t="s">
        <v>1863</v>
      </c>
      <c r="F505" s="12" t="s">
        <v>1861</v>
      </c>
      <c r="G505" s="12" t="s">
        <v>1862</v>
      </c>
      <c r="H505" s="12">
        <v>3</v>
      </c>
      <c r="I505" s="13"/>
      <c r="J505" s="12"/>
    </row>
    <row r="506" spans="1:10">
      <c r="A506" s="12">
        <f>IF(B506="","",COUNTA($B$4:B506))</f>
        <v>503</v>
      </c>
      <c r="B506" s="12" t="s">
        <v>1888</v>
      </c>
      <c r="C506" s="12" t="s">
        <v>1863</v>
      </c>
      <c r="D506" s="12" t="s">
        <v>1864</v>
      </c>
      <c r="E506" s="12" t="s">
        <v>1863</v>
      </c>
      <c r="F506" s="12" t="s">
        <v>1861</v>
      </c>
      <c r="G506" s="12" t="s">
        <v>1862</v>
      </c>
      <c r="H506" s="12">
        <v>3</v>
      </c>
      <c r="I506" s="13"/>
      <c r="J506" s="12"/>
    </row>
    <row r="507" spans="1:10">
      <c r="A507" s="12">
        <f>IF(B507="","",COUNTA($B$4:B507))</f>
        <v>504</v>
      </c>
      <c r="B507" s="12" t="s">
        <v>1932</v>
      </c>
      <c r="C507" s="12" t="s">
        <v>1863</v>
      </c>
      <c r="D507" s="12" t="s">
        <v>1864</v>
      </c>
      <c r="E507" s="12" t="s">
        <v>1863</v>
      </c>
      <c r="F507" s="12" t="s">
        <v>1861</v>
      </c>
      <c r="G507" s="12" t="s">
        <v>1862</v>
      </c>
      <c r="H507" s="12">
        <v>3</v>
      </c>
      <c r="I507" s="13"/>
      <c r="J507" s="12"/>
    </row>
    <row r="508" spans="1:10">
      <c r="A508" s="12">
        <f>IF(B508="","",COUNTA($B$4:B508))</f>
        <v>505</v>
      </c>
      <c r="B508" s="12" t="s">
        <v>1957</v>
      </c>
      <c r="C508" s="12" t="s">
        <v>1863</v>
      </c>
      <c r="D508" s="12" t="s">
        <v>1864</v>
      </c>
      <c r="E508" s="12" t="s">
        <v>1863</v>
      </c>
      <c r="F508" s="12" t="s">
        <v>111</v>
      </c>
      <c r="G508" s="12" t="s">
        <v>106</v>
      </c>
      <c r="H508" s="12">
        <v>3</v>
      </c>
      <c r="I508" s="13"/>
      <c r="J508" s="12"/>
    </row>
    <row r="509" spans="1:10">
      <c r="A509" s="12">
        <f>IF(B509="","",COUNTA($B$4:B509))</f>
        <v>506</v>
      </c>
      <c r="B509" s="12" t="s">
        <v>2012</v>
      </c>
      <c r="C509" s="12" t="s">
        <v>1863</v>
      </c>
      <c r="D509" s="12" t="s">
        <v>1395</v>
      </c>
      <c r="E509" s="12" t="s">
        <v>1863</v>
      </c>
      <c r="F509" s="12" t="s">
        <v>111</v>
      </c>
      <c r="G509" s="12" t="s">
        <v>106</v>
      </c>
      <c r="H509" s="12">
        <v>3</v>
      </c>
      <c r="I509" s="13"/>
      <c r="J509" s="12"/>
    </row>
    <row r="510" spans="1:10">
      <c r="A510" s="12">
        <f>IF(B510="","",COUNTA($B$4:B510))</f>
        <v>507</v>
      </c>
      <c r="B510" s="12" t="s">
        <v>2054</v>
      </c>
      <c r="C510" s="12" t="s">
        <v>1863</v>
      </c>
      <c r="D510" s="12" t="s">
        <v>1864</v>
      </c>
      <c r="E510" s="12" t="s">
        <v>1863</v>
      </c>
      <c r="F510" s="12" t="s">
        <v>1861</v>
      </c>
      <c r="G510" s="12" t="s">
        <v>1862</v>
      </c>
      <c r="H510" s="12">
        <v>3</v>
      </c>
      <c r="I510" s="13"/>
      <c r="J510" s="12"/>
    </row>
    <row r="511" spans="1:10">
      <c r="A511" s="12">
        <f>IF(B511="","",COUNTA($B$4:B511))</f>
        <v>508</v>
      </c>
      <c r="B511" s="12" t="s">
        <v>2066</v>
      </c>
      <c r="C511" s="12" t="s">
        <v>1863</v>
      </c>
      <c r="D511" s="12" t="s">
        <v>1864</v>
      </c>
      <c r="E511" s="12" t="s">
        <v>1863</v>
      </c>
      <c r="F511" s="12" t="s">
        <v>1861</v>
      </c>
      <c r="G511" s="12" t="s">
        <v>1862</v>
      </c>
      <c r="H511" s="12">
        <v>3</v>
      </c>
      <c r="I511" s="13"/>
      <c r="J511" s="12"/>
    </row>
    <row r="512" spans="1:10">
      <c r="A512" s="12">
        <f>IF(B512="","",COUNTA($B$4:B512))</f>
        <v>509</v>
      </c>
      <c r="B512" s="12" t="s">
        <v>2069</v>
      </c>
      <c r="C512" s="12" t="s">
        <v>1863</v>
      </c>
      <c r="D512" s="12" t="s">
        <v>1395</v>
      </c>
      <c r="E512" s="12" t="s">
        <v>125</v>
      </c>
      <c r="F512" s="12" t="s">
        <v>111</v>
      </c>
      <c r="G512" s="12" t="s">
        <v>106</v>
      </c>
      <c r="H512" s="12">
        <v>3</v>
      </c>
      <c r="I512" s="13"/>
      <c r="J512" s="12"/>
    </row>
    <row r="513" spans="1:10">
      <c r="A513" s="12">
        <f>IF(B513="","",COUNTA($B$4:B513))</f>
        <v>510</v>
      </c>
      <c r="B513" s="12" t="s">
        <v>2118</v>
      </c>
      <c r="C513" s="12" t="s">
        <v>1863</v>
      </c>
      <c r="D513" s="12" t="s">
        <v>1395</v>
      </c>
      <c r="E513" s="12" t="s">
        <v>1863</v>
      </c>
      <c r="F513" s="12" t="s">
        <v>1861</v>
      </c>
      <c r="G513" s="12" t="s">
        <v>1862</v>
      </c>
      <c r="H513" s="12">
        <v>3</v>
      </c>
      <c r="I513" s="13"/>
      <c r="J513" s="12"/>
    </row>
    <row r="514" spans="1:10">
      <c r="A514" s="12">
        <f>IF(B514="","",COUNTA($B$4:B514))</f>
        <v>511</v>
      </c>
      <c r="B514" s="12" t="s">
        <v>2120</v>
      </c>
      <c r="C514" s="12" t="s">
        <v>1863</v>
      </c>
      <c r="D514" s="12" t="s">
        <v>1395</v>
      </c>
      <c r="E514" s="12" t="s">
        <v>1863</v>
      </c>
      <c r="F514" s="12" t="s">
        <v>1861</v>
      </c>
      <c r="G514" s="12" t="s">
        <v>1862</v>
      </c>
      <c r="H514" s="12">
        <v>3</v>
      </c>
      <c r="I514" s="13"/>
      <c r="J514" s="12"/>
    </row>
    <row r="515" spans="1:10">
      <c r="A515" s="12">
        <f>IF(B515="","",COUNTA($B$4:B515))</f>
        <v>512</v>
      </c>
      <c r="B515" s="12" t="s">
        <v>2139</v>
      </c>
      <c r="C515" s="12" t="s">
        <v>1863</v>
      </c>
      <c r="D515" s="12" t="s">
        <v>1395</v>
      </c>
      <c r="E515" s="12" t="s">
        <v>1863</v>
      </c>
      <c r="F515" s="12" t="s">
        <v>1861</v>
      </c>
      <c r="G515" s="12" t="s">
        <v>1862</v>
      </c>
      <c r="H515" s="12">
        <v>3</v>
      </c>
      <c r="I515" s="13"/>
      <c r="J515" s="12"/>
    </row>
    <row r="516" spans="1:10">
      <c r="A516" s="12">
        <f>IF(B516="","",COUNTA($B$4:B516))</f>
        <v>513</v>
      </c>
      <c r="B516" s="12" t="s">
        <v>2153</v>
      </c>
      <c r="C516" s="12" t="s">
        <v>1863</v>
      </c>
      <c r="D516" s="12" t="s">
        <v>1395</v>
      </c>
      <c r="E516" s="12" t="s">
        <v>1863</v>
      </c>
      <c r="F516" s="12" t="s">
        <v>1861</v>
      </c>
      <c r="G516" s="12" t="s">
        <v>1862</v>
      </c>
      <c r="H516" s="12">
        <v>3</v>
      </c>
      <c r="I516" s="13"/>
      <c r="J516" s="12"/>
    </row>
    <row r="517" spans="1:10">
      <c r="A517" s="12">
        <f>IF(B517="","",COUNTA($B$4:B517))</f>
        <v>514</v>
      </c>
      <c r="B517" s="12" t="s">
        <v>2190</v>
      </c>
      <c r="C517" s="12" t="s">
        <v>1863</v>
      </c>
      <c r="D517" s="12" t="s">
        <v>1395</v>
      </c>
      <c r="E517" s="12" t="s">
        <v>1863</v>
      </c>
      <c r="F517" s="12" t="s">
        <v>1861</v>
      </c>
      <c r="G517" s="12" t="s">
        <v>1862</v>
      </c>
      <c r="H517" s="12">
        <v>3</v>
      </c>
      <c r="I517" s="13"/>
      <c r="J517" s="12"/>
    </row>
    <row r="518" spans="1:10">
      <c r="A518" s="12">
        <f>IF(B518="","",COUNTA($B$4:B518))</f>
        <v>515</v>
      </c>
      <c r="B518" s="12" t="s">
        <v>1494</v>
      </c>
      <c r="C518" s="12" t="s">
        <v>125</v>
      </c>
      <c r="D518" s="12" t="s">
        <v>1395</v>
      </c>
      <c r="E518" s="12" t="s">
        <v>125</v>
      </c>
      <c r="F518" s="12" t="s">
        <v>111</v>
      </c>
      <c r="G518" s="12" t="s">
        <v>106</v>
      </c>
      <c r="H518" s="12">
        <v>3</v>
      </c>
      <c r="I518" s="13"/>
      <c r="J518" s="12"/>
    </row>
    <row r="519" spans="1:10">
      <c r="A519" s="12">
        <f>IF(B519="","",COUNTA($B$4:B519))</f>
        <v>516</v>
      </c>
      <c r="B519" s="12" t="s">
        <v>1932</v>
      </c>
      <c r="C519" s="12" t="s">
        <v>1947</v>
      </c>
      <c r="D519" s="12" t="s">
        <v>1948</v>
      </c>
      <c r="E519" s="12" t="s">
        <v>1947</v>
      </c>
      <c r="F519" s="12" t="s">
        <v>1861</v>
      </c>
      <c r="G519" s="12" t="s">
        <v>1862</v>
      </c>
      <c r="H519" s="12">
        <v>1</v>
      </c>
      <c r="I519" s="13"/>
      <c r="J519" s="12"/>
    </row>
    <row r="520" spans="1:10">
      <c r="A520" s="12">
        <f>IF(B520="","",COUNTA($B$4:B520))</f>
        <v>517</v>
      </c>
      <c r="B520" s="12" t="s">
        <v>2120</v>
      </c>
      <c r="C520" s="12" t="s">
        <v>2121</v>
      </c>
      <c r="D520" s="61"/>
      <c r="E520" s="12" t="s">
        <v>2121</v>
      </c>
      <c r="F520" s="12" t="s">
        <v>1861</v>
      </c>
      <c r="G520" s="12" t="s">
        <v>1862</v>
      </c>
      <c r="H520" s="12">
        <v>30</v>
      </c>
      <c r="I520" s="13"/>
      <c r="J520" s="12"/>
    </row>
    <row r="521" spans="1:10">
      <c r="A521" s="12">
        <f>IF(B521="","",COUNTA($B$4:B521))</f>
        <v>518</v>
      </c>
      <c r="B521" s="12" t="s">
        <v>1957</v>
      </c>
      <c r="C521" s="12" t="s">
        <v>1960</v>
      </c>
      <c r="D521" s="12" t="s">
        <v>1961</v>
      </c>
      <c r="E521" s="12" t="s">
        <v>1962</v>
      </c>
      <c r="F521" s="12" t="s">
        <v>1899</v>
      </c>
      <c r="G521" s="12" t="s">
        <v>1900</v>
      </c>
      <c r="H521" s="12">
        <v>3</v>
      </c>
      <c r="I521" s="13"/>
      <c r="J521" s="12"/>
    </row>
    <row r="522" spans="1:10">
      <c r="A522" s="12">
        <f>IF(B522="","",COUNTA($B$4:B522))</f>
        <v>519</v>
      </c>
      <c r="B522" s="12" t="s">
        <v>2076</v>
      </c>
      <c r="C522" s="12" t="s">
        <v>2115</v>
      </c>
      <c r="D522" s="61"/>
      <c r="E522" s="12"/>
      <c r="F522" s="12" t="s">
        <v>1861</v>
      </c>
      <c r="G522" s="12" t="s">
        <v>1862</v>
      </c>
      <c r="H522" s="12">
        <v>15</v>
      </c>
      <c r="I522" s="13"/>
      <c r="J522" s="12"/>
    </row>
    <row r="523" spans="1:10">
      <c r="A523" s="12">
        <f>IF(B523="","",COUNTA($B$4:B523))</f>
        <v>520</v>
      </c>
      <c r="B523" s="12" t="s">
        <v>2012</v>
      </c>
      <c r="C523" s="12" t="s">
        <v>2047</v>
      </c>
      <c r="D523" s="12" t="s">
        <v>2048</v>
      </c>
      <c r="E523" s="12" t="s">
        <v>2047</v>
      </c>
      <c r="F523" s="12" t="s">
        <v>107</v>
      </c>
      <c r="G523" s="12" t="s">
        <v>109</v>
      </c>
      <c r="H523" s="12">
        <v>5</v>
      </c>
      <c r="I523" s="13"/>
      <c r="J523" s="12"/>
    </row>
    <row r="524" spans="1:10">
      <c r="A524" s="12">
        <f>IF(B524="","",COUNTA($B$4:B524))</f>
        <v>521</v>
      </c>
      <c r="B524" s="12" t="s">
        <v>2012</v>
      </c>
      <c r="C524" s="12" t="s">
        <v>2041</v>
      </c>
      <c r="D524" s="12" t="s">
        <v>2042</v>
      </c>
      <c r="E524" s="12" t="s">
        <v>2041</v>
      </c>
      <c r="F524" s="12" t="s">
        <v>1861</v>
      </c>
      <c r="G524" s="12" t="s">
        <v>1862</v>
      </c>
      <c r="H524" s="12">
        <v>3</v>
      </c>
      <c r="I524" s="13"/>
      <c r="J524" s="12"/>
    </row>
    <row r="525" spans="1:10">
      <c r="A525" s="12">
        <f>IF(B525="","",COUNTA($B$4:B525))</f>
        <v>522</v>
      </c>
      <c r="B525" s="12" t="s">
        <v>2139</v>
      </c>
      <c r="C525" s="12" t="s">
        <v>2041</v>
      </c>
      <c r="D525" s="12" t="s">
        <v>1425</v>
      </c>
      <c r="E525" s="12" t="s">
        <v>2041</v>
      </c>
      <c r="F525" s="12" t="s">
        <v>1861</v>
      </c>
      <c r="G525" s="12" t="s">
        <v>1862</v>
      </c>
      <c r="H525" s="12">
        <v>3</v>
      </c>
      <c r="I525" s="13"/>
      <c r="J525" s="12"/>
    </row>
    <row r="526" spans="1:10">
      <c r="A526" s="12">
        <f>IF(B526="","",COUNTA($B$4:B526))</f>
        <v>523</v>
      </c>
      <c r="B526" s="12" t="s">
        <v>2012</v>
      </c>
      <c r="C526" s="12" t="s">
        <v>2043</v>
      </c>
      <c r="D526" s="12" t="s">
        <v>2044</v>
      </c>
      <c r="E526" s="12" t="s">
        <v>2043</v>
      </c>
      <c r="F526" s="12" t="s">
        <v>1861</v>
      </c>
      <c r="G526" s="12" t="s">
        <v>1862</v>
      </c>
      <c r="H526" s="12">
        <v>3</v>
      </c>
      <c r="I526" s="13"/>
      <c r="J526" s="12"/>
    </row>
    <row r="527" spans="1:10">
      <c r="A527" s="12">
        <f>IF(B527="","",COUNTA($B$4:B527))</f>
        <v>524</v>
      </c>
      <c r="B527" s="12" t="s">
        <v>2012</v>
      </c>
      <c r="C527" s="12" t="s">
        <v>2039</v>
      </c>
      <c r="D527" s="12" t="s">
        <v>2040</v>
      </c>
      <c r="E527" s="12" t="s">
        <v>2039</v>
      </c>
      <c r="F527" s="12" t="s">
        <v>1861</v>
      </c>
      <c r="G527" s="12" t="s">
        <v>1880</v>
      </c>
      <c r="H527" s="12"/>
      <c r="I527" s="13"/>
      <c r="J527" s="12"/>
    </row>
    <row r="528" spans="1:10">
      <c r="A528" s="12">
        <f>IF(B528="","",COUNTA($B$4:B528))</f>
        <v>525</v>
      </c>
      <c r="B528" s="12" t="s">
        <v>2139</v>
      </c>
      <c r="C528" s="12" t="s">
        <v>2039</v>
      </c>
      <c r="D528" s="12" t="s">
        <v>2040</v>
      </c>
      <c r="E528" s="12" t="s">
        <v>2039</v>
      </c>
      <c r="F528" s="12" t="s">
        <v>1879</v>
      </c>
      <c r="G528" s="12" t="s">
        <v>1880</v>
      </c>
      <c r="H528" s="12"/>
      <c r="I528" s="13"/>
      <c r="J528" s="12"/>
    </row>
    <row r="529" spans="1:10">
      <c r="A529" s="12">
        <f>IF(B529="","",COUNTA($B$4:B529))</f>
        <v>526</v>
      </c>
      <c r="B529" s="12" t="s">
        <v>1888</v>
      </c>
      <c r="C529" s="12" t="s">
        <v>1907</v>
      </c>
      <c r="D529" s="12" t="s">
        <v>1908</v>
      </c>
      <c r="E529" s="12" t="s">
        <v>1907</v>
      </c>
      <c r="F529" s="12" t="s">
        <v>1899</v>
      </c>
      <c r="G529" s="12" t="s">
        <v>1900</v>
      </c>
      <c r="H529" s="12">
        <v>7</v>
      </c>
      <c r="I529" s="13">
        <v>2</v>
      </c>
      <c r="J529" s="12"/>
    </row>
    <row r="530" spans="1:10">
      <c r="A530" s="12">
        <f>IF(B530="","",COUNTA($B$4:B530))</f>
        <v>527</v>
      </c>
      <c r="B530" s="12" t="s">
        <v>1932</v>
      </c>
      <c r="C530" s="12" t="s">
        <v>1907</v>
      </c>
      <c r="D530" s="12" t="s">
        <v>1908</v>
      </c>
      <c r="E530" s="12" t="s">
        <v>1907</v>
      </c>
      <c r="F530" s="12" t="s">
        <v>1899</v>
      </c>
      <c r="G530" s="12" t="s">
        <v>1900</v>
      </c>
      <c r="H530" s="12">
        <v>7</v>
      </c>
      <c r="I530" s="13">
        <v>2</v>
      </c>
      <c r="J530" s="12"/>
    </row>
    <row r="531" spans="1:10">
      <c r="A531" s="12">
        <f>IF(B531="","",COUNTA($B$4:B531))</f>
        <v>528</v>
      </c>
      <c r="B531" s="12" t="s">
        <v>1957</v>
      </c>
      <c r="C531" s="12" t="s">
        <v>1907</v>
      </c>
      <c r="D531" s="12" t="s">
        <v>1908</v>
      </c>
      <c r="E531" s="12" t="s">
        <v>1907</v>
      </c>
      <c r="F531" s="12" t="s">
        <v>1899</v>
      </c>
      <c r="G531" s="12" t="s">
        <v>1900</v>
      </c>
      <c r="H531" s="12">
        <v>7</v>
      </c>
      <c r="I531" s="13">
        <v>2</v>
      </c>
      <c r="J531" s="12"/>
    </row>
    <row r="532" spans="1:10">
      <c r="A532" s="12">
        <f>IF(B532="","",COUNTA($B$4:B532))</f>
        <v>529</v>
      </c>
      <c r="B532" s="12" t="s">
        <v>2012</v>
      </c>
      <c r="C532" s="12" t="s">
        <v>1907</v>
      </c>
      <c r="D532" s="12" t="s">
        <v>1908</v>
      </c>
      <c r="E532" s="12" t="s">
        <v>1907</v>
      </c>
      <c r="F532" s="12" t="s">
        <v>107</v>
      </c>
      <c r="G532" s="12" t="s">
        <v>109</v>
      </c>
      <c r="H532" s="12">
        <v>7</v>
      </c>
      <c r="I532" s="13">
        <v>2</v>
      </c>
      <c r="J532" s="12"/>
    </row>
    <row r="533" spans="1:10">
      <c r="A533" s="12">
        <f>IF(B533="","",COUNTA($B$4:B533))</f>
        <v>530</v>
      </c>
      <c r="B533" s="12" t="s">
        <v>2054</v>
      </c>
      <c r="C533" s="12" t="s">
        <v>1907</v>
      </c>
      <c r="D533" s="12" t="s">
        <v>1908</v>
      </c>
      <c r="E533" s="12" t="s">
        <v>1907</v>
      </c>
      <c r="F533" s="12" t="s">
        <v>1899</v>
      </c>
      <c r="G533" s="12" t="s">
        <v>1900</v>
      </c>
      <c r="H533" s="12">
        <v>7</v>
      </c>
      <c r="I533" s="13">
        <v>2</v>
      </c>
      <c r="J533" s="12"/>
    </row>
    <row r="534" spans="1:10">
      <c r="A534" s="12">
        <f>IF(B534="","",COUNTA($B$4:B534))</f>
        <v>531</v>
      </c>
      <c r="B534" s="12" t="s">
        <v>2066</v>
      </c>
      <c r="C534" s="12" t="s">
        <v>1907</v>
      </c>
      <c r="D534" s="12" t="s">
        <v>1908</v>
      </c>
      <c r="E534" s="12" t="s">
        <v>1907</v>
      </c>
      <c r="F534" s="12" t="s">
        <v>1899</v>
      </c>
      <c r="G534" s="12" t="s">
        <v>1900</v>
      </c>
      <c r="H534" s="12">
        <v>7</v>
      </c>
      <c r="I534" s="13">
        <v>2</v>
      </c>
      <c r="J534" s="12"/>
    </row>
    <row r="535" spans="1:10">
      <c r="A535" s="12">
        <f>IF(B535="","",COUNTA($B$4:B535))</f>
        <v>532</v>
      </c>
      <c r="B535" s="12" t="s">
        <v>2076</v>
      </c>
      <c r="C535" s="12" t="s">
        <v>2082</v>
      </c>
      <c r="D535" s="61"/>
      <c r="E535" s="12"/>
      <c r="F535" s="12"/>
      <c r="G535" s="12"/>
      <c r="H535" s="12"/>
      <c r="I535" s="13"/>
      <c r="J535" s="12"/>
    </row>
    <row r="536" spans="1:10">
      <c r="A536" s="12" t="str">
        <f>IF(B536="","",COUNTA($B$4:B536))</f>
        <v/>
      </c>
      <c r="B536" s="12"/>
      <c r="C536" s="12"/>
      <c r="D536" s="12"/>
      <c r="E536" s="12"/>
      <c r="F536" s="12"/>
      <c r="G536" s="12"/>
      <c r="H536" s="12"/>
      <c r="I536" s="13"/>
      <c r="J536" s="12"/>
    </row>
    <row r="537" spans="1:10">
      <c r="A537" s="12" t="str">
        <f>IF(B537="","",COUNTA($B$4:B537))</f>
        <v/>
      </c>
      <c r="B537" s="12"/>
      <c r="C537" s="12"/>
      <c r="D537" s="12"/>
      <c r="E537" s="12"/>
      <c r="F537" s="12"/>
      <c r="G537" s="12"/>
      <c r="H537" s="12"/>
      <c r="I537" s="13"/>
      <c r="J537" s="12"/>
    </row>
    <row r="538" spans="1:10">
      <c r="A538" s="12" t="str">
        <f>IF(B538="","",COUNTA($B$4:B538))</f>
        <v/>
      </c>
      <c r="B538" s="12"/>
      <c r="C538" s="12"/>
      <c r="D538" s="12"/>
      <c r="E538" s="12"/>
      <c r="F538" s="12"/>
      <c r="G538" s="12"/>
      <c r="H538" s="12"/>
      <c r="I538" s="13"/>
      <c r="J538" s="12"/>
    </row>
    <row r="539" spans="1:10">
      <c r="A539" s="12" t="str">
        <f>IF(B539="","",COUNTA($B$4:B539))</f>
        <v/>
      </c>
      <c r="B539" s="12"/>
      <c r="C539" s="12"/>
      <c r="D539" s="12"/>
      <c r="E539" s="12"/>
      <c r="F539" s="12"/>
      <c r="G539" s="12"/>
      <c r="H539" s="12"/>
      <c r="I539" s="13"/>
      <c r="J539" s="12"/>
    </row>
    <row r="540" spans="1:10">
      <c r="A540" s="12" t="str">
        <f>IF(B540="","",COUNTA($B$4:B540))</f>
        <v/>
      </c>
      <c r="B540" s="12"/>
      <c r="C540" s="12"/>
      <c r="D540" s="12"/>
      <c r="E540" s="12"/>
      <c r="F540" s="12"/>
      <c r="G540" s="12"/>
      <c r="H540" s="12"/>
      <c r="I540" s="13"/>
      <c r="J540" s="12"/>
    </row>
    <row r="541" spans="1:10">
      <c r="A541" s="12" t="str">
        <f>IF(B541="","",COUNTA($B$4:B541))</f>
        <v/>
      </c>
      <c r="B541" s="12"/>
      <c r="C541" s="12"/>
      <c r="D541" s="12"/>
      <c r="E541" s="12"/>
      <c r="F541" s="12"/>
      <c r="G541" s="12"/>
      <c r="H541" s="12"/>
      <c r="I541" s="13"/>
      <c r="J541" s="12"/>
    </row>
    <row r="542" spans="1:10">
      <c r="A542" s="12" t="str">
        <f>IF(B542="","",COUNTA($B$4:B542))</f>
        <v/>
      </c>
      <c r="B542" s="12"/>
      <c r="C542" s="12"/>
      <c r="D542" s="12"/>
      <c r="E542" s="12"/>
      <c r="F542" s="12"/>
      <c r="G542" s="12"/>
      <c r="H542" s="12"/>
      <c r="I542" s="13"/>
      <c r="J542" s="12"/>
    </row>
    <row r="543" spans="1:10">
      <c r="A543" s="12" t="str">
        <f>IF(B543="","",COUNTA($B$4:B543))</f>
        <v/>
      </c>
      <c r="B543" s="12"/>
      <c r="C543" s="12"/>
      <c r="D543" s="12"/>
      <c r="E543" s="12"/>
      <c r="F543" s="12"/>
      <c r="G543" s="12"/>
      <c r="H543" s="12"/>
      <c r="I543" s="13"/>
      <c r="J543" s="12"/>
    </row>
    <row r="544" spans="1:10">
      <c r="A544" s="12" t="str">
        <f>IF(B544="","",COUNTA($B$4:B544))</f>
        <v/>
      </c>
      <c r="B544" s="12"/>
      <c r="C544" s="12"/>
      <c r="D544" s="12"/>
      <c r="E544" s="12"/>
      <c r="F544" s="12"/>
      <c r="G544" s="12"/>
      <c r="H544" s="12"/>
      <c r="I544" s="13"/>
      <c r="J544" s="12"/>
    </row>
    <row r="545" spans="1:10">
      <c r="A545" s="12" t="str">
        <f>IF(B545="","",COUNTA($B$4:B545))</f>
        <v/>
      </c>
      <c r="B545" s="12"/>
      <c r="C545" s="12"/>
      <c r="D545" s="12"/>
      <c r="E545" s="12"/>
      <c r="F545" s="12"/>
      <c r="G545" s="12"/>
      <c r="H545" s="12"/>
      <c r="I545" s="13"/>
      <c r="J545" s="12"/>
    </row>
    <row r="546" spans="1:10">
      <c r="A546" s="12" t="str">
        <f>IF(B546="","",COUNTA($B$4:B546))</f>
        <v/>
      </c>
      <c r="B546" s="12"/>
      <c r="C546" s="12"/>
      <c r="D546" s="12"/>
      <c r="E546" s="12"/>
      <c r="F546" s="12"/>
      <c r="G546" s="12"/>
      <c r="H546" s="12"/>
      <c r="I546" s="13"/>
      <c r="J546" s="12"/>
    </row>
    <row r="547" spans="1:10">
      <c r="A547" s="12" t="str">
        <f>IF(B547="","",COUNTA($B$4:B547))</f>
        <v/>
      </c>
      <c r="B547" s="12"/>
      <c r="C547" s="12"/>
      <c r="D547" s="12"/>
      <c r="E547" s="12"/>
      <c r="F547" s="12"/>
      <c r="G547" s="12"/>
      <c r="H547" s="12"/>
      <c r="I547" s="13"/>
      <c r="J547" s="12"/>
    </row>
    <row r="548" spans="1:10">
      <c r="A548" s="12" t="str">
        <f>IF(B548="","",COUNTA($B$4:B548))</f>
        <v/>
      </c>
      <c r="B548" s="12"/>
      <c r="C548" s="12"/>
      <c r="D548" s="12"/>
      <c r="E548" s="12"/>
      <c r="F548" s="12"/>
      <c r="G548" s="12"/>
      <c r="H548" s="12"/>
      <c r="I548" s="13"/>
      <c r="J548" s="12"/>
    </row>
    <row r="549" spans="1:10">
      <c r="A549" s="12" t="str">
        <f>IF(B549="","",COUNTA($B$4:B549))</f>
        <v/>
      </c>
      <c r="B549" s="12"/>
      <c r="C549" s="12"/>
      <c r="D549" s="12"/>
      <c r="E549" s="12"/>
      <c r="F549" s="12"/>
      <c r="G549" s="12"/>
      <c r="H549" s="12"/>
      <c r="I549" s="13"/>
      <c r="J549" s="12"/>
    </row>
    <row r="550" spans="1:10">
      <c r="A550" s="12" t="str">
        <f>IF(B550="","",COUNTA($B$4:B550))</f>
        <v/>
      </c>
      <c r="B550" s="12"/>
      <c r="C550" s="12"/>
      <c r="D550" s="12"/>
      <c r="E550" s="12"/>
      <c r="F550" s="12"/>
      <c r="G550" s="12"/>
      <c r="H550" s="12"/>
      <c r="I550" s="13"/>
      <c r="J550" s="12"/>
    </row>
    <row r="551" spans="1:10">
      <c r="A551" s="12" t="str">
        <f>IF(B551="","",COUNTA($B$4:B551))</f>
        <v/>
      </c>
      <c r="B551" s="12"/>
      <c r="C551" s="12"/>
      <c r="D551" s="12"/>
      <c r="E551" s="12"/>
      <c r="F551" s="12"/>
      <c r="G551" s="12"/>
      <c r="H551" s="12"/>
      <c r="I551" s="13"/>
      <c r="J551" s="12"/>
    </row>
    <row r="552" spans="1:10">
      <c r="A552" s="12" t="str">
        <f>IF(B552="","",COUNTA($B$4:B552))</f>
        <v/>
      </c>
      <c r="B552" s="12"/>
      <c r="C552" s="12"/>
      <c r="D552" s="12"/>
      <c r="E552" s="12"/>
      <c r="F552" s="12"/>
      <c r="G552" s="12"/>
      <c r="H552" s="12"/>
      <c r="I552" s="13"/>
      <c r="J552" s="12"/>
    </row>
    <row r="553" spans="1:10">
      <c r="A553" s="12" t="str">
        <f>IF(B553="","",COUNTA($B$4:B553))</f>
        <v/>
      </c>
      <c r="B553" s="12"/>
      <c r="C553" s="12"/>
      <c r="D553" s="12"/>
      <c r="E553" s="12"/>
      <c r="F553" s="12"/>
      <c r="G553" s="12"/>
      <c r="H553" s="12"/>
      <c r="I553" s="13"/>
      <c r="J553" s="12"/>
    </row>
    <row r="554" spans="1:10">
      <c r="A554" s="12" t="str">
        <f>IF(B554="","",COUNTA($B$4:B554))</f>
        <v/>
      </c>
      <c r="B554" s="12"/>
      <c r="C554" s="12"/>
      <c r="D554" s="12"/>
      <c r="E554" s="12"/>
      <c r="F554" s="12"/>
      <c r="G554" s="12"/>
      <c r="H554" s="12"/>
      <c r="I554" s="13"/>
      <c r="J554" s="12"/>
    </row>
    <row r="555" spans="1:10">
      <c r="A555" s="12" t="str">
        <f>IF(B555="","",COUNTA($B$4:B555))</f>
        <v/>
      </c>
      <c r="B555" s="12"/>
      <c r="C555" s="12"/>
      <c r="D555" s="12"/>
      <c r="E555" s="12"/>
      <c r="F555" s="12"/>
      <c r="G555" s="12"/>
      <c r="H555" s="12"/>
      <c r="I555" s="13"/>
      <c r="J555" s="12"/>
    </row>
    <row r="556" spans="1:10">
      <c r="A556" s="12" t="str">
        <f>IF(B556="","",COUNTA($B$4:B556))</f>
        <v/>
      </c>
      <c r="B556" s="12"/>
      <c r="C556" s="12"/>
      <c r="D556" s="12"/>
      <c r="E556" s="12"/>
      <c r="F556" s="12"/>
      <c r="G556" s="12"/>
      <c r="H556" s="12"/>
      <c r="I556" s="13"/>
      <c r="J556" s="12"/>
    </row>
    <row r="557" spans="1:10">
      <c r="A557" s="12" t="str">
        <f>IF(B557="","",COUNTA($B$4:B557))</f>
        <v/>
      </c>
      <c r="B557" s="12"/>
      <c r="C557" s="12"/>
      <c r="D557" s="12"/>
      <c r="E557" s="12"/>
      <c r="F557" s="12"/>
      <c r="G557" s="12"/>
      <c r="H557" s="12"/>
      <c r="I557" s="13"/>
      <c r="J557" s="12"/>
    </row>
    <row r="558" spans="1:10">
      <c r="A558" s="12" t="str">
        <f>IF(B558="","",COUNTA($B$4:B558))</f>
        <v/>
      </c>
      <c r="B558" s="12"/>
      <c r="C558" s="12"/>
      <c r="D558" s="12"/>
      <c r="E558" s="12"/>
      <c r="F558" s="12"/>
      <c r="G558" s="12"/>
      <c r="H558" s="12"/>
      <c r="I558" s="13"/>
      <c r="J558" s="12"/>
    </row>
    <row r="559" spans="1:10">
      <c r="A559" s="12" t="str">
        <f>IF(B559="","",COUNTA($B$4:B559))</f>
        <v/>
      </c>
      <c r="B559" s="12"/>
      <c r="C559" s="12"/>
      <c r="D559" s="12"/>
      <c r="E559" s="12"/>
      <c r="F559" s="12"/>
      <c r="G559" s="12"/>
      <c r="H559" s="12"/>
      <c r="I559" s="13"/>
      <c r="J559" s="12"/>
    </row>
    <row r="560" spans="1:10">
      <c r="A560" s="12" t="str">
        <f>IF(B560="","",COUNTA($B$4:B560))</f>
        <v/>
      </c>
      <c r="B560" s="12"/>
      <c r="C560" s="12"/>
      <c r="D560" s="12"/>
      <c r="E560" s="12"/>
      <c r="F560" s="12"/>
      <c r="G560" s="12"/>
      <c r="H560" s="12"/>
      <c r="I560" s="13"/>
      <c r="J560" s="12"/>
    </row>
    <row r="561" spans="1:10">
      <c r="A561" s="12" t="str">
        <f>IF(B561="","",COUNTA($B$4:B561))</f>
        <v/>
      </c>
      <c r="B561" s="12"/>
      <c r="C561" s="12"/>
      <c r="D561" s="12"/>
      <c r="E561" s="12"/>
      <c r="F561" s="12"/>
      <c r="G561" s="12"/>
      <c r="H561" s="12"/>
      <c r="I561" s="13"/>
      <c r="J561" s="12"/>
    </row>
    <row r="562" spans="1:10">
      <c r="A562" s="12" t="str">
        <f>IF(B562="","",COUNTA($B$4:B562))</f>
        <v/>
      </c>
      <c r="B562" s="12"/>
      <c r="C562" s="12"/>
      <c r="D562" s="12"/>
      <c r="E562" s="12"/>
      <c r="F562" s="12"/>
      <c r="G562" s="12"/>
      <c r="H562" s="12"/>
      <c r="I562" s="13"/>
      <c r="J562" s="12"/>
    </row>
    <row r="563" spans="1:10">
      <c r="A563" s="12" t="str">
        <f>IF(B563="","",COUNTA($B$4:B563))</f>
        <v/>
      </c>
      <c r="B563" s="12"/>
      <c r="C563" s="12"/>
      <c r="D563" s="12"/>
      <c r="E563" s="12"/>
      <c r="F563" s="12"/>
      <c r="G563" s="12"/>
      <c r="H563" s="12"/>
      <c r="I563" s="13"/>
      <c r="J563" s="12"/>
    </row>
    <row r="564" spans="1:10">
      <c r="A564" s="12" t="str">
        <f>IF(B564="","",COUNTA($B$4:B564))</f>
        <v/>
      </c>
      <c r="B564" s="12"/>
      <c r="C564" s="12"/>
      <c r="D564" s="12"/>
      <c r="E564" s="12"/>
      <c r="F564" s="12"/>
      <c r="G564" s="12"/>
      <c r="H564" s="12"/>
      <c r="I564" s="13"/>
      <c r="J564" s="12"/>
    </row>
    <row r="565" spans="1:10">
      <c r="A565" s="12" t="str">
        <f>IF(B565="","",COUNTA($B$4:B565))</f>
        <v/>
      </c>
      <c r="B565" s="12"/>
      <c r="C565" s="12"/>
      <c r="D565" s="12"/>
      <c r="E565" s="12"/>
      <c r="F565" s="12"/>
      <c r="G565" s="12"/>
      <c r="H565" s="12"/>
      <c r="I565" s="13"/>
      <c r="J565" s="12"/>
    </row>
    <row r="566" spans="1:10">
      <c r="A566" s="12" t="str">
        <f>IF(B566="","",COUNTA($B$4:B566))</f>
        <v/>
      </c>
      <c r="B566" s="12"/>
      <c r="C566" s="12"/>
      <c r="D566" s="12"/>
      <c r="E566" s="12"/>
      <c r="F566" s="12"/>
      <c r="G566" s="12"/>
      <c r="H566" s="12"/>
      <c r="I566" s="13"/>
      <c r="J566" s="12"/>
    </row>
    <row r="567" spans="1:10">
      <c r="A567" s="12" t="str">
        <f>IF(B567="","",COUNTA($B$4:B567))</f>
        <v/>
      </c>
      <c r="B567" s="12"/>
      <c r="C567" s="12"/>
      <c r="D567" s="12"/>
      <c r="E567" s="12"/>
      <c r="F567" s="12"/>
      <c r="G567" s="12"/>
      <c r="H567" s="12"/>
      <c r="I567" s="13"/>
      <c r="J567" s="12"/>
    </row>
    <row r="568" spans="1:10">
      <c r="A568" s="12" t="str">
        <f>IF(B568="","",COUNTA($B$4:B568))</f>
        <v/>
      </c>
      <c r="B568" s="12"/>
      <c r="C568" s="12"/>
      <c r="D568" s="12"/>
      <c r="E568" s="12"/>
      <c r="F568" s="12"/>
      <c r="G568" s="12"/>
      <c r="H568" s="12"/>
      <c r="I568" s="13"/>
      <c r="J568" s="12"/>
    </row>
    <row r="569" spans="1:10">
      <c r="A569" s="12" t="str">
        <f>IF(B569="","",COUNTA($B$4:B569))</f>
        <v/>
      </c>
      <c r="B569" s="12"/>
      <c r="C569" s="12"/>
      <c r="D569" s="12"/>
      <c r="E569" s="12"/>
      <c r="F569" s="12"/>
      <c r="G569" s="12"/>
      <c r="H569" s="12"/>
      <c r="I569" s="13"/>
      <c r="J569" s="12"/>
    </row>
    <row r="570" spans="1:10">
      <c r="A570" s="12" t="str">
        <f>IF(B570="","",COUNTA($B$4:B570))</f>
        <v/>
      </c>
      <c r="B570" s="12"/>
      <c r="C570" s="12"/>
      <c r="D570" s="12"/>
      <c r="E570" s="12"/>
      <c r="F570" s="12"/>
      <c r="G570" s="12"/>
      <c r="H570" s="12"/>
      <c r="I570" s="13"/>
      <c r="J570" s="12"/>
    </row>
    <row r="571" spans="1:10">
      <c r="A571" s="12" t="str">
        <f>IF(B571="","",COUNTA($B$4:B571))</f>
        <v/>
      </c>
      <c r="B571" s="12"/>
      <c r="C571" s="12"/>
      <c r="D571" s="12"/>
      <c r="E571" s="12"/>
      <c r="F571" s="12"/>
      <c r="G571" s="12"/>
      <c r="H571" s="12"/>
      <c r="I571" s="13"/>
      <c r="J571" s="12"/>
    </row>
    <row r="572" spans="1:10">
      <c r="A572" s="12" t="str">
        <f>IF(B572="","",COUNTA($B$4:B572))</f>
        <v/>
      </c>
      <c r="B572" s="12"/>
      <c r="C572" s="12"/>
      <c r="D572" s="12"/>
      <c r="E572" s="12"/>
      <c r="F572" s="12"/>
      <c r="G572" s="12"/>
      <c r="H572" s="12"/>
      <c r="I572" s="13"/>
      <c r="J572" s="12"/>
    </row>
    <row r="573" spans="1:10">
      <c r="A573" s="12" t="str">
        <f>IF(B573="","",COUNTA($B$4:B573))</f>
        <v/>
      </c>
      <c r="B573" s="12"/>
      <c r="C573" s="12"/>
      <c r="D573" s="12"/>
      <c r="E573" s="12"/>
      <c r="F573" s="12"/>
      <c r="G573" s="12"/>
      <c r="H573" s="12"/>
      <c r="I573" s="13"/>
      <c r="J573" s="12"/>
    </row>
    <row r="574" spans="1:10">
      <c r="A574" s="12" t="str">
        <f>IF(B574="","",COUNTA($B$4:B574))</f>
        <v/>
      </c>
      <c r="B574" s="12"/>
      <c r="C574" s="12"/>
      <c r="D574" s="12"/>
      <c r="E574" s="12"/>
      <c r="F574" s="12"/>
      <c r="G574" s="12"/>
      <c r="H574" s="12"/>
      <c r="I574" s="13"/>
      <c r="J574" s="12"/>
    </row>
    <row r="575" spans="1:10">
      <c r="A575" s="12" t="str">
        <f>IF(B575="","",COUNTA($B$4:B575))</f>
        <v/>
      </c>
      <c r="B575" s="12"/>
      <c r="C575" s="12"/>
      <c r="D575" s="12"/>
      <c r="E575" s="12"/>
      <c r="F575" s="12"/>
      <c r="G575" s="12"/>
      <c r="H575" s="12"/>
      <c r="I575" s="13"/>
      <c r="J575" s="12"/>
    </row>
    <row r="576" spans="1:10">
      <c r="A576" s="12" t="str">
        <f>IF(B576="","",COUNTA($B$4:B576))</f>
        <v/>
      </c>
      <c r="B576" s="12"/>
      <c r="C576" s="12"/>
      <c r="D576" s="12"/>
      <c r="E576" s="12"/>
      <c r="F576" s="12"/>
      <c r="G576" s="12"/>
      <c r="H576" s="12"/>
      <c r="I576" s="13"/>
      <c r="J576" s="12"/>
    </row>
    <row r="577" spans="1:10">
      <c r="A577" s="12" t="str">
        <f>IF(B577="","",COUNTA($B$4:B577))</f>
        <v/>
      </c>
      <c r="B577" s="12"/>
      <c r="C577" s="12"/>
      <c r="D577" s="12"/>
      <c r="E577" s="12"/>
      <c r="F577" s="12"/>
      <c r="G577" s="12"/>
      <c r="H577" s="12"/>
      <c r="I577" s="13"/>
      <c r="J577" s="12"/>
    </row>
    <row r="578" spans="1:10">
      <c r="A578" s="12" t="str">
        <f>IF(B578="","",COUNTA($B$4:B578))</f>
        <v/>
      </c>
      <c r="B578" s="12"/>
      <c r="C578" s="12"/>
      <c r="D578" s="12"/>
      <c r="E578" s="12"/>
      <c r="F578" s="12"/>
      <c r="G578" s="12"/>
      <c r="H578" s="12"/>
      <c r="I578" s="13"/>
      <c r="J578" s="12"/>
    </row>
    <row r="579" spans="1:10">
      <c r="A579" s="12" t="str">
        <f>IF(B579="","",COUNTA($B$4:B579))</f>
        <v/>
      </c>
      <c r="B579" s="12"/>
      <c r="C579" s="12"/>
      <c r="D579" s="12"/>
      <c r="E579" s="12"/>
      <c r="F579" s="12"/>
      <c r="G579" s="12"/>
      <c r="H579" s="12"/>
      <c r="I579" s="13"/>
      <c r="J579" s="12"/>
    </row>
    <row r="580" spans="1:10">
      <c r="A580" s="12" t="str">
        <f>IF(B580="","",COUNTA($B$4:B580))</f>
        <v/>
      </c>
      <c r="B580" s="12"/>
      <c r="C580" s="12"/>
      <c r="D580" s="12"/>
      <c r="E580" s="12"/>
      <c r="F580" s="12"/>
      <c r="G580" s="12"/>
      <c r="H580" s="12"/>
      <c r="I580" s="13"/>
      <c r="J580" s="12"/>
    </row>
    <row r="581" spans="1:10">
      <c r="A581" s="12" t="str">
        <f>IF(B581="","",COUNTA($B$4:B581))</f>
        <v/>
      </c>
      <c r="B581" s="12"/>
      <c r="C581" s="12"/>
      <c r="D581" s="12"/>
      <c r="E581" s="12"/>
      <c r="F581" s="12"/>
      <c r="G581" s="12"/>
      <c r="H581" s="12"/>
      <c r="I581" s="13"/>
      <c r="J581" s="12"/>
    </row>
    <row r="582" spans="1:10">
      <c r="A582" s="12" t="str">
        <f>IF(B582="","",COUNTA($B$4:B582))</f>
        <v/>
      </c>
      <c r="B582" s="12"/>
      <c r="C582" s="12"/>
      <c r="D582" s="12"/>
      <c r="E582" s="12"/>
      <c r="F582" s="12"/>
      <c r="G582" s="12"/>
      <c r="H582" s="12"/>
      <c r="I582" s="13"/>
      <c r="J582" s="12"/>
    </row>
    <row r="583" spans="1:10">
      <c r="A583" s="12" t="str">
        <f>IF(B583="","",COUNTA($B$4:B583))</f>
        <v/>
      </c>
      <c r="B583" s="12"/>
      <c r="C583" s="12"/>
      <c r="D583" s="12"/>
      <c r="E583" s="12"/>
      <c r="F583" s="12"/>
      <c r="G583" s="12"/>
      <c r="H583" s="12"/>
      <c r="I583" s="13"/>
      <c r="J583" s="12"/>
    </row>
    <row r="584" spans="1:10">
      <c r="A584" s="12" t="str">
        <f>IF(B584="","",COUNTA($B$4:B584))</f>
        <v/>
      </c>
      <c r="B584" s="12"/>
      <c r="C584" s="12"/>
      <c r="D584" s="12"/>
      <c r="E584" s="12"/>
      <c r="F584" s="12"/>
      <c r="G584" s="12"/>
      <c r="H584" s="12"/>
      <c r="I584" s="13"/>
      <c r="J584" s="12"/>
    </row>
    <row r="585" spans="1:10">
      <c r="A585" s="12" t="str">
        <f>IF(B585="","",COUNTA($B$4:B585))</f>
        <v/>
      </c>
      <c r="B585" s="12"/>
      <c r="C585" s="12"/>
      <c r="D585" s="12"/>
      <c r="E585" s="12"/>
      <c r="F585" s="12"/>
      <c r="G585" s="12"/>
      <c r="H585" s="12"/>
      <c r="I585" s="13"/>
      <c r="J585" s="12"/>
    </row>
    <row r="586" spans="1:10">
      <c r="A586" s="12" t="str">
        <f>IF(B586="","",COUNTA($B$4:B586))</f>
        <v/>
      </c>
      <c r="B586" s="12"/>
      <c r="C586" s="12"/>
      <c r="D586" s="12"/>
      <c r="E586" s="12"/>
      <c r="F586" s="12"/>
      <c r="G586" s="12"/>
      <c r="H586" s="12"/>
      <c r="I586" s="13"/>
      <c r="J586" s="12"/>
    </row>
    <row r="587" spans="1:10">
      <c r="A587" s="12" t="str">
        <f>IF(B587="","",COUNTA($B$4:B587))</f>
        <v/>
      </c>
      <c r="B587" s="12"/>
      <c r="C587" s="12"/>
      <c r="D587" s="12"/>
      <c r="E587" s="12"/>
      <c r="F587" s="12"/>
      <c r="G587" s="12"/>
      <c r="H587" s="12"/>
      <c r="I587" s="13"/>
      <c r="J587" s="12"/>
    </row>
    <row r="588" spans="1:10">
      <c r="A588" s="12" t="str">
        <f>IF(B588="","",COUNTA($B$4:B588))</f>
        <v/>
      </c>
      <c r="B588" s="12"/>
      <c r="C588" s="12"/>
      <c r="D588" s="12"/>
      <c r="E588" s="12"/>
      <c r="F588" s="12"/>
      <c r="G588" s="12"/>
      <c r="H588" s="12"/>
      <c r="I588" s="13"/>
      <c r="J588" s="12"/>
    </row>
    <row r="589" spans="1:10">
      <c r="A589" s="12" t="str">
        <f>IF(B589="","",COUNTA($B$4:B589))</f>
        <v/>
      </c>
      <c r="B589" s="12"/>
      <c r="C589" s="12"/>
      <c r="D589" s="12"/>
      <c r="E589" s="12"/>
      <c r="F589" s="12"/>
      <c r="G589" s="12"/>
      <c r="H589" s="12"/>
      <c r="I589" s="13"/>
      <c r="J589" s="12"/>
    </row>
    <row r="590" spans="1:10">
      <c r="A590" s="12" t="str">
        <f>IF(B590="","",COUNTA($B$4:B590))</f>
        <v/>
      </c>
      <c r="B590" s="12"/>
      <c r="C590" s="12"/>
      <c r="D590" s="12"/>
      <c r="E590" s="12"/>
      <c r="F590" s="12"/>
      <c r="G590" s="12"/>
      <c r="H590" s="12"/>
      <c r="I590" s="13"/>
      <c r="J590" s="12"/>
    </row>
    <row r="591" spans="1:10">
      <c r="A591" s="12" t="str">
        <f>IF(B591="","",COUNTA($B$4:B591))</f>
        <v/>
      </c>
      <c r="B591" s="12"/>
      <c r="C591" s="12"/>
      <c r="D591" s="12"/>
      <c r="E591" s="12"/>
      <c r="F591" s="12"/>
      <c r="G591" s="12"/>
      <c r="H591" s="12"/>
      <c r="I591" s="13"/>
      <c r="J591" s="12"/>
    </row>
    <row r="592" spans="1:10">
      <c r="A592" s="12" t="str">
        <f>IF(B592="","",COUNTA($B$4:B592))</f>
        <v/>
      </c>
      <c r="B592" s="12"/>
      <c r="C592" s="12"/>
      <c r="D592" s="12"/>
      <c r="E592" s="12"/>
      <c r="F592" s="12"/>
      <c r="G592" s="12"/>
      <c r="H592" s="12"/>
      <c r="I592" s="13"/>
      <c r="J592" s="12"/>
    </row>
    <row r="593" spans="1:10">
      <c r="A593" s="12" t="str">
        <f>IF(B593="","",COUNTA($B$4:B593))</f>
        <v/>
      </c>
      <c r="B593" s="12"/>
      <c r="C593" s="12"/>
      <c r="D593" s="12"/>
      <c r="E593" s="12"/>
      <c r="F593" s="12"/>
      <c r="G593" s="12"/>
      <c r="H593" s="12"/>
      <c r="I593" s="13"/>
      <c r="J593" s="12"/>
    </row>
    <row r="594" spans="1:10">
      <c r="A594" s="12" t="str">
        <f>IF(B594="","",COUNTA($B$4:B594))</f>
        <v/>
      </c>
      <c r="B594" s="12"/>
      <c r="C594" s="12"/>
      <c r="D594" s="12"/>
      <c r="E594" s="12"/>
      <c r="F594" s="12"/>
      <c r="G594" s="12"/>
      <c r="H594" s="12"/>
      <c r="I594" s="13"/>
      <c r="J594" s="12"/>
    </row>
    <row r="595" spans="1:10">
      <c r="A595" s="12" t="str">
        <f>IF(B595="","",COUNTA($B$4:B595))</f>
        <v/>
      </c>
      <c r="B595" s="12"/>
      <c r="C595" s="12"/>
      <c r="D595" s="12"/>
      <c r="E595" s="12"/>
      <c r="F595" s="12"/>
      <c r="G595" s="12"/>
      <c r="H595" s="12"/>
      <c r="I595" s="13"/>
      <c r="J595" s="12"/>
    </row>
    <row r="596" spans="1:10">
      <c r="A596" s="12" t="str">
        <f>IF(B596="","",COUNTA($B$4:B596))</f>
        <v/>
      </c>
      <c r="B596" s="12"/>
      <c r="C596" s="12"/>
      <c r="D596" s="12"/>
      <c r="E596" s="12"/>
      <c r="F596" s="12"/>
      <c r="G596" s="12"/>
      <c r="H596" s="12"/>
      <c r="I596" s="13"/>
      <c r="J596" s="12"/>
    </row>
    <row r="597" spans="1:10">
      <c r="A597" s="12" t="str">
        <f>IF(B597="","",COUNTA($B$4:B597))</f>
        <v/>
      </c>
      <c r="B597" s="12"/>
      <c r="C597" s="12"/>
      <c r="D597" s="12"/>
      <c r="E597" s="12"/>
      <c r="F597" s="12"/>
      <c r="G597" s="12"/>
      <c r="H597" s="12"/>
      <c r="I597" s="13"/>
      <c r="J597" s="12"/>
    </row>
    <row r="598" spans="1:10">
      <c r="A598" s="12" t="str">
        <f>IF(B598="","",COUNTA($B$4:B598))</f>
        <v/>
      </c>
      <c r="B598" s="12"/>
      <c r="C598" s="12"/>
      <c r="D598" s="12"/>
      <c r="E598" s="12"/>
      <c r="F598" s="12"/>
      <c r="G598" s="12"/>
      <c r="H598" s="12"/>
      <c r="I598" s="13"/>
      <c r="J598" s="12"/>
    </row>
    <row r="599" spans="1:10">
      <c r="A599" s="12" t="str">
        <f>IF(B599="","",COUNTA($B$4:B599))</f>
        <v/>
      </c>
      <c r="B599" s="12"/>
      <c r="C599" s="12"/>
      <c r="D599" s="12"/>
      <c r="E599" s="12"/>
      <c r="F599" s="12"/>
      <c r="G599" s="12"/>
      <c r="H599" s="12"/>
      <c r="I599" s="13"/>
      <c r="J599" s="12"/>
    </row>
    <row r="600" spans="1:10">
      <c r="A600" s="12" t="str">
        <f>IF(B600="","",COUNTA($B$4:B600))</f>
        <v/>
      </c>
      <c r="B600" s="12"/>
      <c r="C600" s="12"/>
      <c r="D600" s="12"/>
      <c r="E600" s="12"/>
      <c r="F600" s="12"/>
      <c r="G600" s="12"/>
      <c r="H600" s="12"/>
      <c r="I600" s="13"/>
      <c r="J600" s="12"/>
    </row>
    <row r="601" spans="1:10">
      <c r="A601" s="12" t="str">
        <f>IF(B601="","",COUNTA($B$4:B601))</f>
        <v/>
      </c>
      <c r="B601" s="12"/>
      <c r="C601" s="12"/>
      <c r="D601" s="12"/>
      <c r="E601" s="12"/>
      <c r="F601" s="12"/>
      <c r="G601" s="12"/>
      <c r="H601" s="12"/>
      <c r="I601" s="13"/>
      <c r="J601" s="12"/>
    </row>
    <row r="602" spans="1:10">
      <c r="A602" s="12" t="str">
        <f>IF(B602="","",COUNTA($B$4:B602))</f>
        <v/>
      </c>
      <c r="B602" s="12"/>
      <c r="C602" s="12"/>
      <c r="D602" s="12"/>
      <c r="E602" s="12"/>
      <c r="F602" s="12"/>
      <c r="G602" s="12"/>
      <c r="H602" s="12"/>
      <c r="I602" s="13"/>
      <c r="J602" s="12"/>
    </row>
    <row r="603" spans="1:10">
      <c r="A603" s="12" t="str">
        <f>IF(B603="","",COUNTA($B$4:B603))</f>
        <v/>
      </c>
      <c r="B603" s="12"/>
      <c r="C603" s="12"/>
      <c r="D603" s="12"/>
      <c r="E603" s="12"/>
      <c r="F603" s="12"/>
      <c r="G603" s="12"/>
      <c r="H603" s="12"/>
      <c r="I603" s="13"/>
      <c r="J603" s="12"/>
    </row>
    <row r="604" spans="1:10">
      <c r="A604" s="12" t="str">
        <f>IF(B604="","",COUNTA($B$4:B604))</f>
        <v/>
      </c>
      <c r="B604" s="12"/>
      <c r="C604" s="12"/>
      <c r="D604" s="12"/>
      <c r="E604" s="12"/>
      <c r="F604" s="12"/>
      <c r="G604" s="12"/>
      <c r="H604" s="12"/>
      <c r="I604" s="13"/>
      <c r="J604" s="12"/>
    </row>
    <row r="605" spans="1:10">
      <c r="A605" s="12" t="str">
        <f>IF(B605="","",COUNTA($B$4:B605))</f>
        <v/>
      </c>
      <c r="B605" s="12"/>
      <c r="C605" s="12"/>
      <c r="D605" s="12"/>
      <c r="E605" s="12"/>
      <c r="F605" s="12"/>
      <c r="G605" s="12"/>
      <c r="H605" s="12"/>
      <c r="I605" s="13"/>
      <c r="J605" s="12"/>
    </row>
    <row r="606" spans="1:10">
      <c r="A606" s="12" t="str">
        <f>IF(B606="","",COUNTA($B$4:B606))</f>
        <v/>
      </c>
      <c r="B606" s="12"/>
      <c r="C606" s="12"/>
      <c r="D606" s="12"/>
      <c r="E606" s="12"/>
      <c r="F606" s="12"/>
      <c r="G606" s="12"/>
      <c r="H606" s="12"/>
      <c r="I606" s="13"/>
      <c r="J606" s="12"/>
    </row>
    <row r="607" spans="1:10">
      <c r="A607" s="12" t="str">
        <f>IF(B607="","",COUNTA($B$4:B607))</f>
        <v/>
      </c>
      <c r="B607" s="12"/>
      <c r="C607" s="12"/>
      <c r="D607" s="12"/>
      <c r="E607" s="12"/>
      <c r="F607" s="12"/>
      <c r="G607" s="12"/>
      <c r="H607" s="12"/>
      <c r="I607" s="13"/>
      <c r="J607" s="12"/>
    </row>
    <row r="608" spans="1:10">
      <c r="A608" s="12" t="str">
        <f>IF(B608="","",COUNTA($B$4:B608))</f>
        <v/>
      </c>
      <c r="B608" s="12"/>
      <c r="C608" s="12"/>
      <c r="D608" s="12"/>
      <c r="E608" s="12"/>
      <c r="F608" s="12"/>
      <c r="G608" s="12"/>
      <c r="H608" s="12"/>
      <c r="I608" s="13"/>
      <c r="J608" s="12"/>
    </row>
    <row r="609" spans="1:10">
      <c r="A609" s="12" t="str">
        <f>IF(B609="","",COUNTA($B$4:B609))</f>
        <v/>
      </c>
      <c r="B609" s="12"/>
      <c r="C609" s="12"/>
      <c r="D609" s="12"/>
      <c r="E609" s="12"/>
      <c r="F609" s="12"/>
      <c r="G609" s="12"/>
      <c r="H609" s="12"/>
      <c r="I609" s="13"/>
      <c r="J609" s="12"/>
    </row>
    <row r="610" spans="1:10">
      <c r="A610" s="12" t="str">
        <f>IF(B610="","",COUNTA($B$4:B610))</f>
        <v/>
      </c>
      <c r="B610" s="12"/>
      <c r="C610" s="12"/>
      <c r="D610" s="12"/>
      <c r="E610" s="12"/>
      <c r="F610" s="12"/>
      <c r="G610" s="12"/>
      <c r="H610" s="12"/>
      <c r="I610" s="13"/>
      <c r="J610" s="12"/>
    </row>
    <row r="611" spans="1:10">
      <c r="A611" s="12" t="str">
        <f>IF(B611="","",COUNTA($B$4:B611))</f>
        <v/>
      </c>
      <c r="B611" s="12"/>
      <c r="C611" s="12"/>
      <c r="D611" s="12"/>
      <c r="E611" s="12"/>
      <c r="F611" s="12"/>
      <c r="G611" s="12"/>
      <c r="H611" s="12"/>
      <c r="I611" s="13"/>
      <c r="J611" s="12"/>
    </row>
    <row r="612" spans="1:10">
      <c r="A612" s="12" t="str">
        <f>IF(B612="","",COUNTA($B$4:B612))</f>
        <v/>
      </c>
      <c r="B612" s="12"/>
      <c r="C612" s="12"/>
      <c r="D612" s="12"/>
      <c r="E612" s="12"/>
      <c r="F612" s="12"/>
      <c r="G612" s="12"/>
      <c r="H612" s="12"/>
      <c r="I612" s="13"/>
      <c r="J612" s="12"/>
    </row>
    <row r="613" spans="1:10">
      <c r="A613" s="12" t="str">
        <f>IF(B613="","",COUNTA($B$4:B613))</f>
        <v/>
      </c>
      <c r="B613" s="12"/>
      <c r="C613" s="12"/>
      <c r="D613" s="12"/>
      <c r="E613" s="12"/>
      <c r="F613" s="12"/>
      <c r="G613" s="12"/>
      <c r="H613" s="12"/>
      <c r="I613" s="13"/>
      <c r="J613" s="12"/>
    </row>
    <row r="614" spans="1:10">
      <c r="A614" s="12" t="str">
        <f>IF(B614="","",COUNTA($B$4:B614))</f>
        <v/>
      </c>
      <c r="B614" s="12"/>
      <c r="C614" s="12"/>
      <c r="D614" s="12"/>
      <c r="E614" s="12"/>
      <c r="F614" s="12"/>
      <c r="G614" s="12"/>
      <c r="H614" s="12"/>
      <c r="I614" s="13"/>
      <c r="J614" s="12"/>
    </row>
    <row r="615" spans="1:10">
      <c r="A615" s="12" t="str">
        <f>IF(B615="","",COUNTA($B$4:B615))</f>
        <v/>
      </c>
      <c r="B615" s="12"/>
      <c r="C615" s="12"/>
      <c r="D615" s="12"/>
      <c r="E615" s="12"/>
      <c r="F615" s="12"/>
      <c r="G615" s="12"/>
      <c r="H615" s="12"/>
      <c r="I615" s="13"/>
      <c r="J615" s="12"/>
    </row>
    <row r="616" spans="1:10">
      <c r="A616" s="12" t="str">
        <f>IF(B616="","",COUNTA($B$4:B616))</f>
        <v/>
      </c>
      <c r="B616" s="12"/>
      <c r="C616" s="12"/>
      <c r="D616" s="12"/>
      <c r="E616" s="12"/>
      <c r="F616" s="12"/>
      <c r="G616" s="12"/>
      <c r="H616" s="12"/>
      <c r="I616" s="13"/>
      <c r="J616" s="12"/>
    </row>
    <row r="617" spans="1:10">
      <c r="A617" s="12" t="str">
        <f>IF(B617="","",COUNTA($B$4:B617))</f>
        <v/>
      </c>
      <c r="B617" s="12"/>
      <c r="C617" s="12"/>
      <c r="D617" s="12"/>
      <c r="E617" s="12"/>
      <c r="F617" s="12"/>
      <c r="G617" s="12"/>
      <c r="H617" s="12"/>
      <c r="I617" s="13"/>
      <c r="J617" s="12"/>
    </row>
    <row r="618" spans="1:10">
      <c r="A618" s="12" t="str">
        <f>IF(B618="","",COUNTA($B$4:B618))</f>
        <v/>
      </c>
      <c r="B618" s="12"/>
      <c r="C618" s="12"/>
      <c r="D618" s="12"/>
      <c r="E618" s="12"/>
      <c r="F618" s="12"/>
      <c r="G618" s="12"/>
      <c r="H618" s="12"/>
      <c r="I618" s="13"/>
      <c r="J618" s="12"/>
    </row>
    <row r="619" spans="1:10">
      <c r="A619" s="12" t="str">
        <f>IF(B619="","",COUNTA($B$4:B619))</f>
        <v/>
      </c>
      <c r="B619" s="12"/>
      <c r="C619" s="12"/>
      <c r="D619" s="12"/>
      <c r="E619" s="12"/>
      <c r="F619" s="12"/>
      <c r="G619" s="12"/>
      <c r="H619" s="12"/>
      <c r="I619" s="13"/>
      <c r="J619" s="12"/>
    </row>
    <row r="620" spans="1:10">
      <c r="A620" s="12" t="str">
        <f>IF(B620="","",COUNTA($B$4:B620))</f>
        <v/>
      </c>
      <c r="B620" s="12"/>
      <c r="C620" s="12"/>
      <c r="D620" s="12"/>
      <c r="E620" s="12"/>
      <c r="F620" s="12"/>
      <c r="G620" s="12"/>
      <c r="H620" s="12"/>
      <c r="I620" s="13"/>
      <c r="J620" s="12"/>
    </row>
    <row r="621" spans="1:10">
      <c r="A621" s="12" t="str">
        <f>IF(B621="","",COUNTA($B$4:B621))</f>
        <v/>
      </c>
      <c r="B621" s="12"/>
      <c r="C621" s="12"/>
      <c r="D621" s="12"/>
      <c r="E621" s="12"/>
      <c r="F621" s="12"/>
      <c r="G621" s="12"/>
      <c r="H621" s="12"/>
      <c r="I621" s="13"/>
      <c r="J621" s="12"/>
    </row>
    <row r="622" spans="1:10">
      <c r="A622" s="12" t="str">
        <f>IF(B622="","",COUNTA($B$4:B622))</f>
        <v/>
      </c>
      <c r="B622" s="12"/>
      <c r="C622" s="12"/>
      <c r="D622" s="12"/>
      <c r="E622" s="12"/>
      <c r="F622" s="12"/>
      <c r="G622" s="12"/>
      <c r="H622" s="12"/>
      <c r="I622" s="13"/>
      <c r="J622" s="12"/>
    </row>
    <row r="623" spans="1:10">
      <c r="A623" s="12" t="str">
        <f>IF(B623="","",COUNTA($B$4:B623))</f>
        <v/>
      </c>
      <c r="B623" s="12"/>
      <c r="C623" s="12"/>
      <c r="D623" s="12"/>
      <c r="E623" s="12"/>
      <c r="F623" s="12"/>
      <c r="G623" s="12"/>
      <c r="H623" s="12"/>
      <c r="I623" s="13"/>
      <c r="J623" s="12"/>
    </row>
    <row r="624" spans="1:10">
      <c r="A624" s="12" t="str">
        <f>IF(B624="","",COUNTA($B$4:B624))</f>
        <v/>
      </c>
      <c r="B624" s="12"/>
      <c r="C624" s="12"/>
      <c r="D624" s="12"/>
      <c r="E624" s="12"/>
      <c r="F624" s="12"/>
      <c r="G624" s="12"/>
      <c r="H624" s="12"/>
      <c r="I624" s="13"/>
      <c r="J624" s="12"/>
    </row>
    <row r="625" spans="1:10">
      <c r="A625" s="12" t="str">
        <f>IF(B625="","",COUNTA($B$4:B625))</f>
        <v/>
      </c>
      <c r="B625" s="12"/>
      <c r="C625" s="12"/>
      <c r="D625" s="12"/>
      <c r="E625" s="12"/>
      <c r="F625" s="12"/>
      <c r="G625" s="12"/>
      <c r="H625" s="12"/>
      <c r="I625" s="13"/>
      <c r="J625" s="12"/>
    </row>
    <row r="626" spans="1:10">
      <c r="A626" s="12" t="str">
        <f>IF(B626="","",COUNTA($B$4:B626))</f>
        <v/>
      </c>
      <c r="B626" s="12"/>
      <c r="C626" s="12"/>
      <c r="D626" s="12"/>
      <c r="E626" s="12"/>
      <c r="F626" s="12"/>
      <c r="G626" s="12"/>
      <c r="H626" s="12"/>
      <c r="I626" s="13"/>
      <c r="J626" s="12"/>
    </row>
    <row r="627" spans="1:10">
      <c r="A627" s="12" t="str">
        <f>IF(B627="","",COUNTA($B$4:B627))</f>
        <v/>
      </c>
      <c r="B627" s="12"/>
      <c r="C627" s="12"/>
      <c r="D627" s="12"/>
      <c r="E627" s="12"/>
      <c r="F627" s="12"/>
      <c r="G627" s="12"/>
      <c r="H627" s="12"/>
      <c r="I627" s="13"/>
      <c r="J627" s="12"/>
    </row>
    <row r="628" spans="1:10">
      <c r="A628" s="12" t="str">
        <f>IF(B628="","",COUNTA($B$4:B628))</f>
        <v/>
      </c>
      <c r="B628" s="12"/>
      <c r="C628" s="12"/>
      <c r="D628" s="12"/>
      <c r="E628" s="12"/>
      <c r="F628" s="12"/>
      <c r="G628" s="12"/>
      <c r="H628" s="12"/>
      <c r="I628" s="13"/>
      <c r="J628" s="12"/>
    </row>
    <row r="629" spans="1:10">
      <c r="A629" s="12" t="str">
        <f>IF(B629="","",COUNTA($B$4:B629))</f>
        <v/>
      </c>
      <c r="B629" s="12"/>
      <c r="C629" s="12"/>
      <c r="D629" s="12"/>
      <c r="E629" s="12"/>
      <c r="F629" s="12"/>
      <c r="G629" s="12"/>
      <c r="H629" s="12"/>
      <c r="I629" s="13"/>
      <c r="J629" s="12"/>
    </row>
    <row r="630" spans="1:10">
      <c r="A630" s="12" t="str">
        <f>IF(B630="","",COUNTA($B$4:B630))</f>
        <v/>
      </c>
      <c r="B630" s="12"/>
      <c r="C630" s="12"/>
      <c r="D630" s="12"/>
      <c r="E630" s="12"/>
      <c r="F630" s="12"/>
      <c r="G630" s="12"/>
      <c r="H630" s="12"/>
      <c r="I630" s="13"/>
      <c r="J630" s="12"/>
    </row>
    <row r="631" spans="1:10">
      <c r="A631" s="12" t="str">
        <f>IF(B631="","",COUNTA($B$4:B631))</f>
        <v/>
      </c>
      <c r="B631" s="12"/>
      <c r="C631" s="12"/>
      <c r="D631" s="12"/>
      <c r="E631" s="12"/>
      <c r="F631" s="12"/>
      <c r="G631" s="12"/>
      <c r="H631" s="12"/>
      <c r="I631" s="13"/>
      <c r="J631" s="12"/>
    </row>
    <row r="632" spans="1:10">
      <c r="A632" s="12" t="str">
        <f>IF(B632="","",COUNTA($B$4:B632))</f>
        <v/>
      </c>
      <c r="B632" s="12"/>
      <c r="C632" s="12"/>
      <c r="D632" s="12"/>
      <c r="E632" s="12"/>
      <c r="F632" s="12"/>
      <c r="G632" s="12"/>
      <c r="H632" s="12"/>
      <c r="I632" s="13"/>
      <c r="J632" s="12"/>
    </row>
    <row r="633" spans="1:10">
      <c r="A633" s="12" t="str">
        <f>IF(B633="","",COUNTA($B$4:B633))</f>
        <v/>
      </c>
      <c r="B633" s="12"/>
      <c r="C633" s="12"/>
      <c r="D633" s="12"/>
      <c r="E633" s="12"/>
      <c r="F633" s="12"/>
      <c r="G633" s="12"/>
      <c r="H633" s="12"/>
      <c r="I633" s="13"/>
      <c r="J633" s="12"/>
    </row>
    <row r="634" spans="1:10">
      <c r="A634" s="12" t="str">
        <f>IF(B634="","",COUNTA($B$4:B634))</f>
        <v/>
      </c>
      <c r="B634" s="12"/>
      <c r="C634" s="12"/>
      <c r="D634" s="12"/>
      <c r="E634" s="12"/>
      <c r="F634" s="12"/>
      <c r="G634" s="12"/>
      <c r="H634" s="12"/>
      <c r="I634" s="13"/>
      <c r="J634" s="12"/>
    </row>
    <row r="635" spans="1:10">
      <c r="A635" s="12" t="str">
        <f>IF(B635="","",COUNTA($B$4:B635))</f>
        <v/>
      </c>
      <c r="B635" s="12"/>
      <c r="C635" s="12"/>
      <c r="D635" s="12"/>
      <c r="E635" s="12"/>
      <c r="F635" s="12"/>
      <c r="G635" s="12"/>
      <c r="H635" s="12"/>
      <c r="I635" s="13"/>
      <c r="J635" s="12"/>
    </row>
    <row r="636" spans="1:10">
      <c r="A636" s="12" t="str">
        <f>IF(B636="","",COUNTA($B$4:B636))</f>
        <v/>
      </c>
      <c r="B636" s="12"/>
      <c r="C636" s="12"/>
      <c r="D636" s="12"/>
      <c r="E636" s="12"/>
      <c r="F636" s="12"/>
      <c r="G636" s="12"/>
      <c r="H636" s="12"/>
      <c r="I636" s="13"/>
      <c r="J636" s="12"/>
    </row>
    <row r="637" spans="1:10">
      <c r="A637" s="12" t="str">
        <f>IF(B637="","",COUNTA($B$4:B637))</f>
        <v/>
      </c>
      <c r="B637" s="12"/>
      <c r="C637" s="12"/>
      <c r="D637" s="12"/>
      <c r="E637" s="12"/>
      <c r="F637" s="12"/>
      <c r="G637" s="12"/>
      <c r="H637" s="12"/>
      <c r="I637" s="13"/>
      <c r="J637" s="12"/>
    </row>
    <row r="638" spans="1:10">
      <c r="A638" s="12" t="str">
        <f>IF(B638="","",COUNTA($B$4:B638))</f>
        <v/>
      </c>
      <c r="B638" s="12"/>
      <c r="C638" s="12"/>
      <c r="D638" s="12"/>
      <c r="E638" s="12"/>
      <c r="F638" s="12"/>
      <c r="G638" s="12"/>
      <c r="H638" s="12"/>
      <c r="I638" s="13"/>
      <c r="J638" s="12"/>
    </row>
    <row r="639" spans="1:10">
      <c r="A639" s="12" t="str">
        <f>IF(B639="","",COUNTA($B$4:B639))</f>
        <v/>
      </c>
      <c r="B639" s="12"/>
      <c r="C639" s="12"/>
      <c r="D639" s="12"/>
      <c r="E639" s="12"/>
      <c r="F639" s="12"/>
      <c r="G639" s="12"/>
      <c r="H639" s="12"/>
      <c r="I639" s="13"/>
      <c r="J639" s="12"/>
    </row>
    <row r="640" spans="1:10">
      <c r="A640" s="12" t="str">
        <f>IF(B640="","",COUNTA($B$4:B640))</f>
        <v/>
      </c>
      <c r="B640" s="12"/>
      <c r="C640" s="12"/>
      <c r="D640" s="12"/>
      <c r="E640" s="12"/>
      <c r="F640" s="12"/>
      <c r="G640" s="12"/>
      <c r="H640" s="12"/>
      <c r="I640" s="13"/>
      <c r="J640" s="12"/>
    </row>
    <row r="641" spans="1:10">
      <c r="A641" s="12" t="str">
        <f>IF(B641="","",COUNTA($B$4:B641))</f>
        <v/>
      </c>
      <c r="B641" s="12"/>
      <c r="C641" s="12"/>
      <c r="D641" s="12"/>
      <c r="E641" s="12"/>
      <c r="F641" s="12"/>
      <c r="G641" s="12"/>
      <c r="H641" s="12"/>
      <c r="I641" s="13"/>
      <c r="J641" s="12"/>
    </row>
    <row r="642" spans="1:10">
      <c r="A642" s="12" t="str">
        <f>IF(B642="","",COUNTA($B$4:B642))</f>
        <v/>
      </c>
      <c r="B642" s="12"/>
      <c r="C642" s="12"/>
      <c r="D642" s="12"/>
      <c r="E642" s="12"/>
      <c r="F642" s="12"/>
      <c r="G642" s="12"/>
      <c r="H642" s="12"/>
      <c r="I642" s="13"/>
      <c r="J642" s="12"/>
    </row>
    <row r="643" spans="1:10">
      <c r="A643" s="12" t="str">
        <f>IF(B643="","",COUNTA($B$4:B643))</f>
        <v/>
      </c>
      <c r="B643" s="12"/>
      <c r="C643" s="12"/>
      <c r="D643" s="12"/>
      <c r="E643" s="12"/>
      <c r="F643" s="12"/>
      <c r="G643" s="12"/>
      <c r="H643" s="12"/>
      <c r="I643" s="13"/>
      <c r="J643" s="12"/>
    </row>
    <row r="644" spans="1:10">
      <c r="A644" s="12" t="str">
        <f>IF(B644="","",COUNTA($B$4:B644))</f>
        <v/>
      </c>
      <c r="B644" s="12"/>
      <c r="C644" s="12"/>
      <c r="D644" s="12"/>
      <c r="E644" s="12"/>
      <c r="F644" s="12"/>
      <c r="G644" s="12"/>
      <c r="H644" s="12"/>
      <c r="I644" s="13"/>
      <c r="J644" s="12"/>
    </row>
    <row r="645" spans="1:10">
      <c r="A645" s="12" t="str">
        <f>IF(B645="","",COUNTA($B$4:B645))</f>
        <v/>
      </c>
      <c r="B645" s="12"/>
      <c r="C645" s="12"/>
      <c r="D645" s="12"/>
      <c r="E645" s="12"/>
      <c r="F645" s="12"/>
      <c r="G645" s="12"/>
      <c r="H645" s="12"/>
      <c r="I645" s="13"/>
      <c r="J645" s="12"/>
    </row>
    <row r="646" spans="1:10">
      <c r="A646" s="12" t="str">
        <f>IF(B646="","",COUNTA($B$4:B646))</f>
        <v/>
      </c>
      <c r="B646" s="12"/>
      <c r="C646" s="12"/>
      <c r="D646" s="12"/>
      <c r="E646" s="12"/>
      <c r="F646" s="12"/>
      <c r="G646" s="12"/>
      <c r="H646" s="12"/>
      <c r="I646" s="13"/>
      <c r="J646" s="12"/>
    </row>
    <row r="647" spans="1:10">
      <c r="A647" s="12" t="str">
        <f>IF(B647="","",COUNTA($B$4:B647))</f>
        <v/>
      </c>
      <c r="B647" s="12"/>
      <c r="C647" s="12"/>
      <c r="D647" s="12"/>
      <c r="E647" s="12"/>
      <c r="F647" s="12"/>
      <c r="G647" s="12"/>
      <c r="H647" s="12"/>
      <c r="I647" s="13"/>
      <c r="J647" s="12"/>
    </row>
    <row r="648" spans="1:10">
      <c r="A648" s="12" t="str">
        <f>IF(B648="","",COUNTA($B$4:B648))</f>
        <v/>
      </c>
      <c r="B648" s="12"/>
      <c r="C648" s="12"/>
      <c r="D648" s="12"/>
      <c r="E648" s="12"/>
      <c r="F648" s="12"/>
      <c r="G648" s="12"/>
      <c r="H648" s="12"/>
      <c r="I648" s="13"/>
      <c r="J648" s="12"/>
    </row>
    <row r="649" spans="1:10">
      <c r="A649" s="12" t="str">
        <f>IF(B649="","",COUNTA($B$4:B649))</f>
        <v/>
      </c>
      <c r="B649" s="12"/>
      <c r="C649" s="12"/>
      <c r="D649" s="12"/>
      <c r="E649" s="12"/>
      <c r="F649" s="12"/>
      <c r="G649" s="12"/>
      <c r="H649" s="12"/>
      <c r="I649" s="13"/>
      <c r="J649" s="12"/>
    </row>
    <row r="650" spans="1:10">
      <c r="A650" s="12" t="str">
        <f>IF(B650="","",COUNTA($B$4:B650))</f>
        <v/>
      </c>
      <c r="B650" s="12"/>
      <c r="C650" s="12"/>
      <c r="D650" s="12"/>
      <c r="E650" s="12"/>
      <c r="F650" s="12"/>
      <c r="G650" s="12"/>
      <c r="H650" s="12"/>
      <c r="I650" s="13"/>
      <c r="J650" s="12"/>
    </row>
    <row r="651" spans="1:10">
      <c r="A651" s="12" t="str">
        <f>IF(B651="","",COUNTA($B$4:B651))</f>
        <v/>
      </c>
      <c r="B651" s="12"/>
      <c r="C651" s="12"/>
      <c r="D651" s="12"/>
      <c r="E651" s="12"/>
      <c r="F651" s="12"/>
      <c r="G651" s="12"/>
      <c r="H651" s="12"/>
      <c r="I651" s="13"/>
      <c r="J651" s="12"/>
    </row>
    <row r="652" spans="1:10">
      <c r="A652" s="12" t="str">
        <f>IF(B652="","",COUNTA($B$4:B652))</f>
        <v/>
      </c>
      <c r="B652" s="12"/>
      <c r="C652" s="12"/>
      <c r="D652" s="12"/>
      <c r="E652" s="12"/>
      <c r="F652" s="12"/>
      <c r="G652" s="12"/>
      <c r="H652" s="12"/>
      <c r="I652" s="13"/>
      <c r="J652" s="12"/>
    </row>
    <row r="653" spans="1:10">
      <c r="A653" s="12" t="str">
        <f>IF(B653="","",COUNTA($B$4:B653))</f>
        <v/>
      </c>
      <c r="B653" s="12"/>
      <c r="C653" s="12"/>
      <c r="D653" s="12"/>
      <c r="E653" s="12"/>
      <c r="F653" s="12"/>
      <c r="G653" s="12"/>
      <c r="H653" s="12"/>
      <c r="I653" s="13"/>
      <c r="J653" s="12"/>
    </row>
    <row r="654" spans="1:10">
      <c r="A654" s="12" t="str">
        <f>IF(B654="","",COUNTA($B$4:B654))</f>
        <v/>
      </c>
      <c r="B654" s="12"/>
      <c r="C654" s="12"/>
      <c r="D654" s="12"/>
      <c r="E654" s="12"/>
      <c r="F654" s="12"/>
      <c r="G654" s="12"/>
      <c r="H654" s="12"/>
      <c r="I654" s="13"/>
      <c r="J654" s="12"/>
    </row>
    <row r="655" spans="1:10">
      <c r="A655" s="12" t="str">
        <f>IF(B655="","",COUNTA($B$4:B655))</f>
        <v/>
      </c>
      <c r="B655" s="12"/>
      <c r="C655" s="12"/>
      <c r="D655" s="12"/>
      <c r="E655" s="12"/>
      <c r="F655" s="12"/>
      <c r="G655" s="12"/>
      <c r="H655" s="12"/>
      <c r="I655" s="13"/>
      <c r="J655" s="12"/>
    </row>
    <row r="656" spans="1:10">
      <c r="A656" s="12" t="str">
        <f>IF(B656="","",COUNTA($B$4:B656))</f>
        <v/>
      </c>
      <c r="B656" s="12"/>
      <c r="C656" s="12"/>
      <c r="D656" s="12"/>
      <c r="E656" s="12"/>
      <c r="F656" s="12"/>
      <c r="G656" s="12"/>
      <c r="H656" s="12"/>
      <c r="I656" s="13"/>
      <c r="J656" s="12"/>
    </row>
    <row r="657" spans="1:10">
      <c r="A657" s="12" t="str">
        <f>IF(B657="","",COUNTA($B$4:B657))</f>
        <v/>
      </c>
      <c r="B657" s="12"/>
      <c r="C657" s="12"/>
      <c r="D657" s="12"/>
      <c r="E657" s="12"/>
      <c r="F657" s="12"/>
      <c r="G657" s="12"/>
      <c r="H657" s="12"/>
      <c r="I657" s="13"/>
      <c r="J657" s="12"/>
    </row>
    <row r="658" spans="1:10">
      <c r="A658" s="12" t="str">
        <f>IF(B658="","",COUNTA($B$4:B658))</f>
        <v/>
      </c>
      <c r="B658" s="12"/>
      <c r="C658" s="12"/>
      <c r="D658" s="12"/>
      <c r="E658" s="12"/>
      <c r="F658" s="12"/>
      <c r="G658" s="12"/>
      <c r="H658" s="12"/>
      <c r="I658" s="13"/>
      <c r="J658" s="12"/>
    </row>
    <row r="659" spans="1:10">
      <c r="A659" s="12" t="str">
        <f>IF(B659="","",COUNTA($B$4:B659))</f>
        <v/>
      </c>
      <c r="B659" s="12"/>
      <c r="C659" s="12"/>
      <c r="D659" s="12"/>
      <c r="E659" s="12"/>
      <c r="F659" s="12"/>
      <c r="G659" s="12"/>
      <c r="H659" s="12"/>
      <c r="I659" s="13"/>
      <c r="J659" s="12"/>
    </row>
    <row r="660" spans="1:10">
      <c r="A660" s="12" t="str">
        <f>IF(B660="","",COUNTA($B$4:B660))</f>
        <v/>
      </c>
      <c r="B660" s="12"/>
      <c r="C660" s="12"/>
      <c r="D660" s="12"/>
      <c r="E660" s="12"/>
      <c r="F660" s="12"/>
      <c r="G660" s="12"/>
      <c r="H660" s="12"/>
      <c r="I660" s="13"/>
      <c r="J660" s="12"/>
    </row>
    <row r="661" spans="1:10">
      <c r="A661" s="12" t="str">
        <f>IF(B661="","",COUNTA($B$4:B661))</f>
        <v/>
      </c>
      <c r="B661" s="12"/>
      <c r="C661" s="12"/>
      <c r="D661" s="12"/>
      <c r="E661" s="12"/>
      <c r="F661" s="12"/>
      <c r="G661" s="12"/>
      <c r="H661" s="12"/>
      <c r="I661" s="13"/>
      <c r="J661" s="12"/>
    </row>
    <row r="662" spans="1:10">
      <c r="A662" s="12" t="str">
        <f>IF(B662="","",COUNTA($B$4:B662))</f>
        <v/>
      </c>
      <c r="B662" s="12"/>
      <c r="C662" s="12"/>
      <c r="D662" s="12"/>
      <c r="E662" s="12"/>
      <c r="F662" s="12"/>
      <c r="G662" s="12"/>
      <c r="H662" s="12"/>
      <c r="I662" s="13"/>
      <c r="J662" s="12"/>
    </row>
    <row r="663" spans="1:10">
      <c r="A663" s="12" t="str">
        <f>IF(B663="","",COUNTA($B$4:B663))</f>
        <v/>
      </c>
      <c r="B663" s="12"/>
      <c r="C663" s="12"/>
      <c r="D663" s="12"/>
      <c r="E663" s="12"/>
      <c r="F663" s="12"/>
      <c r="G663" s="12"/>
      <c r="H663" s="12"/>
      <c r="I663" s="13"/>
      <c r="J663" s="12"/>
    </row>
    <row r="664" spans="1:10">
      <c r="A664" s="12" t="str">
        <f>IF(B664="","",COUNTA($B$4:B664))</f>
        <v/>
      </c>
      <c r="B664" s="12"/>
      <c r="C664" s="12"/>
      <c r="D664" s="12"/>
      <c r="E664" s="12"/>
      <c r="F664" s="12"/>
      <c r="G664" s="12"/>
      <c r="H664" s="12"/>
      <c r="I664" s="13"/>
      <c r="J664" s="12"/>
    </row>
    <row r="665" spans="1:10">
      <c r="A665" s="12" t="str">
        <f>IF(B665="","",COUNTA($B$4:B665))</f>
        <v/>
      </c>
      <c r="B665" s="12"/>
      <c r="C665" s="12"/>
      <c r="D665" s="12"/>
      <c r="E665" s="12"/>
      <c r="F665" s="12"/>
      <c r="G665" s="12"/>
      <c r="H665" s="12"/>
      <c r="I665" s="13"/>
      <c r="J665" s="12"/>
    </row>
    <row r="666" spans="1:10">
      <c r="A666" s="12" t="str">
        <f>IF(B666="","",COUNTA($B$4:B666))</f>
        <v/>
      </c>
      <c r="B666" s="12"/>
      <c r="C666" s="12"/>
      <c r="D666" s="12"/>
      <c r="E666" s="12"/>
      <c r="F666" s="12"/>
      <c r="G666" s="12"/>
      <c r="H666" s="12"/>
      <c r="I666" s="13"/>
      <c r="J666" s="12"/>
    </row>
    <row r="667" spans="1:10">
      <c r="A667" s="12" t="str">
        <f>IF(B667="","",COUNTA($B$4:B667))</f>
        <v/>
      </c>
      <c r="B667" s="12"/>
      <c r="C667" s="12"/>
      <c r="D667" s="12"/>
      <c r="E667" s="12"/>
      <c r="F667" s="12"/>
      <c r="G667" s="12"/>
      <c r="H667" s="12"/>
      <c r="I667" s="13"/>
      <c r="J667" s="12"/>
    </row>
    <row r="668" spans="1:10">
      <c r="A668" s="12" t="str">
        <f>IF(B668="","",COUNTA($B$4:B668))</f>
        <v/>
      </c>
      <c r="B668" s="12"/>
      <c r="C668" s="12"/>
      <c r="D668" s="12"/>
      <c r="E668" s="12"/>
      <c r="F668" s="12"/>
      <c r="G668" s="12"/>
      <c r="H668" s="12"/>
      <c r="I668" s="13"/>
      <c r="J668" s="12"/>
    </row>
    <row r="669" spans="1:10">
      <c r="A669" s="12" t="str">
        <f>IF(B669="","",COUNTA($B$4:B669))</f>
        <v/>
      </c>
      <c r="B669" s="12"/>
      <c r="C669" s="12"/>
      <c r="D669" s="12"/>
      <c r="E669" s="12"/>
      <c r="F669" s="12"/>
      <c r="G669" s="12"/>
      <c r="H669" s="12"/>
      <c r="I669" s="13"/>
      <c r="J669" s="12"/>
    </row>
    <row r="670" spans="1:10">
      <c r="A670" s="12" t="str">
        <f>IF(B670="","",COUNTA($B$4:B670))</f>
        <v/>
      </c>
      <c r="B670" s="12"/>
      <c r="C670" s="12"/>
      <c r="D670" s="12"/>
      <c r="E670" s="12"/>
      <c r="F670" s="12"/>
      <c r="G670" s="12"/>
      <c r="H670" s="12"/>
      <c r="I670" s="13"/>
      <c r="J670" s="12"/>
    </row>
    <row r="671" spans="1:10">
      <c r="A671" s="12" t="str">
        <f>IF(B671="","",COUNTA($B$4:B671))</f>
        <v/>
      </c>
      <c r="B671" s="12"/>
      <c r="C671" s="12"/>
      <c r="D671" s="12"/>
      <c r="E671" s="12"/>
      <c r="F671" s="12"/>
      <c r="G671" s="12"/>
      <c r="H671" s="12"/>
      <c r="I671" s="13"/>
      <c r="J671" s="12"/>
    </row>
    <row r="672" spans="1:10">
      <c r="A672" s="12" t="str">
        <f>IF(B672="","",COUNTA($B$4:B672))</f>
        <v/>
      </c>
      <c r="B672" s="12"/>
      <c r="C672" s="12"/>
      <c r="D672" s="12"/>
      <c r="E672" s="12"/>
      <c r="F672" s="12"/>
      <c r="G672" s="12"/>
      <c r="H672" s="12"/>
      <c r="I672" s="13"/>
      <c r="J672" s="12"/>
    </row>
    <row r="673" spans="1:10">
      <c r="A673" s="12" t="str">
        <f>IF(B673="","",COUNTA($B$4:B673))</f>
        <v/>
      </c>
      <c r="B673" s="12"/>
      <c r="C673" s="12"/>
      <c r="D673" s="12"/>
      <c r="E673" s="12"/>
      <c r="F673" s="12"/>
      <c r="G673" s="12"/>
      <c r="H673" s="12"/>
      <c r="I673" s="13"/>
      <c r="J673" s="12"/>
    </row>
    <row r="674" spans="1:10">
      <c r="A674" s="12" t="str">
        <f>IF(B674="","",COUNTA($B$4:B674))</f>
        <v/>
      </c>
      <c r="B674" s="12"/>
      <c r="C674" s="12"/>
      <c r="D674" s="12"/>
      <c r="E674" s="12"/>
      <c r="F674" s="12"/>
      <c r="G674" s="12"/>
      <c r="H674" s="12"/>
      <c r="I674" s="13"/>
      <c r="J674" s="12"/>
    </row>
    <row r="675" spans="1:10">
      <c r="A675" s="12" t="str">
        <f>IF(B675="","",COUNTA($B$4:B675))</f>
        <v/>
      </c>
      <c r="B675" s="12"/>
      <c r="C675" s="12"/>
      <c r="D675" s="12"/>
      <c r="E675" s="12"/>
      <c r="F675" s="12"/>
      <c r="G675" s="12"/>
      <c r="H675" s="12"/>
      <c r="I675" s="13"/>
      <c r="J675" s="12"/>
    </row>
    <row r="676" spans="1:10">
      <c r="A676" s="12" t="str">
        <f>IF(B676="","",COUNTA($B$4:B676))</f>
        <v/>
      </c>
      <c r="B676" s="12"/>
      <c r="C676" s="12"/>
      <c r="D676" s="12"/>
      <c r="E676" s="12"/>
      <c r="F676" s="12"/>
      <c r="G676" s="12"/>
      <c r="H676" s="12"/>
      <c r="I676" s="13"/>
      <c r="J676" s="12"/>
    </row>
    <row r="677" spans="1:10">
      <c r="A677" s="12" t="str">
        <f>IF(B677="","",COUNTA($B$4:B677))</f>
        <v/>
      </c>
      <c r="B677" s="12"/>
      <c r="C677" s="12"/>
      <c r="D677" s="12"/>
      <c r="E677" s="12"/>
      <c r="F677" s="12"/>
      <c r="G677" s="12"/>
      <c r="H677" s="12"/>
      <c r="I677" s="13"/>
      <c r="J677" s="12"/>
    </row>
    <row r="678" spans="1:10">
      <c r="A678" s="12" t="str">
        <f>IF(B678="","",COUNTA($B$4:B678))</f>
        <v/>
      </c>
      <c r="B678" s="12"/>
      <c r="C678" s="12"/>
      <c r="D678" s="12"/>
      <c r="E678" s="12"/>
      <c r="F678" s="12"/>
      <c r="G678" s="12"/>
      <c r="H678" s="12"/>
      <c r="I678" s="13"/>
      <c r="J678" s="12"/>
    </row>
    <row r="679" spans="1:10">
      <c r="A679" s="12" t="str">
        <f>IF(B679="","",COUNTA($B$4:B679))</f>
        <v/>
      </c>
      <c r="B679" s="12"/>
      <c r="C679" s="12"/>
      <c r="D679" s="12"/>
      <c r="E679" s="12"/>
      <c r="F679" s="12"/>
      <c r="G679" s="12"/>
      <c r="H679" s="12"/>
      <c r="I679" s="13"/>
      <c r="J679" s="12"/>
    </row>
    <row r="680" spans="1:10">
      <c r="A680" s="12" t="str">
        <f>IF(B680="","",COUNTA($B$4:B680))</f>
        <v/>
      </c>
      <c r="B680" s="12"/>
      <c r="C680" s="12"/>
      <c r="D680" s="12"/>
      <c r="E680" s="12"/>
      <c r="F680" s="12"/>
      <c r="G680" s="12"/>
      <c r="H680" s="12"/>
      <c r="I680" s="13"/>
      <c r="J680" s="12"/>
    </row>
    <row r="681" spans="1:10">
      <c r="A681" s="12" t="str">
        <f>IF(B681="","",COUNTA($B$4:B681))</f>
        <v/>
      </c>
      <c r="B681" s="12"/>
      <c r="C681" s="12"/>
      <c r="D681" s="12"/>
      <c r="E681" s="12"/>
      <c r="F681" s="12"/>
      <c r="G681" s="12"/>
      <c r="H681" s="12"/>
      <c r="I681" s="13"/>
      <c r="J681" s="12"/>
    </row>
    <row r="682" spans="1:10">
      <c r="A682" s="12" t="str">
        <f>IF(B682="","",COUNTA($B$4:B682))</f>
        <v/>
      </c>
      <c r="B682" s="12"/>
      <c r="C682" s="12"/>
      <c r="D682" s="12"/>
      <c r="E682" s="12"/>
      <c r="F682" s="12"/>
      <c r="G682" s="12"/>
      <c r="H682" s="12"/>
      <c r="I682" s="13"/>
      <c r="J682" s="12"/>
    </row>
    <row r="683" spans="1:10">
      <c r="A683" s="12" t="str">
        <f>IF(B683="","",COUNTA($B$4:B683))</f>
        <v/>
      </c>
      <c r="B683" s="12"/>
      <c r="C683" s="12"/>
      <c r="D683" s="12"/>
      <c r="E683" s="12"/>
      <c r="F683" s="12"/>
      <c r="G683" s="12"/>
      <c r="H683" s="12"/>
      <c r="I683" s="13"/>
      <c r="J683" s="12"/>
    </row>
    <row r="684" spans="1:10">
      <c r="A684" s="12" t="str">
        <f>IF(B684="","",COUNTA($B$4:B684))</f>
        <v/>
      </c>
      <c r="B684" s="12"/>
      <c r="C684" s="12"/>
      <c r="D684" s="12"/>
      <c r="E684" s="12"/>
      <c r="F684" s="12"/>
      <c r="G684" s="12"/>
      <c r="H684" s="12"/>
      <c r="I684" s="13"/>
      <c r="J684" s="12"/>
    </row>
    <row r="685" spans="1:10">
      <c r="A685" s="12" t="str">
        <f>IF(B685="","",COUNTA($B$4:B685))</f>
        <v/>
      </c>
      <c r="B685" s="12"/>
      <c r="C685" s="12"/>
      <c r="D685" s="12"/>
      <c r="E685" s="12"/>
      <c r="F685" s="12"/>
      <c r="G685" s="12"/>
      <c r="H685" s="12"/>
      <c r="I685" s="13"/>
      <c r="J685" s="12"/>
    </row>
    <row r="686" spans="1:10">
      <c r="A686" s="12" t="str">
        <f>IF(B686="","",COUNTA($B$4:B686))</f>
        <v/>
      </c>
      <c r="B686" s="12"/>
      <c r="C686" s="12"/>
      <c r="D686" s="12"/>
      <c r="E686" s="12"/>
      <c r="F686" s="12"/>
      <c r="G686" s="12"/>
      <c r="H686" s="12"/>
      <c r="I686" s="13"/>
      <c r="J686" s="12"/>
    </row>
    <row r="687" spans="1:10">
      <c r="A687" s="12" t="str">
        <f>IF(B687="","",COUNTA($B$4:B687))</f>
        <v/>
      </c>
      <c r="B687" s="12"/>
      <c r="C687" s="12"/>
      <c r="D687" s="12"/>
      <c r="E687" s="12"/>
      <c r="F687" s="12"/>
      <c r="G687" s="12"/>
      <c r="H687" s="12"/>
      <c r="I687" s="13"/>
      <c r="J687" s="12"/>
    </row>
    <row r="688" spans="1:10">
      <c r="A688" s="12" t="str">
        <f>IF(B688="","",COUNTA($B$4:B688))</f>
        <v/>
      </c>
      <c r="B688" s="12"/>
      <c r="C688" s="12"/>
      <c r="D688" s="12"/>
      <c r="E688" s="12"/>
      <c r="F688" s="12"/>
      <c r="G688" s="12"/>
      <c r="H688" s="12"/>
      <c r="I688" s="13"/>
      <c r="J688" s="12"/>
    </row>
    <row r="689" spans="1:10">
      <c r="A689" s="12" t="str">
        <f>IF(B689="","",COUNTA($B$4:B689))</f>
        <v/>
      </c>
      <c r="B689" s="12"/>
      <c r="C689" s="12"/>
      <c r="D689" s="12"/>
      <c r="E689" s="12"/>
      <c r="F689" s="12"/>
      <c r="G689" s="12"/>
      <c r="H689" s="12"/>
      <c r="I689" s="13"/>
      <c r="J689" s="12"/>
    </row>
    <row r="690" spans="1:10">
      <c r="A690" s="12" t="str">
        <f>IF(B690="","",COUNTA($B$4:B690))</f>
        <v/>
      </c>
      <c r="B690" s="12"/>
      <c r="C690" s="12"/>
      <c r="D690" s="12"/>
      <c r="E690" s="12"/>
      <c r="F690" s="12"/>
      <c r="G690" s="12"/>
      <c r="H690" s="12"/>
      <c r="I690" s="13"/>
      <c r="J690" s="12"/>
    </row>
    <row r="691" spans="1:10">
      <c r="A691" s="12" t="str">
        <f>IF(B691="","",COUNTA($B$4:B691))</f>
        <v/>
      </c>
      <c r="B691" s="12"/>
      <c r="C691" s="12"/>
      <c r="D691" s="12"/>
      <c r="E691" s="12"/>
      <c r="F691" s="12"/>
      <c r="G691" s="12"/>
      <c r="H691" s="12"/>
      <c r="I691" s="13"/>
      <c r="J691" s="12"/>
    </row>
    <row r="692" spans="1:10">
      <c r="A692" s="12" t="str">
        <f>IF(B692="","",COUNTA($B$4:B692))</f>
        <v/>
      </c>
      <c r="B692" s="12"/>
      <c r="C692" s="12"/>
      <c r="D692" s="12"/>
      <c r="E692" s="12"/>
      <c r="F692" s="12"/>
      <c r="G692" s="12"/>
      <c r="H692" s="12"/>
      <c r="I692" s="13"/>
      <c r="J692" s="12"/>
    </row>
    <row r="693" spans="1:10">
      <c r="A693" s="12" t="str">
        <f>IF(B693="","",COUNTA($B$4:B693))</f>
        <v/>
      </c>
      <c r="B693" s="12"/>
      <c r="C693" s="12"/>
      <c r="D693" s="12"/>
      <c r="E693" s="12"/>
      <c r="F693" s="12"/>
      <c r="G693" s="12"/>
      <c r="H693" s="12"/>
      <c r="I693" s="13"/>
      <c r="J693" s="12"/>
    </row>
    <row r="694" spans="1:10">
      <c r="A694" s="12" t="str">
        <f>IF(B694="","",COUNTA($B$4:B694))</f>
        <v/>
      </c>
      <c r="B694" s="12"/>
      <c r="C694" s="12"/>
      <c r="D694" s="12"/>
      <c r="E694" s="12"/>
      <c r="F694" s="12"/>
      <c r="G694" s="12"/>
      <c r="H694" s="12"/>
      <c r="I694" s="13"/>
      <c r="J694" s="12"/>
    </row>
    <row r="695" spans="1:10">
      <c r="A695" s="12" t="str">
        <f>IF(B695="","",COUNTA($B$4:B695))</f>
        <v/>
      </c>
      <c r="B695" s="12"/>
      <c r="C695" s="12"/>
      <c r="D695" s="12"/>
      <c r="E695" s="12"/>
      <c r="F695" s="12"/>
      <c r="G695" s="12"/>
      <c r="H695" s="12"/>
      <c r="I695" s="13"/>
      <c r="J695" s="12"/>
    </row>
    <row r="696" spans="1:10">
      <c r="A696" s="12" t="str">
        <f>IF(B696="","",COUNTA($B$4:B696))</f>
        <v/>
      </c>
      <c r="B696" s="12"/>
      <c r="C696" s="12"/>
      <c r="D696" s="12"/>
      <c r="E696" s="12"/>
      <c r="F696" s="12"/>
      <c r="G696" s="12"/>
      <c r="H696" s="12"/>
      <c r="I696" s="13"/>
      <c r="J696" s="12"/>
    </row>
    <row r="697" spans="1:10">
      <c r="A697" s="12" t="str">
        <f>IF(B697="","",COUNTA($B$4:B697))</f>
        <v/>
      </c>
      <c r="B697" s="12"/>
      <c r="C697" s="12"/>
      <c r="D697" s="12"/>
      <c r="E697" s="12"/>
      <c r="F697" s="12"/>
      <c r="G697" s="12"/>
      <c r="H697" s="12"/>
      <c r="I697" s="13"/>
      <c r="J697" s="12"/>
    </row>
    <row r="698" spans="1:10">
      <c r="A698" s="12" t="str">
        <f>IF(B698="","",COUNTA($B$4:B698))</f>
        <v/>
      </c>
      <c r="B698" s="12"/>
      <c r="C698" s="12"/>
      <c r="D698" s="12"/>
      <c r="E698" s="12"/>
      <c r="F698" s="12"/>
      <c r="G698" s="12"/>
      <c r="H698" s="12"/>
      <c r="I698" s="13"/>
      <c r="J698" s="12"/>
    </row>
    <row r="699" spans="1:10">
      <c r="A699" s="12" t="str">
        <f>IF(B699="","",COUNTA($B$4:B699))</f>
        <v/>
      </c>
      <c r="B699" s="12"/>
      <c r="C699" s="12"/>
      <c r="D699" s="12"/>
      <c r="E699" s="12"/>
      <c r="F699" s="12"/>
      <c r="G699" s="12"/>
      <c r="H699" s="12"/>
      <c r="I699" s="13"/>
      <c r="J699" s="12"/>
    </row>
    <row r="700" spans="1:10">
      <c r="A700" s="12" t="str">
        <f>IF(B700="","",COUNTA($B$4:B700))</f>
        <v/>
      </c>
      <c r="B700" s="12"/>
      <c r="C700" s="12"/>
      <c r="D700" s="12"/>
      <c r="E700" s="12"/>
      <c r="F700" s="12"/>
      <c r="G700" s="12"/>
      <c r="H700" s="12"/>
      <c r="I700" s="13"/>
      <c r="J700" s="12"/>
    </row>
    <row r="701" spans="1:10">
      <c r="A701" s="12" t="str">
        <f>IF(B701="","",COUNTA($B$4:B701))</f>
        <v/>
      </c>
      <c r="B701" s="12"/>
      <c r="C701" s="12"/>
      <c r="D701" s="12"/>
      <c r="E701" s="12"/>
      <c r="F701" s="12"/>
      <c r="G701" s="12"/>
      <c r="H701" s="12"/>
      <c r="I701" s="13"/>
      <c r="J701" s="12"/>
    </row>
    <row r="702" spans="1:10">
      <c r="A702" s="12" t="str">
        <f>IF(B702="","",COUNTA($B$4:B702))</f>
        <v/>
      </c>
      <c r="B702" s="12"/>
      <c r="C702" s="12"/>
      <c r="D702" s="12"/>
      <c r="E702" s="12"/>
      <c r="F702" s="12"/>
      <c r="G702" s="12"/>
      <c r="H702" s="12"/>
      <c r="I702" s="13"/>
      <c r="J702" s="12"/>
    </row>
    <row r="703" spans="1:10">
      <c r="A703" s="12" t="str">
        <f>IF(B703="","",COUNTA($B$4:B703))</f>
        <v/>
      </c>
      <c r="B703" s="12"/>
      <c r="C703" s="12"/>
      <c r="D703" s="12"/>
      <c r="E703" s="12"/>
      <c r="F703" s="12"/>
      <c r="G703" s="12"/>
      <c r="H703" s="12"/>
      <c r="I703" s="13"/>
      <c r="J703" s="12"/>
    </row>
    <row r="704" spans="1:10">
      <c r="A704" s="12" t="str">
        <f>IF(B704="","",COUNTA($B$4:B704))</f>
        <v/>
      </c>
      <c r="B704" s="12"/>
      <c r="C704" s="12"/>
      <c r="D704" s="12"/>
      <c r="E704" s="12"/>
      <c r="F704" s="12"/>
      <c r="G704" s="12"/>
      <c r="H704" s="12"/>
      <c r="I704" s="13"/>
      <c r="J704" s="12"/>
    </row>
    <row r="705" spans="1:10">
      <c r="A705" s="12" t="str">
        <f>IF(B705="","",COUNTA($B$4:B705))</f>
        <v/>
      </c>
      <c r="B705" s="12"/>
      <c r="C705" s="12"/>
      <c r="D705" s="12"/>
      <c r="E705" s="12"/>
      <c r="F705" s="12"/>
      <c r="G705" s="12"/>
      <c r="H705" s="12"/>
      <c r="I705" s="13"/>
      <c r="J705" s="12"/>
    </row>
    <row r="706" spans="1:10">
      <c r="A706" s="12" t="str">
        <f>IF(B706="","",COUNTA($B$4:B706))</f>
        <v/>
      </c>
      <c r="B706" s="12"/>
      <c r="C706" s="12"/>
      <c r="D706" s="12"/>
      <c r="E706" s="12"/>
      <c r="F706" s="12"/>
      <c r="G706" s="12"/>
      <c r="H706" s="12"/>
      <c r="I706" s="13"/>
      <c r="J706" s="12"/>
    </row>
    <row r="707" spans="1:10">
      <c r="A707" s="12" t="str">
        <f>IF(B707="","",COUNTA($B$4:B707))</f>
        <v/>
      </c>
      <c r="B707" s="12"/>
      <c r="C707" s="12"/>
      <c r="D707" s="12"/>
      <c r="E707" s="12"/>
      <c r="F707" s="12"/>
      <c r="G707" s="12"/>
      <c r="H707" s="12"/>
      <c r="I707" s="13"/>
      <c r="J707" s="12"/>
    </row>
    <row r="708" spans="1:10">
      <c r="A708" s="12" t="str">
        <f>IF(B708="","",COUNTA($B$4:B708))</f>
        <v/>
      </c>
      <c r="B708" s="12"/>
      <c r="C708" s="12"/>
      <c r="D708" s="12"/>
      <c r="E708" s="12"/>
      <c r="F708" s="12"/>
      <c r="G708" s="12"/>
      <c r="H708" s="12"/>
      <c r="I708" s="13"/>
      <c r="J708" s="12"/>
    </row>
    <row r="709" spans="1:10">
      <c r="A709" s="12" t="str">
        <f>IF(B709="","",COUNTA($B$4:B709))</f>
        <v/>
      </c>
      <c r="B709" s="12"/>
      <c r="C709" s="12"/>
      <c r="D709" s="12"/>
      <c r="E709" s="12"/>
      <c r="F709" s="12"/>
      <c r="G709" s="12"/>
      <c r="H709" s="12"/>
      <c r="I709" s="13"/>
      <c r="J709" s="12"/>
    </row>
    <row r="710" spans="1:10">
      <c r="A710" s="12" t="str">
        <f>IF(B710="","",COUNTA($B$4:B710))</f>
        <v/>
      </c>
      <c r="B710" s="12"/>
      <c r="C710" s="12"/>
      <c r="D710" s="12"/>
      <c r="E710" s="12"/>
      <c r="F710" s="12"/>
      <c r="G710" s="12"/>
      <c r="H710" s="12"/>
      <c r="I710" s="13"/>
      <c r="J710" s="12"/>
    </row>
    <row r="711" spans="1:10">
      <c r="A711" s="12" t="str">
        <f>IF(B711="","",COUNTA($B$4:B711))</f>
        <v/>
      </c>
      <c r="B711" s="12"/>
      <c r="C711" s="12"/>
      <c r="D711" s="12"/>
      <c r="E711" s="12"/>
      <c r="F711" s="12"/>
      <c r="G711" s="12"/>
      <c r="H711" s="12"/>
      <c r="I711" s="13"/>
      <c r="J711" s="12"/>
    </row>
    <row r="712" spans="1:10">
      <c r="A712" s="12" t="str">
        <f>IF(B712="","",COUNTA($B$4:B712))</f>
        <v/>
      </c>
      <c r="B712" s="12"/>
      <c r="C712" s="12"/>
      <c r="D712" s="12"/>
      <c r="E712" s="12"/>
      <c r="F712" s="12"/>
      <c r="G712" s="12"/>
      <c r="H712" s="12"/>
      <c r="I712" s="13"/>
      <c r="J712" s="12"/>
    </row>
    <row r="713" spans="1:10">
      <c r="A713" s="12" t="str">
        <f>IF(B713="","",COUNTA($B$4:B713))</f>
        <v/>
      </c>
      <c r="B713" s="12"/>
      <c r="C713" s="12"/>
      <c r="D713" s="12"/>
      <c r="E713" s="12"/>
      <c r="F713" s="12"/>
      <c r="G713" s="12"/>
      <c r="H713" s="12"/>
      <c r="I713" s="13"/>
      <c r="J713" s="12"/>
    </row>
    <row r="714" spans="1:10">
      <c r="A714" s="12" t="str">
        <f>IF(B714="","",COUNTA($B$4:B714))</f>
        <v/>
      </c>
      <c r="B714" s="12"/>
      <c r="C714" s="12"/>
      <c r="D714" s="12"/>
      <c r="E714" s="12"/>
      <c r="F714" s="12"/>
      <c r="G714" s="12"/>
      <c r="H714" s="12"/>
      <c r="I714" s="13"/>
      <c r="J714" s="12"/>
    </row>
    <row r="715" spans="1:10">
      <c r="A715" s="12" t="str">
        <f>IF(B715="","",COUNTA($B$4:B715))</f>
        <v/>
      </c>
      <c r="B715" s="12"/>
      <c r="C715" s="12"/>
      <c r="D715" s="12"/>
      <c r="E715" s="12"/>
      <c r="F715" s="12"/>
      <c r="G715" s="12"/>
      <c r="H715" s="12"/>
      <c r="I715" s="13"/>
      <c r="J715" s="12"/>
    </row>
    <row r="716" spans="1:10">
      <c r="A716" s="12" t="str">
        <f>IF(B716="","",COUNTA($B$4:B716))</f>
        <v/>
      </c>
      <c r="B716" s="12"/>
      <c r="C716" s="12"/>
      <c r="D716" s="12"/>
      <c r="E716" s="12"/>
      <c r="F716" s="12"/>
      <c r="G716" s="12"/>
      <c r="H716" s="12"/>
      <c r="I716" s="13"/>
      <c r="J716" s="12"/>
    </row>
    <row r="717" spans="1:10">
      <c r="A717" s="12" t="str">
        <f>IF(B717="","",COUNTA($B$4:B717))</f>
        <v/>
      </c>
      <c r="B717" s="12"/>
      <c r="C717" s="12"/>
      <c r="D717" s="12"/>
      <c r="E717" s="12"/>
      <c r="F717" s="12"/>
      <c r="G717" s="12"/>
      <c r="H717" s="12"/>
      <c r="I717" s="13"/>
      <c r="J717" s="12"/>
    </row>
    <row r="718" spans="1:10">
      <c r="A718" s="12" t="str">
        <f>IF(B718="","",COUNTA($B$4:B718))</f>
        <v/>
      </c>
      <c r="B718" s="12"/>
      <c r="C718" s="12"/>
      <c r="D718" s="12"/>
      <c r="E718" s="12"/>
      <c r="F718" s="12"/>
      <c r="G718" s="12"/>
      <c r="H718" s="12"/>
      <c r="I718" s="13"/>
      <c r="J718" s="12"/>
    </row>
    <row r="719" spans="1:10">
      <c r="A719" s="12" t="str">
        <f>IF(B719="","",COUNTA($B$4:B719))</f>
        <v/>
      </c>
      <c r="B719" s="12"/>
      <c r="C719" s="12"/>
      <c r="D719" s="12"/>
      <c r="E719" s="12"/>
      <c r="F719" s="12"/>
      <c r="G719" s="12"/>
      <c r="H719" s="12"/>
      <c r="I719" s="13"/>
      <c r="J719" s="12"/>
    </row>
    <row r="720" spans="1:10">
      <c r="A720" s="12" t="str">
        <f>IF(B720="","",COUNTA($B$4:B720))</f>
        <v/>
      </c>
      <c r="B720" s="12"/>
      <c r="C720" s="12"/>
      <c r="D720" s="12"/>
      <c r="E720" s="12"/>
      <c r="F720" s="12"/>
      <c r="G720" s="12"/>
      <c r="H720" s="12"/>
      <c r="I720" s="13"/>
      <c r="J720" s="12"/>
    </row>
    <row r="721" spans="1:10">
      <c r="A721" s="12" t="str">
        <f>IF(B721="","",COUNTA($B$4:B721))</f>
        <v/>
      </c>
      <c r="B721" s="12"/>
      <c r="C721" s="12"/>
      <c r="D721" s="12"/>
      <c r="E721" s="12"/>
      <c r="F721" s="12"/>
      <c r="G721" s="12"/>
      <c r="H721" s="12"/>
      <c r="I721" s="13"/>
      <c r="J721" s="12"/>
    </row>
    <row r="722" spans="1:10">
      <c r="A722" s="12" t="str">
        <f>IF(B722="","",COUNTA($B$4:B722))</f>
        <v/>
      </c>
      <c r="B722" s="12"/>
      <c r="C722" s="12"/>
      <c r="D722" s="12"/>
      <c r="E722" s="12"/>
      <c r="F722" s="12"/>
      <c r="G722" s="12"/>
      <c r="H722" s="12"/>
      <c r="I722" s="13"/>
      <c r="J722" s="12"/>
    </row>
    <row r="723" spans="1:10">
      <c r="A723" s="12" t="str">
        <f>IF(B723="","",COUNTA($B$4:B723))</f>
        <v/>
      </c>
      <c r="B723" s="12"/>
      <c r="C723" s="12"/>
      <c r="D723" s="12"/>
      <c r="E723" s="12"/>
      <c r="F723" s="12"/>
      <c r="G723" s="12"/>
      <c r="H723" s="12"/>
      <c r="I723" s="13"/>
      <c r="J723" s="12"/>
    </row>
    <row r="724" spans="1:10">
      <c r="A724" s="12" t="str">
        <f>IF(B724="","",COUNTA($B$4:B724))</f>
        <v/>
      </c>
      <c r="B724" s="12"/>
      <c r="C724" s="12"/>
      <c r="D724" s="12"/>
      <c r="E724" s="12"/>
      <c r="F724" s="12"/>
      <c r="G724" s="12"/>
      <c r="H724" s="12"/>
      <c r="I724" s="13"/>
      <c r="J724" s="12"/>
    </row>
    <row r="725" spans="1:10">
      <c r="A725" s="12" t="str">
        <f>IF(B725="","",COUNTA($B$4:B725))</f>
        <v/>
      </c>
      <c r="B725" s="12"/>
      <c r="C725" s="12"/>
      <c r="D725" s="12"/>
      <c r="E725" s="12"/>
      <c r="F725" s="12"/>
      <c r="G725" s="12"/>
      <c r="H725" s="12"/>
      <c r="I725" s="13"/>
      <c r="J725" s="12"/>
    </row>
    <row r="726" spans="1:10">
      <c r="A726" s="12" t="str">
        <f>IF(B726="","",COUNTA($B$4:B726))</f>
        <v/>
      </c>
      <c r="B726" s="12"/>
      <c r="C726" s="12"/>
      <c r="D726" s="12"/>
      <c r="E726" s="12"/>
      <c r="F726" s="12"/>
      <c r="G726" s="12"/>
      <c r="H726" s="12"/>
      <c r="I726" s="13"/>
      <c r="J726" s="12"/>
    </row>
    <row r="727" spans="1:10">
      <c r="A727" s="12" t="str">
        <f>IF(B727="","",COUNTA($B$4:B727))</f>
        <v/>
      </c>
      <c r="B727" s="12"/>
      <c r="C727" s="12"/>
      <c r="D727" s="12"/>
      <c r="E727" s="12"/>
      <c r="F727" s="12"/>
      <c r="G727" s="12"/>
      <c r="H727" s="12"/>
      <c r="I727" s="13"/>
      <c r="J727" s="12"/>
    </row>
    <row r="728" spans="1:10">
      <c r="A728" s="12" t="str">
        <f>IF(B728="","",COUNTA($B$4:B728))</f>
        <v/>
      </c>
      <c r="B728" s="12"/>
      <c r="C728" s="12"/>
      <c r="D728" s="12"/>
      <c r="E728" s="12"/>
      <c r="F728" s="12"/>
      <c r="G728" s="12"/>
      <c r="H728" s="12"/>
      <c r="I728" s="13"/>
      <c r="J728" s="12"/>
    </row>
    <row r="729" spans="1:10">
      <c r="A729" s="12" t="str">
        <f>IF(B729="","",COUNTA($B$4:B729))</f>
        <v/>
      </c>
      <c r="B729" s="12"/>
      <c r="C729" s="12"/>
      <c r="D729" s="12"/>
      <c r="E729" s="12"/>
      <c r="F729" s="12"/>
      <c r="G729" s="12"/>
      <c r="H729" s="12"/>
      <c r="I729" s="13"/>
      <c r="J729" s="12"/>
    </row>
    <row r="730" spans="1:10">
      <c r="A730" s="12" t="str">
        <f>IF(B730="","",COUNTA($B$4:B730))</f>
        <v/>
      </c>
      <c r="B730" s="12"/>
      <c r="C730" s="12"/>
      <c r="D730" s="12"/>
      <c r="E730" s="12"/>
      <c r="F730" s="12"/>
      <c r="G730" s="12"/>
      <c r="H730" s="12"/>
      <c r="I730" s="13"/>
      <c r="J730" s="12"/>
    </row>
    <row r="731" spans="1:10">
      <c r="A731" s="12" t="str">
        <f>IF(B731="","",COUNTA($B$4:B731))</f>
        <v/>
      </c>
      <c r="B731" s="12"/>
      <c r="C731" s="12"/>
      <c r="D731" s="12"/>
      <c r="E731" s="12"/>
      <c r="F731" s="12"/>
      <c r="G731" s="12"/>
      <c r="H731" s="12"/>
      <c r="I731" s="13"/>
      <c r="J731" s="12"/>
    </row>
    <row r="732" spans="1:10">
      <c r="A732" s="12" t="str">
        <f>IF(B732="","",COUNTA($B$4:B732))</f>
        <v/>
      </c>
      <c r="B732" s="12"/>
      <c r="C732" s="12"/>
      <c r="D732" s="12"/>
      <c r="E732" s="12"/>
      <c r="F732" s="12"/>
      <c r="G732" s="12"/>
      <c r="H732" s="12"/>
      <c r="I732" s="13"/>
      <c r="J732" s="12"/>
    </row>
    <row r="733" spans="1:10">
      <c r="A733" s="12" t="str">
        <f>IF(B733="","",COUNTA($B$4:B733))</f>
        <v/>
      </c>
      <c r="B733" s="12"/>
      <c r="C733" s="12"/>
      <c r="D733" s="12"/>
      <c r="E733" s="12"/>
      <c r="F733" s="12"/>
      <c r="G733" s="12"/>
      <c r="H733" s="12"/>
      <c r="I733" s="13"/>
      <c r="J733" s="12"/>
    </row>
    <row r="734" spans="1:10">
      <c r="A734" s="12" t="str">
        <f>IF(B734="","",COUNTA($B$4:B734))</f>
        <v/>
      </c>
      <c r="B734" s="12"/>
      <c r="C734" s="12"/>
      <c r="D734" s="12"/>
      <c r="E734" s="12"/>
      <c r="F734" s="12"/>
      <c r="G734" s="12"/>
      <c r="H734" s="12"/>
      <c r="I734" s="13"/>
      <c r="J734" s="12"/>
    </row>
    <row r="735" spans="1:10">
      <c r="A735" s="12" t="str">
        <f>IF(B735="","",COUNTA($B$4:B735))</f>
        <v/>
      </c>
      <c r="B735" s="12"/>
      <c r="C735" s="12"/>
      <c r="D735" s="12"/>
      <c r="E735" s="12"/>
      <c r="F735" s="12"/>
      <c r="G735" s="12"/>
      <c r="H735" s="12"/>
      <c r="I735" s="13"/>
      <c r="J735" s="12"/>
    </row>
    <row r="736" spans="1:10">
      <c r="A736" s="12" t="str">
        <f>IF(B736="","",COUNTA($B$4:B736))</f>
        <v/>
      </c>
      <c r="B736" s="12"/>
      <c r="C736" s="12"/>
      <c r="D736" s="12"/>
      <c r="E736" s="12"/>
      <c r="F736" s="12"/>
      <c r="G736" s="12"/>
      <c r="H736" s="12"/>
      <c r="I736" s="13"/>
      <c r="J736" s="12"/>
    </row>
    <row r="737" spans="1:10">
      <c r="A737" s="12" t="str">
        <f>IF(B737="","",COUNTA($B$4:B737))</f>
        <v/>
      </c>
      <c r="B737" s="12"/>
      <c r="C737" s="12"/>
      <c r="D737" s="12"/>
      <c r="E737" s="12"/>
      <c r="F737" s="12"/>
      <c r="G737" s="12"/>
      <c r="H737" s="12"/>
      <c r="I737" s="13"/>
      <c r="J737" s="12"/>
    </row>
    <row r="738" spans="1:10">
      <c r="A738" s="12" t="str">
        <f>IF(B738="","",COUNTA($B$4:B738))</f>
        <v/>
      </c>
      <c r="B738" s="12"/>
      <c r="C738" s="12"/>
      <c r="D738" s="12"/>
      <c r="E738" s="12"/>
      <c r="F738" s="12"/>
      <c r="G738" s="12"/>
      <c r="H738" s="12"/>
      <c r="I738" s="13"/>
      <c r="J738" s="12"/>
    </row>
    <row r="739" spans="1:10">
      <c r="A739" s="12" t="str">
        <f>IF(B739="","",COUNTA($B$4:B739))</f>
        <v/>
      </c>
      <c r="B739" s="12"/>
      <c r="C739" s="12"/>
      <c r="D739" s="12"/>
      <c r="E739" s="12"/>
      <c r="F739" s="12"/>
      <c r="G739" s="12"/>
      <c r="H739" s="12"/>
      <c r="I739" s="13"/>
      <c r="J739" s="12"/>
    </row>
    <row r="740" spans="1:10">
      <c r="A740" s="12" t="str">
        <f>IF(B740="","",COUNTA($B$4:B740))</f>
        <v/>
      </c>
      <c r="B740" s="12"/>
      <c r="C740" s="12"/>
      <c r="D740" s="12"/>
      <c r="E740" s="12"/>
      <c r="F740" s="12"/>
      <c r="G740" s="12"/>
      <c r="H740" s="12"/>
      <c r="I740" s="13"/>
      <c r="J740" s="12"/>
    </row>
    <row r="741" spans="1:10">
      <c r="A741" s="12" t="str">
        <f>IF(B741="","",COUNTA($B$4:B741))</f>
        <v/>
      </c>
      <c r="B741" s="12"/>
      <c r="C741" s="12"/>
      <c r="D741" s="12"/>
      <c r="E741" s="12"/>
      <c r="F741" s="12"/>
      <c r="G741" s="12"/>
      <c r="H741" s="12"/>
      <c r="I741" s="13"/>
      <c r="J741" s="12"/>
    </row>
    <row r="742" spans="1:10">
      <c r="A742" s="12" t="str">
        <f>IF(B742="","",COUNTA($B$4:B742))</f>
        <v/>
      </c>
      <c r="B742" s="12"/>
      <c r="C742" s="12"/>
      <c r="D742" s="12"/>
      <c r="E742" s="12"/>
      <c r="F742" s="12"/>
      <c r="G742" s="12"/>
      <c r="H742" s="12"/>
      <c r="I742" s="13"/>
      <c r="J742" s="12"/>
    </row>
    <row r="743" spans="1:10">
      <c r="A743" s="12" t="str">
        <f>IF(B743="","",COUNTA($B$4:B743))</f>
        <v/>
      </c>
      <c r="B743" s="12"/>
      <c r="C743" s="12"/>
      <c r="D743" s="12"/>
      <c r="E743" s="12"/>
      <c r="F743" s="12"/>
      <c r="G743" s="12"/>
      <c r="H743" s="12"/>
      <c r="I743" s="13"/>
      <c r="J743" s="12"/>
    </row>
    <row r="744" spans="1:10">
      <c r="A744" s="12" t="str">
        <f>IF(B744="","",COUNTA($B$4:B744))</f>
        <v/>
      </c>
      <c r="B744" s="12"/>
      <c r="C744" s="12"/>
      <c r="D744" s="12"/>
      <c r="E744" s="12"/>
      <c r="F744" s="12"/>
      <c r="G744" s="12"/>
      <c r="H744" s="12"/>
      <c r="I744" s="13"/>
      <c r="J744" s="12"/>
    </row>
    <row r="745" spans="1:10">
      <c r="A745" s="12" t="str">
        <f>IF(B745="","",COUNTA($B$4:B745))</f>
        <v/>
      </c>
      <c r="B745" s="12"/>
      <c r="C745" s="12"/>
      <c r="D745" s="12"/>
      <c r="E745" s="12"/>
      <c r="F745" s="12"/>
      <c r="G745" s="12"/>
      <c r="H745" s="12"/>
      <c r="I745" s="13"/>
      <c r="J745" s="12"/>
    </row>
    <row r="746" spans="1:10">
      <c r="A746" s="12" t="str">
        <f>IF(B746="","",COUNTA($B$4:B746))</f>
        <v/>
      </c>
      <c r="B746" s="12"/>
      <c r="C746" s="12"/>
      <c r="D746" s="12"/>
      <c r="E746" s="12"/>
      <c r="F746" s="12"/>
      <c r="G746" s="12"/>
      <c r="H746" s="12"/>
      <c r="I746" s="13"/>
      <c r="J746" s="12"/>
    </row>
    <row r="747" spans="1:10">
      <c r="A747" s="12" t="str">
        <f>IF(B747="","",COUNTA($B$4:B747))</f>
        <v/>
      </c>
      <c r="B747" s="12"/>
      <c r="C747" s="12"/>
      <c r="D747" s="12"/>
      <c r="E747" s="12"/>
      <c r="F747" s="12"/>
      <c r="G747" s="12"/>
      <c r="H747" s="12"/>
      <c r="I747" s="13"/>
      <c r="J747" s="12"/>
    </row>
    <row r="748" spans="1:10">
      <c r="A748" s="12" t="str">
        <f>IF(B748="","",COUNTA($B$4:B748))</f>
        <v/>
      </c>
      <c r="B748" s="12"/>
      <c r="C748" s="12"/>
      <c r="D748" s="12"/>
      <c r="E748" s="12"/>
      <c r="F748" s="12"/>
      <c r="G748" s="12"/>
      <c r="H748" s="12"/>
      <c r="I748" s="13"/>
      <c r="J748" s="12"/>
    </row>
    <row r="749" spans="1:10">
      <c r="A749" s="12" t="str">
        <f>IF(B749="","",COUNTA($B$4:B749))</f>
        <v/>
      </c>
      <c r="B749" s="12"/>
      <c r="C749" s="12"/>
      <c r="D749" s="12"/>
      <c r="E749" s="12"/>
      <c r="F749" s="12"/>
      <c r="G749" s="12"/>
      <c r="H749" s="12"/>
      <c r="I749" s="13"/>
      <c r="J749" s="12"/>
    </row>
    <row r="750" spans="1:10">
      <c r="A750" s="12" t="str">
        <f>IF(B750="","",COUNTA($B$4:B750))</f>
        <v/>
      </c>
      <c r="B750" s="12"/>
      <c r="C750" s="12"/>
      <c r="D750" s="12"/>
      <c r="E750" s="12"/>
      <c r="F750" s="12"/>
      <c r="G750" s="12"/>
      <c r="H750" s="12"/>
      <c r="I750" s="13"/>
      <c r="J750" s="12"/>
    </row>
    <row r="751" spans="1:10">
      <c r="A751" s="12" t="str">
        <f>IF(B751="","",COUNTA($B$4:B751))</f>
        <v/>
      </c>
      <c r="B751" s="12"/>
      <c r="C751" s="12"/>
      <c r="D751" s="12"/>
      <c r="E751" s="12"/>
      <c r="F751" s="12"/>
      <c r="G751" s="12"/>
      <c r="H751" s="12"/>
      <c r="I751" s="13"/>
      <c r="J751" s="12"/>
    </row>
    <row r="752" spans="1:10">
      <c r="A752" s="12" t="str">
        <f>IF(B752="","",COUNTA($B$4:B752))</f>
        <v/>
      </c>
      <c r="B752" s="12"/>
      <c r="C752" s="12"/>
      <c r="D752" s="12"/>
      <c r="E752" s="12"/>
      <c r="F752" s="12"/>
      <c r="G752" s="12"/>
      <c r="H752" s="12"/>
      <c r="I752" s="13"/>
      <c r="J752" s="12"/>
    </row>
    <row r="753" spans="1:10">
      <c r="A753" s="12" t="str">
        <f>IF(B753="","",COUNTA($B$4:B753))</f>
        <v/>
      </c>
      <c r="B753" s="12"/>
      <c r="C753" s="12"/>
      <c r="D753" s="12"/>
      <c r="E753" s="12"/>
      <c r="F753" s="12"/>
      <c r="G753" s="12"/>
      <c r="H753" s="12"/>
      <c r="I753" s="13"/>
      <c r="J753" s="12"/>
    </row>
    <row r="754" spans="1:10">
      <c r="A754" s="12" t="str">
        <f>IF(B754="","",COUNTA($B$4:B754))</f>
        <v/>
      </c>
      <c r="B754" s="12"/>
      <c r="C754" s="12"/>
      <c r="D754" s="12"/>
      <c r="E754" s="12"/>
      <c r="F754" s="12"/>
      <c r="G754" s="12"/>
      <c r="H754" s="12"/>
      <c r="I754" s="13"/>
      <c r="J754" s="12"/>
    </row>
    <row r="755" spans="1:10">
      <c r="A755" s="12" t="str">
        <f>IF(B755="","",COUNTA($B$4:B755))</f>
        <v/>
      </c>
      <c r="B755" s="12"/>
      <c r="C755" s="12"/>
      <c r="D755" s="12"/>
      <c r="E755" s="12"/>
      <c r="F755" s="12"/>
      <c r="G755" s="12"/>
      <c r="H755" s="12"/>
      <c r="I755" s="13"/>
      <c r="J755" s="12"/>
    </row>
    <row r="756" spans="1:10">
      <c r="A756" s="12" t="str">
        <f>IF(B756="","",COUNTA($B$4:B756))</f>
        <v/>
      </c>
      <c r="B756" s="12"/>
      <c r="C756" s="12"/>
      <c r="D756" s="12"/>
      <c r="E756" s="12"/>
      <c r="F756" s="12"/>
      <c r="G756" s="12"/>
      <c r="H756" s="12"/>
      <c r="I756" s="13"/>
      <c r="J756" s="12"/>
    </row>
    <row r="757" spans="1:10">
      <c r="A757" s="12" t="str">
        <f>IF(B757="","",COUNTA($B$4:B757))</f>
        <v/>
      </c>
      <c r="B757" s="12"/>
      <c r="C757" s="12"/>
      <c r="D757" s="12"/>
      <c r="E757" s="12"/>
      <c r="F757" s="12"/>
      <c r="G757" s="12"/>
      <c r="H757" s="12"/>
      <c r="I757" s="13"/>
      <c r="J757" s="12"/>
    </row>
    <row r="758" spans="1:10">
      <c r="A758" s="12" t="str">
        <f>IF(B758="","",COUNTA($B$4:B758))</f>
        <v/>
      </c>
      <c r="B758" s="12"/>
      <c r="C758" s="12"/>
      <c r="D758" s="12"/>
      <c r="E758" s="12"/>
      <c r="F758" s="12"/>
      <c r="G758" s="12"/>
      <c r="H758" s="12"/>
      <c r="I758" s="13"/>
      <c r="J758" s="12"/>
    </row>
    <row r="759" spans="1:10">
      <c r="A759" s="12" t="str">
        <f>IF(B759="","",COUNTA($B$4:B759))</f>
        <v/>
      </c>
      <c r="B759" s="12"/>
      <c r="C759" s="12"/>
      <c r="D759" s="12"/>
      <c r="E759" s="12"/>
      <c r="F759" s="12"/>
      <c r="G759" s="12"/>
      <c r="H759" s="12"/>
      <c r="I759" s="13"/>
      <c r="J759" s="12"/>
    </row>
    <row r="760" spans="1:10">
      <c r="A760" s="12" t="str">
        <f>IF(B760="","",COUNTA($B$4:B760))</f>
        <v/>
      </c>
      <c r="B760" s="12"/>
      <c r="C760" s="12"/>
      <c r="D760" s="12"/>
      <c r="E760" s="12"/>
      <c r="F760" s="12"/>
      <c r="G760" s="12"/>
      <c r="H760" s="12"/>
      <c r="I760" s="13"/>
      <c r="J760" s="12"/>
    </row>
    <row r="761" spans="1:10">
      <c r="A761" s="12" t="str">
        <f>IF(B761="","",COUNTA($B$4:B761))</f>
        <v/>
      </c>
      <c r="B761" s="12"/>
      <c r="C761" s="12"/>
      <c r="D761" s="12"/>
      <c r="E761" s="12"/>
      <c r="F761" s="12"/>
      <c r="G761" s="12"/>
      <c r="H761" s="12"/>
      <c r="I761" s="13"/>
      <c r="J761" s="12"/>
    </row>
    <row r="762" spans="1:10">
      <c r="A762" s="12" t="str">
        <f>IF(B762="","",COUNTA($B$4:B762))</f>
        <v/>
      </c>
      <c r="B762" s="12"/>
      <c r="C762" s="12"/>
      <c r="D762" s="12"/>
      <c r="E762" s="12"/>
      <c r="F762" s="12"/>
      <c r="G762" s="12"/>
      <c r="H762" s="12"/>
      <c r="I762" s="13"/>
      <c r="J762" s="12"/>
    </row>
    <row r="763" spans="1:10">
      <c r="A763" s="12" t="str">
        <f>IF(B763="","",COUNTA($B$4:B763))</f>
        <v/>
      </c>
      <c r="B763" s="12"/>
      <c r="C763" s="12"/>
      <c r="D763" s="12"/>
      <c r="E763" s="12"/>
      <c r="F763" s="12"/>
      <c r="G763" s="12"/>
      <c r="H763" s="12"/>
      <c r="I763" s="13"/>
      <c r="J763" s="12"/>
    </row>
    <row r="764" spans="1:10">
      <c r="A764" s="12" t="str">
        <f>IF(B764="","",COUNTA($B$4:B764))</f>
        <v/>
      </c>
      <c r="B764" s="12"/>
      <c r="C764" s="12"/>
      <c r="D764" s="12"/>
      <c r="E764" s="12"/>
      <c r="F764" s="12"/>
      <c r="G764" s="12"/>
      <c r="H764" s="12"/>
      <c r="I764" s="13"/>
      <c r="J764" s="12"/>
    </row>
    <row r="765" spans="1:10">
      <c r="A765" s="12" t="str">
        <f>IF(B765="","",COUNTA($B$4:B765))</f>
        <v/>
      </c>
      <c r="B765" s="12"/>
      <c r="C765" s="12"/>
      <c r="D765" s="12"/>
      <c r="E765" s="12"/>
      <c r="F765" s="12"/>
      <c r="G765" s="12"/>
      <c r="H765" s="12"/>
      <c r="I765" s="13"/>
      <c r="J765" s="12"/>
    </row>
    <row r="766" spans="1:10">
      <c r="A766" s="12" t="str">
        <f>IF(B766="","",COUNTA($B$4:B766))</f>
        <v/>
      </c>
      <c r="B766" s="12"/>
      <c r="C766" s="12"/>
      <c r="D766" s="12"/>
      <c r="E766" s="12"/>
      <c r="F766" s="12"/>
      <c r="G766" s="12"/>
      <c r="H766" s="12"/>
      <c r="I766" s="13"/>
      <c r="J766" s="12"/>
    </row>
    <row r="767" spans="1:10">
      <c r="A767" s="12" t="str">
        <f>IF(B767="","",COUNTA($B$4:B767))</f>
        <v/>
      </c>
      <c r="B767" s="12"/>
      <c r="C767" s="12"/>
      <c r="D767" s="12"/>
      <c r="E767" s="12"/>
      <c r="F767" s="12"/>
      <c r="G767" s="12"/>
      <c r="H767" s="12"/>
      <c r="I767" s="13"/>
      <c r="J767" s="12"/>
    </row>
    <row r="768" spans="1:10">
      <c r="A768" s="12" t="str">
        <f>IF(B768="","",COUNTA($B$4:B768))</f>
        <v/>
      </c>
      <c r="B768" s="12"/>
      <c r="C768" s="12"/>
      <c r="D768" s="12"/>
      <c r="E768" s="12"/>
      <c r="F768" s="12"/>
      <c r="G768" s="12"/>
      <c r="H768" s="12"/>
      <c r="I768" s="13"/>
      <c r="J768" s="12"/>
    </row>
    <row r="769" spans="1:10">
      <c r="A769" s="12" t="str">
        <f>IF(B769="","",COUNTA($B$4:B769))</f>
        <v/>
      </c>
      <c r="B769" s="12"/>
      <c r="C769" s="12"/>
      <c r="D769" s="12"/>
      <c r="E769" s="12"/>
      <c r="F769" s="12"/>
      <c r="G769" s="12"/>
      <c r="H769" s="12"/>
      <c r="I769" s="13"/>
      <c r="J769" s="12"/>
    </row>
    <row r="770" spans="1:10">
      <c r="A770" s="12" t="str">
        <f>IF(B770="","",COUNTA($B$4:B770))</f>
        <v/>
      </c>
      <c r="B770" s="12"/>
      <c r="C770" s="12"/>
      <c r="D770" s="12"/>
      <c r="E770" s="12"/>
      <c r="F770" s="12"/>
      <c r="G770" s="12"/>
      <c r="H770" s="12"/>
      <c r="I770" s="13"/>
      <c r="J770" s="12"/>
    </row>
    <row r="771" spans="1:10">
      <c r="A771" s="12" t="str">
        <f>IF(B771="","",COUNTA($B$4:B771))</f>
        <v/>
      </c>
      <c r="B771" s="12"/>
      <c r="C771" s="12"/>
      <c r="D771" s="12"/>
      <c r="E771" s="12"/>
      <c r="F771" s="12"/>
      <c r="G771" s="12"/>
      <c r="H771" s="12"/>
      <c r="I771" s="13"/>
      <c r="J771" s="12"/>
    </row>
    <row r="772" spans="1:10">
      <c r="A772" s="12" t="str">
        <f>IF(B772="","",COUNTA($B$4:B772))</f>
        <v/>
      </c>
      <c r="B772" s="12"/>
      <c r="C772" s="12"/>
      <c r="D772" s="12"/>
      <c r="E772" s="12"/>
      <c r="F772" s="12"/>
      <c r="G772" s="12"/>
      <c r="H772" s="12"/>
      <c r="I772" s="13"/>
      <c r="J772" s="12"/>
    </row>
    <row r="773" spans="1:10">
      <c r="A773" s="12" t="str">
        <f>IF(B773="","",COUNTA($B$4:B773))</f>
        <v/>
      </c>
      <c r="B773" s="12"/>
      <c r="C773" s="12"/>
      <c r="D773" s="12"/>
      <c r="E773" s="12"/>
      <c r="F773" s="12"/>
      <c r="G773" s="12"/>
      <c r="H773" s="12"/>
      <c r="I773" s="13"/>
      <c r="J773" s="12"/>
    </row>
    <row r="774" spans="1:10">
      <c r="A774" s="12" t="str">
        <f>IF(B774="","",COUNTA($B$4:B774))</f>
        <v/>
      </c>
      <c r="B774" s="12"/>
      <c r="C774" s="12"/>
      <c r="D774" s="12"/>
      <c r="E774" s="12"/>
      <c r="F774" s="12"/>
      <c r="G774" s="12"/>
      <c r="H774" s="12"/>
      <c r="I774" s="13"/>
      <c r="J774" s="12"/>
    </row>
    <row r="775" spans="1:10">
      <c r="A775" s="12" t="str">
        <f>IF(B775="","",COUNTA($B$4:B775))</f>
        <v/>
      </c>
      <c r="B775" s="12"/>
      <c r="C775" s="12"/>
      <c r="D775" s="12"/>
      <c r="E775" s="12"/>
      <c r="F775" s="12"/>
      <c r="G775" s="12"/>
      <c r="H775" s="12"/>
      <c r="I775" s="13"/>
      <c r="J775" s="12"/>
    </row>
    <row r="776" spans="1:10">
      <c r="A776" s="12" t="str">
        <f>IF(B776="","",COUNTA($B$4:B776))</f>
        <v/>
      </c>
      <c r="B776" s="12"/>
      <c r="C776" s="12"/>
      <c r="D776" s="12"/>
      <c r="E776" s="12"/>
      <c r="F776" s="12"/>
      <c r="G776" s="12"/>
      <c r="H776" s="12"/>
      <c r="I776" s="13"/>
      <c r="J776" s="12"/>
    </row>
    <row r="777" spans="1:10">
      <c r="A777" s="12" t="str">
        <f>IF(B777="","",COUNTA($B$4:B777))</f>
        <v/>
      </c>
      <c r="B777" s="12"/>
      <c r="C777" s="12"/>
      <c r="D777" s="12"/>
      <c r="E777" s="12"/>
      <c r="F777" s="12"/>
      <c r="G777" s="12"/>
      <c r="H777" s="12"/>
      <c r="I777" s="13"/>
      <c r="J777" s="12"/>
    </row>
    <row r="778" spans="1:10">
      <c r="A778" s="12" t="str">
        <f>IF(B778="","",COUNTA($B$4:B778))</f>
        <v/>
      </c>
      <c r="B778" s="12"/>
      <c r="C778" s="12"/>
      <c r="D778" s="12"/>
      <c r="E778" s="12"/>
      <c r="F778" s="12"/>
      <c r="G778" s="12"/>
      <c r="H778" s="12"/>
      <c r="I778" s="13"/>
      <c r="J778" s="12"/>
    </row>
    <row r="779" spans="1:10">
      <c r="A779" s="12" t="str">
        <f>IF(B779="","",COUNTA($B$4:B779))</f>
        <v/>
      </c>
      <c r="B779" s="12"/>
      <c r="C779" s="12"/>
      <c r="D779" s="12"/>
      <c r="E779" s="12"/>
      <c r="F779" s="12"/>
      <c r="G779" s="12"/>
      <c r="H779" s="12"/>
      <c r="I779" s="13"/>
      <c r="J779" s="12"/>
    </row>
    <row r="780" spans="1:10">
      <c r="A780" s="12" t="str">
        <f>IF(B780="","",COUNTA($B$4:B780))</f>
        <v/>
      </c>
      <c r="B780" s="12"/>
      <c r="C780" s="12"/>
      <c r="D780" s="12"/>
      <c r="E780" s="12"/>
      <c r="F780" s="12"/>
      <c r="G780" s="12"/>
      <c r="H780" s="12"/>
      <c r="I780" s="13"/>
      <c r="J780" s="12"/>
    </row>
    <row r="781" spans="1:10">
      <c r="A781" s="12" t="str">
        <f>IF(B781="","",COUNTA($B$4:B781))</f>
        <v/>
      </c>
      <c r="B781" s="12"/>
      <c r="C781" s="12"/>
      <c r="D781" s="12"/>
      <c r="E781" s="12"/>
      <c r="F781" s="12"/>
      <c r="G781" s="12"/>
      <c r="H781" s="12"/>
      <c r="I781" s="13"/>
      <c r="J781" s="12"/>
    </row>
    <row r="782" spans="1:10">
      <c r="A782" s="12" t="str">
        <f>IF(B782="","",COUNTA($B$4:B782))</f>
        <v/>
      </c>
      <c r="B782" s="12"/>
      <c r="C782" s="12"/>
      <c r="D782" s="12"/>
      <c r="E782" s="12"/>
      <c r="F782" s="12"/>
      <c r="G782" s="12"/>
      <c r="H782" s="12"/>
      <c r="I782" s="13"/>
      <c r="J782" s="12"/>
    </row>
    <row r="783" spans="1:10">
      <c r="A783" s="12" t="str">
        <f>IF(B783="","",COUNTA($B$4:B783))</f>
        <v/>
      </c>
      <c r="B783" s="12"/>
      <c r="C783" s="12"/>
      <c r="D783" s="12"/>
      <c r="E783" s="12"/>
      <c r="F783" s="12"/>
      <c r="G783" s="12"/>
      <c r="H783" s="12"/>
      <c r="I783" s="13"/>
      <c r="J783" s="12"/>
    </row>
    <row r="784" spans="1:10">
      <c r="A784" s="12" t="str">
        <f>IF(B784="","",COUNTA($B$4:B784))</f>
        <v/>
      </c>
      <c r="B784" s="12"/>
      <c r="C784" s="12"/>
      <c r="D784" s="12"/>
      <c r="E784" s="12"/>
      <c r="F784" s="12"/>
      <c r="G784" s="12"/>
      <c r="H784" s="12"/>
      <c r="I784" s="13"/>
      <c r="J784" s="12"/>
    </row>
    <row r="785" spans="1:10">
      <c r="A785" s="12" t="str">
        <f>IF(B785="","",COUNTA($B$4:B785))</f>
        <v/>
      </c>
      <c r="B785" s="12"/>
      <c r="C785" s="12"/>
      <c r="D785" s="12"/>
      <c r="E785" s="12"/>
      <c r="F785" s="12"/>
      <c r="G785" s="12"/>
      <c r="H785" s="12"/>
      <c r="I785" s="13"/>
      <c r="J785" s="12"/>
    </row>
    <row r="786" spans="1:10">
      <c r="A786" s="12" t="str">
        <f>IF(B786="","",COUNTA($B$4:B786))</f>
        <v/>
      </c>
      <c r="B786" s="12"/>
      <c r="C786" s="12"/>
      <c r="D786" s="12"/>
      <c r="E786" s="12"/>
      <c r="F786" s="12"/>
      <c r="G786" s="12"/>
      <c r="H786" s="12"/>
      <c r="I786" s="13"/>
      <c r="J786" s="12"/>
    </row>
    <row r="787" spans="1:10">
      <c r="A787" s="12" t="str">
        <f>IF(B787="","",COUNTA($B$4:B787))</f>
        <v/>
      </c>
      <c r="B787" s="12"/>
      <c r="C787" s="12"/>
      <c r="D787" s="12"/>
      <c r="E787" s="12"/>
      <c r="F787" s="12"/>
      <c r="G787" s="12"/>
      <c r="H787" s="12"/>
      <c r="I787" s="13"/>
      <c r="J787" s="12"/>
    </row>
    <row r="788" spans="1:10">
      <c r="A788" s="12" t="str">
        <f>IF(B788="","",COUNTA($B$4:B788))</f>
        <v/>
      </c>
      <c r="B788" s="12"/>
      <c r="C788" s="12"/>
      <c r="D788" s="12"/>
      <c r="E788" s="12"/>
      <c r="F788" s="12"/>
      <c r="G788" s="12"/>
      <c r="H788" s="12"/>
      <c r="I788" s="13"/>
      <c r="J788" s="12"/>
    </row>
    <row r="789" spans="1:10">
      <c r="A789" s="12" t="str">
        <f>IF(B789="","",COUNTA($B$4:B789))</f>
        <v/>
      </c>
      <c r="B789" s="12"/>
      <c r="C789" s="12"/>
      <c r="D789" s="12"/>
      <c r="E789" s="12"/>
      <c r="F789" s="12"/>
      <c r="G789" s="12"/>
      <c r="H789" s="12"/>
      <c r="I789" s="13"/>
      <c r="J789" s="12"/>
    </row>
    <row r="790" spans="1:10">
      <c r="A790" s="12" t="str">
        <f>IF(B790="","",COUNTA($B$4:B790))</f>
        <v/>
      </c>
      <c r="B790" s="12"/>
      <c r="C790" s="12"/>
      <c r="D790" s="12"/>
      <c r="E790" s="12"/>
      <c r="F790" s="12"/>
      <c r="G790" s="12"/>
      <c r="H790" s="12"/>
      <c r="I790" s="13"/>
      <c r="J790" s="12"/>
    </row>
    <row r="791" spans="1:10">
      <c r="A791" s="12" t="str">
        <f>IF(B791="","",COUNTA($B$4:B791))</f>
        <v/>
      </c>
      <c r="B791" s="12"/>
      <c r="C791" s="12"/>
      <c r="D791" s="12"/>
      <c r="E791" s="12"/>
      <c r="F791" s="12"/>
      <c r="G791" s="12"/>
      <c r="H791" s="12"/>
      <c r="I791" s="13"/>
      <c r="J791" s="12"/>
    </row>
    <row r="792" spans="1:10">
      <c r="A792" s="12" t="str">
        <f>IF(B792="","",COUNTA($B$4:B792))</f>
        <v/>
      </c>
      <c r="B792" s="12"/>
      <c r="C792" s="12"/>
      <c r="D792" s="12"/>
      <c r="E792" s="12"/>
      <c r="F792" s="12"/>
      <c r="G792" s="12"/>
      <c r="H792" s="12"/>
      <c r="I792" s="13"/>
      <c r="J792" s="12"/>
    </row>
    <row r="793" spans="1:10">
      <c r="A793" s="12" t="str">
        <f>IF(B793="","",COUNTA($B$4:B793))</f>
        <v/>
      </c>
      <c r="B793" s="12"/>
      <c r="C793" s="12"/>
      <c r="D793" s="12"/>
      <c r="E793" s="12"/>
      <c r="F793" s="12"/>
      <c r="G793" s="12"/>
      <c r="H793" s="12"/>
      <c r="I793" s="13"/>
      <c r="J793" s="12"/>
    </row>
    <row r="794" spans="1:10">
      <c r="A794" s="12" t="str">
        <f>IF(B794="","",COUNTA($B$4:B794))</f>
        <v/>
      </c>
      <c r="B794" s="12"/>
      <c r="C794" s="12"/>
      <c r="D794" s="12"/>
      <c r="E794" s="12"/>
      <c r="F794" s="12"/>
      <c r="G794" s="12"/>
      <c r="H794" s="12"/>
      <c r="I794" s="13"/>
      <c r="J794" s="12"/>
    </row>
    <row r="795" spans="1:10">
      <c r="A795" s="12" t="str">
        <f>IF(B795="","",COUNTA($B$4:B795))</f>
        <v/>
      </c>
      <c r="B795" s="12"/>
      <c r="C795" s="12"/>
      <c r="D795" s="12"/>
      <c r="E795" s="12"/>
      <c r="F795" s="12"/>
      <c r="G795" s="12"/>
      <c r="H795" s="12"/>
      <c r="I795" s="13"/>
      <c r="J795" s="12"/>
    </row>
    <row r="796" spans="1:10">
      <c r="A796" s="12" t="str">
        <f>IF(B796="","",COUNTA($B$4:B796))</f>
        <v/>
      </c>
      <c r="B796" s="12"/>
      <c r="C796" s="12"/>
      <c r="D796" s="12"/>
      <c r="E796" s="12"/>
      <c r="F796" s="12"/>
      <c r="G796" s="12"/>
      <c r="H796" s="12"/>
      <c r="I796" s="13"/>
      <c r="J796" s="12"/>
    </row>
    <row r="797" spans="1:10">
      <c r="A797" s="12" t="str">
        <f>IF(B797="","",COUNTA($B$4:B797))</f>
        <v/>
      </c>
      <c r="B797" s="12"/>
      <c r="C797" s="12"/>
      <c r="D797" s="12"/>
      <c r="E797" s="12"/>
      <c r="F797" s="12"/>
      <c r="G797" s="12"/>
      <c r="H797" s="12"/>
      <c r="I797" s="13"/>
      <c r="J797" s="12"/>
    </row>
    <row r="798" spans="1:10">
      <c r="A798" s="12" t="str">
        <f>IF(B798="","",COUNTA($B$4:B798))</f>
        <v/>
      </c>
      <c r="B798" s="12"/>
      <c r="C798" s="12"/>
      <c r="D798" s="12"/>
      <c r="E798" s="12"/>
      <c r="F798" s="12"/>
      <c r="G798" s="12"/>
      <c r="H798" s="12"/>
      <c r="I798" s="13"/>
      <c r="J798" s="12"/>
    </row>
    <row r="799" spans="1:10">
      <c r="A799" s="12" t="str">
        <f>IF(B799="","",COUNTA($B$4:B799))</f>
        <v/>
      </c>
      <c r="B799" s="12"/>
      <c r="C799" s="12"/>
      <c r="D799" s="12"/>
      <c r="E799" s="12"/>
      <c r="F799" s="12"/>
      <c r="G799" s="12"/>
      <c r="H799" s="12"/>
      <c r="I799" s="13"/>
      <c r="J799" s="12"/>
    </row>
    <row r="800" spans="1:10">
      <c r="A800" s="12" t="str">
        <f>IF(B800="","",COUNTA($B$4:B800))</f>
        <v/>
      </c>
      <c r="B800" s="12"/>
      <c r="C800" s="12"/>
      <c r="D800" s="12"/>
      <c r="E800" s="12"/>
      <c r="F800" s="12"/>
      <c r="G800" s="12"/>
      <c r="H800" s="12"/>
      <c r="I800" s="13"/>
      <c r="J800" s="12"/>
    </row>
    <row r="801" spans="1:10">
      <c r="A801" s="12" t="str">
        <f>IF(B801="","",COUNTA($B$4:B801))</f>
        <v/>
      </c>
      <c r="B801" s="12"/>
      <c r="C801" s="12"/>
      <c r="D801" s="12"/>
      <c r="E801" s="12"/>
      <c r="F801" s="12"/>
      <c r="G801" s="12"/>
      <c r="H801" s="12"/>
      <c r="I801" s="13"/>
      <c r="J801" s="12"/>
    </row>
    <row r="802" spans="1:10">
      <c r="A802" s="12" t="str">
        <f>IF(B802="","",COUNTA($B$4:B802))</f>
        <v/>
      </c>
      <c r="B802" s="12"/>
      <c r="C802" s="12"/>
      <c r="D802" s="12"/>
      <c r="E802" s="12"/>
      <c r="F802" s="12"/>
      <c r="G802" s="12"/>
      <c r="H802" s="12"/>
      <c r="I802" s="13"/>
      <c r="J802" s="12"/>
    </row>
    <row r="803" spans="1:10">
      <c r="A803" s="12" t="str">
        <f>IF(B803="","",COUNTA($B$4:B803))</f>
        <v/>
      </c>
      <c r="B803" s="12"/>
      <c r="C803" s="12"/>
      <c r="D803" s="12"/>
      <c r="E803" s="12"/>
      <c r="F803" s="12"/>
      <c r="G803" s="12"/>
      <c r="H803" s="12"/>
      <c r="I803" s="13"/>
      <c r="J803" s="12"/>
    </row>
    <row r="804" spans="1:10">
      <c r="A804" s="12" t="str">
        <f>IF(B804="","",COUNTA($B$4:B804))</f>
        <v/>
      </c>
      <c r="B804" s="12"/>
      <c r="C804" s="12"/>
      <c r="D804" s="12"/>
      <c r="E804" s="12"/>
      <c r="F804" s="12"/>
      <c r="G804" s="12"/>
      <c r="H804" s="12"/>
      <c r="I804" s="13"/>
      <c r="J804" s="12"/>
    </row>
    <row r="805" spans="1:10">
      <c r="A805" s="12" t="str">
        <f>IF(B805="","",COUNTA($B$4:B805))</f>
        <v/>
      </c>
      <c r="B805" s="12"/>
      <c r="C805" s="12"/>
      <c r="D805" s="12"/>
      <c r="E805" s="12"/>
      <c r="F805" s="12"/>
      <c r="G805" s="12"/>
      <c r="H805" s="12"/>
      <c r="I805" s="13"/>
      <c r="J805" s="12"/>
    </row>
    <row r="806" spans="1:10">
      <c r="A806" s="12" t="str">
        <f>IF(B806="","",COUNTA($B$4:B806))</f>
        <v/>
      </c>
      <c r="B806" s="12"/>
      <c r="C806" s="12"/>
      <c r="D806" s="12"/>
      <c r="E806" s="12"/>
      <c r="F806" s="12"/>
      <c r="G806" s="12"/>
      <c r="H806" s="12"/>
      <c r="I806" s="13"/>
      <c r="J806" s="12"/>
    </row>
    <row r="807" spans="1:10">
      <c r="A807" s="12" t="str">
        <f>IF(B807="","",COUNTA($B$4:B807))</f>
        <v/>
      </c>
      <c r="B807" s="12"/>
      <c r="C807" s="12"/>
      <c r="D807" s="12"/>
      <c r="E807" s="12"/>
      <c r="F807" s="12"/>
      <c r="G807" s="12"/>
      <c r="H807" s="12"/>
      <c r="I807" s="13"/>
      <c r="J807" s="12"/>
    </row>
    <row r="808" spans="1:10">
      <c r="A808" s="12" t="str">
        <f>IF(B808="","",COUNTA($B$4:B808))</f>
        <v/>
      </c>
      <c r="B808" s="12"/>
      <c r="C808" s="12"/>
      <c r="D808" s="12"/>
      <c r="E808" s="12"/>
      <c r="F808" s="12"/>
      <c r="G808" s="12"/>
      <c r="H808" s="12"/>
      <c r="I808" s="13"/>
      <c r="J808" s="12"/>
    </row>
    <row r="809" spans="1:10">
      <c r="A809" s="12" t="str">
        <f>IF(B809="","",COUNTA($B$4:B809))</f>
        <v/>
      </c>
      <c r="B809" s="12"/>
      <c r="C809" s="12"/>
      <c r="D809" s="12"/>
      <c r="E809" s="12"/>
      <c r="F809" s="12"/>
      <c r="G809" s="12"/>
      <c r="H809" s="12"/>
      <c r="I809" s="13"/>
      <c r="J809" s="12"/>
    </row>
    <row r="810" spans="1:10">
      <c r="A810" s="12" t="str">
        <f>IF(B810="","",COUNTA($B$4:B810))</f>
        <v/>
      </c>
      <c r="B810" s="12"/>
      <c r="C810" s="12"/>
      <c r="D810" s="12"/>
      <c r="E810" s="12"/>
      <c r="F810" s="12"/>
      <c r="G810" s="12"/>
      <c r="H810" s="12"/>
      <c r="I810" s="13"/>
      <c r="J810" s="12"/>
    </row>
    <row r="811" spans="1:10">
      <c r="A811" s="12" t="str">
        <f>IF(B811="","",COUNTA($B$4:B811))</f>
        <v/>
      </c>
      <c r="B811" s="12"/>
      <c r="C811" s="12"/>
      <c r="D811" s="12"/>
      <c r="E811" s="12"/>
      <c r="F811" s="12"/>
      <c r="G811" s="12"/>
      <c r="H811" s="12"/>
      <c r="I811" s="13"/>
      <c r="J811" s="12"/>
    </row>
    <row r="812" spans="1:10">
      <c r="A812" s="12" t="str">
        <f>IF(B812="","",COUNTA($B$4:B812))</f>
        <v/>
      </c>
      <c r="B812" s="12"/>
      <c r="C812" s="12"/>
      <c r="D812" s="12"/>
      <c r="E812" s="12"/>
      <c r="F812" s="12"/>
      <c r="G812" s="12"/>
      <c r="H812" s="12"/>
      <c r="I812" s="13"/>
      <c r="J812" s="12"/>
    </row>
    <row r="813" spans="1:10">
      <c r="A813" s="12" t="str">
        <f>IF(B813="","",COUNTA($B$4:B813))</f>
        <v/>
      </c>
      <c r="B813" s="12"/>
      <c r="C813" s="12"/>
      <c r="D813" s="12"/>
      <c r="E813" s="12"/>
      <c r="F813" s="12"/>
      <c r="G813" s="12"/>
      <c r="H813" s="12"/>
      <c r="I813" s="13"/>
      <c r="J813" s="12"/>
    </row>
  </sheetData>
  <autoFilter ref="A3:I813">
    <sortState ref="A4:I813">
      <sortCondition ref="C4:C813"/>
    </sortState>
  </autoFilter>
  <phoneticPr fontId="12"/>
  <pageMargins left="0.39370078740157483" right="0.39370078740157483" top="0.39370078740157483" bottom="0.39370078740157483" header="0.39370078740157483" footer="0.39370078740157483"/>
  <pageSetup paperSize="9" scale="65"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autoPageBreaks="0"/>
  </sheetPr>
  <dimension ref="A1:D476"/>
  <sheetViews>
    <sheetView showGridLines="0" topLeftCell="A468" zoomScaleNormal="100" workbookViewId="0">
      <selection activeCell="B477" sqref="B477"/>
    </sheetView>
  </sheetViews>
  <sheetFormatPr defaultColWidth="8.7265625" defaultRowHeight="18"/>
  <cols>
    <col min="1" max="1" width="21" style="106" bestFit="1" customWidth="1"/>
    <col min="2" max="2" width="25.36328125" style="106" bestFit="1" customWidth="1"/>
    <col min="3" max="3" width="8.7265625" style="106"/>
    <col min="4" max="4" width="36.08984375" style="106" bestFit="1" customWidth="1"/>
    <col min="5" max="16384" width="8.7265625" style="106"/>
  </cols>
  <sheetData>
    <row r="1" spans="1:4">
      <c r="A1" s="104" t="s">
        <v>274</v>
      </c>
      <c r="B1" s="105" t="s">
        <v>275</v>
      </c>
    </row>
    <row r="2" spans="1:4">
      <c r="A2" s="107" t="s">
        <v>276</v>
      </c>
      <c r="B2" s="107" t="s">
        <v>277</v>
      </c>
      <c r="D2" s="108" t="s">
        <v>278</v>
      </c>
    </row>
    <row r="3" spans="1:4">
      <c r="A3" s="107" t="s">
        <v>279</v>
      </c>
      <c r="B3" s="107" t="s">
        <v>280</v>
      </c>
    </row>
    <row r="4" spans="1:4">
      <c r="A4" s="107" t="s">
        <v>281</v>
      </c>
      <c r="B4" s="107" t="s">
        <v>282</v>
      </c>
    </row>
    <row r="5" spans="1:4">
      <c r="A5" s="107" t="s">
        <v>283</v>
      </c>
      <c r="B5" s="107" t="s">
        <v>284</v>
      </c>
    </row>
    <row r="6" spans="1:4">
      <c r="A6" s="107" t="s">
        <v>285</v>
      </c>
      <c r="B6" s="109" t="s">
        <v>286</v>
      </c>
    </row>
    <row r="7" spans="1:4">
      <c r="A7" s="107" t="s">
        <v>287</v>
      </c>
      <c r="B7" s="107" t="s">
        <v>288</v>
      </c>
    </row>
    <row r="8" spans="1:4">
      <c r="A8" s="107" t="s">
        <v>289</v>
      </c>
      <c r="B8" s="107" t="s">
        <v>290</v>
      </c>
    </row>
    <row r="9" spans="1:4">
      <c r="A9" s="107" t="s">
        <v>291</v>
      </c>
      <c r="B9" s="107" t="s">
        <v>292</v>
      </c>
    </row>
    <row r="10" spans="1:4">
      <c r="A10" s="107" t="s">
        <v>293</v>
      </c>
      <c r="B10" s="107" t="s">
        <v>294</v>
      </c>
    </row>
    <row r="11" spans="1:4">
      <c r="A11" s="107" t="s">
        <v>295</v>
      </c>
      <c r="B11" s="109" t="s">
        <v>296</v>
      </c>
    </row>
    <row r="12" spans="1:4">
      <c r="A12" s="107" t="s">
        <v>297</v>
      </c>
      <c r="B12" s="107" t="s">
        <v>298</v>
      </c>
    </row>
    <row r="13" spans="1:4">
      <c r="A13" s="107" t="s">
        <v>299</v>
      </c>
      <c r="B13" s="109" t="s">
        <v>300</v>
      </c>
    </row>
    <row r="14" spans="1:4">
      <c r="A14" s="107" t="s">
        <v>301</v>
      </c>
      <c r="B14" s="107" t="s">
        <v>302</v>
      </c>
    </row>
    <row r="15" spans="1:4">
      <c r="A15" s="107" t="s">
        <v>303</v>
      </c>
      <c r="B15" s="107" t="s">
        <v>304</v>
      </c>
    </row>
    <row r="16" spans="1:4">
      <c r="A16" s="107" t="s">
        <v>305</v>
      </c>
      <c r="B16" s="107" t="s">
        <v>306</v>
      </c>
    </row>
    <row r="17" spans="1:2">
      <c r="A17" s="107" t="s">
        <v>307</v>
      </c>
      <c r="B17" s="107" t="s">
        <v>308</v>
      </c>
    </row>
    <row r="18" spans="1:2">
      <c r="A18" s="107" t="s">
        <v>309</v>
      </c>
      <c r="B18" s="107" t="s">
        <v>310</v>
      </c>
    </row>
    <row r="19" spans="1:2">
      <c r="A19" s="107" t="s">
        <v>311</v>
      </c>
      <c r="B19" s="107" t="s">
        <v>312</v>
      </c>
    </row>
    <row r="20" spans="1:2">
      <c r="A20" s="107" t="s">
        <v>313</v>
      </c>
      <c r="B20" s="107" t="s">
        <v>314</v>
      </c>
    </row>
    <row r="21" spans="1:2">
      <c r="A21" s="107" t="s">
        <v>315</v>
      </c>
      <c r="B21" s="107" t="s">
        <v>316</v>
      </c>
    </row>
    <row r="22" spans="1:2">
      <c r="A22" s="107" t="s">
        <v>317</v>
      </c>
      <c r="B22" s="107" t="s">
        <v>318</v>
      </c>
    </row>
    <row r="23" spans="1:2">
      <c r="A23" s="107" t="s">
        <v>319</v>
      </c>
      <c r="B23" s="107" t="s">
        <v>320</v>
      </c>
    </row>
    <row r="24" spans="1:2">
      <c r="A24" s="107" t="s">
        <v>321</v>
      </c>
      <c r="B24" s="107" t="s">
        <v>322</v>
      </c>
    </row>
    <row r="25" spans="1:2">
      <c r="A25" s="107" t="s">
        <v>323</v>
      </c>
      <c r="B25" s="109" t="s">
        <v>324</v>
      </c>
    </row>
    <row r="26" spans="1:2">
      <c r="A26" s="107" t="s">
        <v>325</v>
      </c>
      <c r="B26" s="107" t="s">
        <v>326</v>
      </c>
    </row>
    <row r="27" spans="1:2">
      <c r="A27" s="107" t="s">
        <v>327</v>
      </c>
      <c r="B27" s="107" t="s">
        <v>328</v>
      </c>
    </row>
    <row r="28" spans="1:2">
      <c r="A28" s="107" t="s">
        <v>329</v>
      </c>
      <c r="B28" s="107" t="s">
        <v>330</v>
      </c>
    </row>
    <row r="29" spans="1:2">
      <c r="A29" s="107" t="s">
        <v>331</v>
      </c>
      <c r="B29" s="107" t="s">
        <v>332</v>
      </c>
    </row>
    <row r="30" spans="1:2">
      <c r="A30" s="107" t="s">
        <v>333</v>
      </c>
      <c r="B30" s="107" t="s">
        <v>334</v>
      </c>
    </row>
    <row r="31" spans="1:2">
      <c r="A31" s="107" t="s">
        <v>335</v>
      </c>
      <c r="B31" s="109" t="s">
        <v>336</v>
      </c>
    </row>
    <row r="32" spans="1:2">
      <c r="A32" s="107" t="s">
        <v>337</v>
      </c>
      <c r="B32" s="109" t="s">
        <v>338</v>
      </c>
    </row>
    <row r="33" spans="1:2">
      <c r="A33" s="107" t="s">
        <v>339</v>
      </c>
      <c r="B33" s="107" t="s">
        <v>340</v>
      </c>
    </row>
    <row r="34" spans="1:2">
      <c r="A34" s="107" t="s">
        <v>341</v>
      </c>
      <c r="B34" s="109" t="s">
        <v>342</v>
      </c>
    </row>
    <row r="35" spans="1:2">
      <c r="A35" s="107" t="s">
        <v>343</v>
      </c>
      <c r="B35" s="109" t="s">
        <v>344</v>
      </c>
    </row>
    <row r="36" spans="1:2">
      <c r="A36" s="107" t="s">
        <v>345</v>
      </c>
      <c r="B36" s="107" t="s">
        <v>346</v>
      </c>
    </row>
    <row r="37" spans="1:2">
      <c r="A37" s="107" t="s">
        <v>347</v>
      </c>
      <c r="B37" s="107" t="s">
        <v>348</v>
      </c>
    </row>
    <row r="38" spans="1:2">
      <c r="A38" s="107" t="s">
        <v>349</v>
      </c>
      <c r="B38" s="107" t="s">
        <v>350</v>
      </c>
    </row>
    <row r="39" spans="1:2">
      <c r="A39" s="107" t="s">
        <v>351</v>
      </c>
      <c r="B39" s="107" t="s">
        <v>352</v>
      </c>
    </row>
    <row r="40" spans="1:2">
      <c r="A40" s="107" t="s">
        <v>353</v>
      </c>
      <c r="B40" s="107" t="s">
        <v>354</v>
      </c>
    </row>
    <row r="41" spans="1:2">
      <c r="A41" s="107" t="s">
        <v>355</v>
      </c>
      <c r="B41" s="107" t="s">
        <v>356</v>
      </c>
    </row>
    <row r="42" spans="1:2">
      <c r="A42" s="107" t="s">
        <v>357</v>
      </c>
      <c r="B42" s="107" t="s">
        <v>358</v>
      </c>
    </row>
    <row r="43" spans="1:2">
      <c r="A43" s="107" t="s">
        <v>359</v>
      </c>
      <c r="B43" s="107" t="s">
        <v>360</v>
      </c>
    </row>
    <row r="44" spans="1:2">
      <c r="A44" s="107" t="s">
        <v>361</v>
      </c>
      <c r="B44" s="107" t="s">
        <v>362</v>
      </c>
    </row>
    <row r="45" spans="1:2">
      <c r="A45" s="107" t="s">
        <v>363</v>
      </c>
      <c r="B45" s="107" t="s">
        <v>364</v>
      </c>
    </row>
    <row r="46" spans="1:2">
      <c r="A46" s="107" t="s">
        <v>365</v>
      </c>
      <c r="B46" s="107" t="s">
        <v>366</v>
      </c>
    </row>
    <row r="47" spans="1:2">
      <c r="A47" s="107" t="s">
        <v>367</v>
      </c>
      <c r="B47" s="107" t="s">
        <v>368</v>
      </c>
    </row>
    <row r="48" spans="1:2">
      <c r="A48" s="107" t="s">
        <v>369</v>
      </c>
      <c r="B48" s="107" t="s">
        <v>370</v>
      </c>
    </row>
    <row r="49" spans="1:2">
      <c r="A49" s="107" t="s">
        <v>371</v>
      </c>
      <c r="B49" s="107" t="s">
        <v>372</v>
      </c>
    </row>
    <row r="50" spans="1:2">
      <c r="A50" s="107" t="s">
        <v>373</v>
      </c>
      <c r="B50" s="107" t="s">
        <v>374</v>
      </c>
    </row>
    <row r="51" spans="1:2">
      <c r="A51" s="107" t="s">
        <v>375</v>
      </c>
      <c r="B51" s="107" t="s">
        <v>376</v>
      </c>
    </row>
    <row r="52" spans="1:2">
      <c r="A52" s="107" t="s">
        <v>377</v>
      </c>
      <c r="B52" s="109" t="s">
        <v>378</v>
      </c>
    </row>
    <row r="53" spans="1:2">
      <c r="A53" s="107" t="s">
        <v>379</v>
      </c>
      <c r="B53" s="107" t="s">
        <v>380</v>
      </c>
    </row>
    <row r="54" spans="1:2">
      <c r="A54" s="107" t="s">
        <v>381</v>
      </c>
      <c r="B54" s="107" t="s">
        <v>382</v>
      </c>
    </row>
    <row r="55" spans="1:2">
      <c r="A55" s="107" t="s">
        <v>383</v>
      </c>
      <c r="B55" s="109" t="s">
        <v>384</v>
      </c>
    </row>
    <row r="56" spans="1:2">
      <c r="A56" s="107" t="s">
        <v>385</v>
      </c>
      <c r="B56" s="109" t="s">
        <v>386</v>
      </c>
    </row>
    <row r="57" spans="1:2">
      <c r="A57" s="107" t="s">
        <v>387</v>
      </c>
      <c r="B57" s="109" t="s">
        <v>388</v>
      </c>
    </row>
    <row r="58" spans="1:2">
      <c r="A58" s="107" t="s">
        <v>389</v>
      </c>
      <c r="B58" s="107" t="s">
        <v>390</v>
      </c>
    </row>
    <row r="59" spans="1:2">
      <c r="A59" s="107" t="s">
        <v>391</v>
      </c>
      <c r="B59" s="107" t="s">
        <v>392</v>
      </c>
    </row>
    <row r="60" spans="1:2">
      <c r="A60" s="107" t="s">
        <v>393</v>
      </c>
      <c r="B60" s="107" t="s">
        <v>394</v>
      </c>
    </row>
    <row r="61" spans="1:2">
      <c r="A61" s="107" t="s">
        <v>395</v>
      </c>
      <c r="B61" s="109" t="s">
        <v>396</v>
      </c>
    </row>
    <row r="62" spans="1:2">
      <c r="A62" s="107" t="s">
        <v>397</v>
      </c>
      <c r="B62" s="109" t="s">
        <v>398</v>
      </c>
    </row>
    <row r="63" spans="1:2">
      <c r="A63" s="107" t="s">
        <v>399</v>
      </c>
      <c r="B63" s="107" t="s">
        <v>400</v>
      </c>
    </row>
    <row r="64" spans="1:2">
      <c r="A64" s="107" t="s">
        <v>401</v>
      </c>
      <c r="B64" s="107" t="s">
        <v>402</v>
      </c>
    </row>
    <row r="65" spans="1:2">
      <c r="A65" s="107" t="s">
        <v>403</v>
      </c>
      <c r="B65" s="107" t="s">
        <v>404</v>
      </c>
    </row>
    <row r="66" spans="1:2">
      <c r="A66" s="107" t="s">
        <v>405</v>
      </c>
      <c r="B66" s="107" t="s">
        <v>406</v>
      </c>
    </row>
    <row r="67" spans="1:2">
      <c r="A67" s="107" t="s">
        <v>407</v>
      </c>
      <c r="B67" s="107" t="s">
        <v>408</v>
      </c>
    </row>
    <row r="68" spans="1:2">
      <c r="A68" s="107" t="s">
        <v>409</v>
      </c>
      <c r="B68" s="109" t="s">
        <v>410</v>
      </c>
    </row>
    <row r="69" spans="1:2">
      <c r="A69" s="107" t="s">
        <v>411</v>
      </c>
      <c r="B69" s="107" t="s">
        <v>412</v>
      </c>
    </row>
    <row r="70" spans="1:2">
      <c r="A70" s="110" t="s">
        <v>413</v>
      </c>
      <c r="B70" s="111" t="s">
        <v>414</v>
      </c>
    </row>
    <row r="71" spans="1:2">
      <c r="A71" s="107" t="s">
        <v>415</v>
      </c>
      <c r="B71" s="109" t="s">
        <v>416</v>
      </c>
    </row>
    <row r="72" spans="1:2">
      <c r="A72" s="107" t="s">
        <v>417</v>
      </c>
      <c r="B72" s="107" t="s">
        <v>418</v>
      </c>
    </row>
    <row r="73" spans="1:2">
      <c r="A73" s="107" t="s">
        <v>419</v>
      </c>
      <c r="B73" s="107" t="s">
        <v>420</v>
      </c>
    </row>
    <row r="74" spans="1:2">
      <c r="A74" s="107" t="s">
        <v>421</v>
      </c>
      <c r="B74" s="107" t="s">
        <v>422</v>
      </c>
    </row>
    <row r="75" spans="1:2">
      <c r="A75" s="107" t="s">
        <v>423</v>
      </c>
      <c r="B75" s="109" t="s">
        <v>424</v>
      </c>
    </row>
    <row r="76" spans="1:2">
      <c r="A76" s="107" t="s">
        <v>425</v>
      </c>
      <c r="B76" s="107" t="s">
        <v>426</v>
      </c>
    </row>
    <row r="77" spans="1:2">
      <c r="A77" s="107" t="s">
        <v>427</v>
      </c>
      <c r="B77" s="107" t="s">
        <v>428</v>
      </c>
    </row>
    <row r="78" spans="1:2">
      <c r="A78" s="107" t="s">
        <v>429</v>
      </c>
      <c r="B78" s="107" t="s">
        <v>430</v>
      </c>
    </row>
    <row r="79" spans="1:2">
      <c r="A79" s="107" t="s">
        <v>431</v>
      </c>
      <c r="B79" s="107" t="s">
        <v>432</v>
      </c>
    </row>
    <row r="80" spans="1:2">
      <c r="A80" s="107" t="s">
        <v>433</v>
      </c>
      <c r="B80" s="107" t="s">
        <v>434</v>
      </c>
    </row>
    <row r="81" spans="1:2">
      <c r="A81" s="107" t="s">
        <v>435</v>
      </c>
      <c r="B81" s="107" t="s">
        <v>436</v>
      </c>
    </row>
    <row r="82" spans="1:2">
      <c r="A82" s="107" t="s">
        <v>437</v>
      </c>
      <c r="B82" s="107" t="s">
        <v>438</v>
      </c>
    </row>
    <row r="83" spans="1:2">
      <c r="A83" s="107" t="s">
        <v>439</v>
      </c>
      <c r="B83" s="107" t="s">
        <v>440</v>
      </c>
    </row>
    <row r="84" spans="1:2">
      <c r="A84" s="107" t="s">
        <v>441</v>
      </c>
      <c r="B84" s="107" t="s">
        <v>442</v>
      </c>
    </row>
    <row r="85" spans="1:2">
      <c r="A85" s="107" t="s">
        <v>443</v>
      </c>
      <c r="B85" s="107" t="s">
        <v>444</v>
      </c>
    </row>
    <row r="86" spans="1:2">
      <c r="A86" s="107" t="s">
        <v>445</v>
      </c>
      <c r="B86" s="107" t="s">
        <v>446</v>
      </c>
    </row>
    <row r="87" spans="1:2">
      <c r="A87" s="107" t="s">
        <v>267</v>
      </c>
      <c r="B87" s="107" t="s">
        <v>447</v>
      </c>
    </row>
    <row r="88" spans="1:2">
      <c r="A88" s="107" t="s">
        <v>448</v>
      </c>
      <c r="B88" s="109" t="s">
        <v>449</v>
      </c>
    </row>
    <row r="89" spans="1:2">
      <c r="A89" s="107" t="s">
        <v>450</v>
      </c>
      <c r="B89" s="107" t="s">
        <v>451</v>
      </c>
    </row>
    <row r="90" spans="1:2">
      <c r="A90" s="107" t="s">
        <v>452</v>
      </c>
      <c r="B90" s="107" t="s">
        <v>453</v>
      </c>
    </row>
    <row r="91" spans="1:2">
      <c r="A91" s="107" t="s">
        <v>454</v>
      </c>
      <c r="B91" s="107" t="s">
        <v>455</v>
      </c>
    </row>
    <row r="92" spans="1:2">
      <c r="A92" s="107" t="s">
        <v>456</v>
      </c>
      <c r="B92" s="107" t="s">
        <v>457</v>
      </c>
    </row>
    <row r="93" spans="1:2">
      <c r="A93" s="107" t="s">
        <v>458</v>
      </c>
      <c r="B93" s="107" t="s">
        <v>459</v>
      </c>
    </row>
    <row r="94" spans="1:2">
      <c r="A94" s="107" t="s">
        <v>460</v>
      </c>
      <c r="B94" s="107" t="s">
        <v>461</v>
      </c>
    </row>
    <row r="95" spans="1:2">
      <c r="A95" s="107" t="s">
        <v>462</v>
      </c>
      <c r="B95" s="107" t="s">
        <v>463</v>
      </c>
    </row>
    <row r="96" spans="1:2">
      <c r="A96" s="107" t="s">
        <v>464</v>
      </c>
      <c r="B96" s="107" t="s">
        <v>465</v>
      </c>
    </row>
    <row r="97" spans="1:2">
      <c r="A97" s="107" t="s">
        <v>466</v>
      </c>
      <c r="B97" s="107" t="s">
        <v>467</v>
      </c>
    </row>
    <row r="98" spans="1:2">
      <c r="A98" s="107" t="s">
        <v>468</v>
      </c>
      <c r="B98" s="107" t="s">
        <v>469</v>
      </c>
    </row>
    <row r="99" spans="1:2">
      <c r="A99" s="107" t="s">
        <v>470</v>
      </c>
      <c r="B99" s="107" t="s">
        <v>471</v>
      </c>
    </row>
    <row r="100" spans="1:2">
      <c r="A100" s="107" t="s">
        <v>472</v>
      </c>
      <c r="B100" s="107" t="s">
        <v>473</v>
      </c>
    </row>
    <row r="101" spans="1:2">
      <c r="A101" s="107" t="s">
        <v>474</v>
      </c>
      <c r="B101" s="107" t="s">
        <v>475</v>
      </c>
    </row>
    <row r="102" spans="1:2">
      <c r="A102" s="107" t="s">
        <v>476</v>
      </c>
      <c r="B102" s="107" t="s">
        <v>477</v>
      </c>
    </row>
    <row r="103" spans="1:2">
      <c r="A103" s="107" t="s">
        <v>478</v>
      </c>
      <c r="B103" s="107" t="s">
        <v>479</v>
      </c>
    </row>
    <row r="104" spans="1:2">
      <c r="A104" s="107" t="s">
        <v>480</v>
      </c>
      <c r="B104" s="107" t="s">
        <v>481</v>
      </c>
    </row>
    <row r="105" spans="1:2">
      <c r="A105" s="107" t="s">
        <v>482</v>
      </c>
      <c r="B105" s="107" t="s">
        <v>483</v>
      </c>
    </row>
    <row r="106" spans="1:2">
      <c r="A106" s="107" t="s">
        <v>484</v>
      </c>
      <c r="B106" s="107" t="s">
        <v>485</v>
      </c>
    </row>
    <row r="107" spans="1:2">
      <c r="A107" s="107" t="s">
        <v>486</v>
      </c>
      <c r="B107" s="107" t="s">
        <v>487</v>
      </c>
    </row>
    <row r="108" spans="1:2">
      <c r="A108" s="107" t="s">
        <v>488</v>
      </c>
      <c r="B108" s="107" t="s">
        <v>489</v>
      </c>
    </row>
    <row r="109" spans="1:2">
      <c r="A109" s="107" t="s">
        <v>490</v>
      </c>
      <c r="B109" s="107" t="s">
        <v>491</v>
      </c>
    </row>
    <row r="110" spans="1:2">
      <c r="A110" s="107" t="s">
        <v>492</v>
      </c>
      <c r="B110" s="107" t="s">
        <v>493</v>
      </c>
    </row>
    <row r="111" spans="1:2">
      <c r="A111" s="107" t="s">
        <v>266</v>
      </c>
      <c r="B111" s="107" t="s">
        <v>494</v>
      </c>
    </row>
    <row r="112" spans="1:2">
      <c r="A112" s="107" t="s">
        <v>495</v>
      </c>
      <c r="B112" s="107" t="s">
        <v>496</v>
      </c>
    </row>
    <row r="113" spans="1:2">
      <c r="A113" s="107" t="s">
        <v>497</v>
      </c>
      <c r="B113" s="107" t="s">
        <v>498</v>
      </c>
    </row>
    <row r="114" spans="1:2">
      <c r="A114" s="107" t="s">
        <v>499</v>
      </c>
      <c r="B114" s="107" t="s">
        <v>500</v>
      </c>
    </row>
    <row r="115" spans="1:2">
      <c r="A115" s="107" t="s">
        <v>501</v>
      </c>
      <c r="B115" s="107" t="s">
        <v>502</v>
      </c>
    </row>
    <row r="116" spans="1:2">
      <c r="A116" s="107" t="s">
        <v>503</v>
      </c>
      <c r="B116" s="107" t="s">
        <v>504</v>
      </c>
    </row>
    <row r="117" spans="1:2">
      <c r="A117" s="107" t="s">
        <v>505</v>
      </c>
      <c r="B117" s="107" t="s">
        <v>506</v>
      </c>
    </row>
    <row r="118" spans="1:2">
      <c r="A118" s="107" t="s">
        <v>507</v>
      </c>
      <c r="B118" s="107" t="s">
        <v>508</v>
      </c>
    </row>
    <row r="119" spans="1:2">
      <c r="A119" s="107" t="s">
        <v>251</v>
      </c>
      <c r="B119" s="107" t="s">
        <v>509</v>
      </c>
    </row>
    <row r="120" spans="1:2">
      <c r="A120" s="107" t="s">
        <v>268</v>
      </c>
      <c r="B120" s="107" t="s">
        <v>510</v>
      </c>
    </row>
    <row r="121" spans="1:2">
      <c r="A121" s="107" t="s">
        <v>511</v>
      </c>
      <c r="B121" s="107" t="s">
        <v>512</v>
      </c>
    </row>
    <row r="122" spans="1:2">
      <c r="A122" s="107" t="s">
        <v>513</v>
      </c>
      <c r="B122" s="107" t="s">
        <v>514</v>
      </c>
    </row>
    <row r="123" spans="1:2">
      <c r="A123" s="107" t="s">
        <v>515</v>
      </c>
      <c r="B123" s="107" t="s">
        <v>516</v>
      </c>
    </row>
    <row r="124" spans="1:2">
      <c r="A124" s="107" t="s">
        <v>517</v>
      </c>
      <c r="B124" s="107" t="s">
        <v>518</v>
      </c>
    </row>
    <row r="125" spans="1:2">
      <c r="A125" s="107" t="s">
        <v>519</v>
      </c>
      <c r="B125" s="107" t="s">
        <v>520</v>
      </c>
    </row>
    <row r="126" spans="1:2">
      <c r="A126" s="107" t="s">
        <v>521</v>
      </c>
      <c r="B126" s="107" t="s">
        <v>522</v>
      </c>
    </row>
    <row r="127" spans="1:2">
      <c r="A127" s="107" t="s">
        <v>523</v>
      </c>
      <c r="B127" s="107" t="s">
        <v>524</v>
      </c>
    </row>
    <row r="128" spans="1:2">
      <c r="A128" s="107" t="s">
        <v>525</v>
      </c>
      <c r="B128" s="107" t="s">
        <v>526</v>
      </c>
    </row>
    <row r="129" spans="1:2">
      <c r="A129" s="107" t="s">
        <v>527</v>
      </c>
      <c r="B129" s="107" t="s">
        <v>528</v>
      </c>
    </row>
    <row r="130" spans="1:2">
      <c r="A130" s="107" t="s">
        <v>529</v>
      </c>
      <c r="B130" s="107" t="s">
        <v>530</v>
      </c>
    </row>
    <row r="131" spans="1:2">
      <c r="A131" s="107" t="s">
        <v>531</v>
      </c>
      <c r="B131" s="107" t="s">
        <v>532</v>
      </c>
    </row>
    <row r="132" spans="1:2">
      <c r="A132" s="107" t="s">
        <v>533</v>
      </c>
      <c r="B132" s="107" t="s">
        <v>534</v>
      </c>
    </row>
    <row r="133" spans="1:2">
      <c r="A133" s="107" t="s">
        <v>535</v>
      </c>
      <c r="B133" s="107" t="s">
        <v>536</v>
      </c>
    </row>
    <row r="134" spans="1:2">
      <c r="A134" s="107" t="s">
        <v>537</v>
      </c>
      <c r="B134" s="107" t="s">
        <v>538</v>
      </c>
    </row>
    <row r="135" spans="1:2">
      <c r="A135" s="107" t="s">
        <v>539</v>
      </c>
      <c r="B135" s="107" t="s">
        <v>540</v>
      </c>
    </row>
    <row r="136" spans="1:2">
      <c r="A136" s="107" t="s">
        <v>541</v>
      </c>
      <c r="B136" s="107" t="s">
        <v>542</v>
      </c>
    </row>
    <row r="137" spans="1:2">
      <c r="A137" s="107" t="s">
        <v>543</v>
      </c>
      <c r="B137" s="107" t="s">
        <v>544</v>
      </c>
    </row>
    <row r="138" spans="1:2">
      <c r="A138" s="107" t="s">
        <v>545</v>
      </c>
      <c r="B138" s="107" t="s">
        <v>546</v>
      </c>
    </row>
    <row r="139" spans="1:2">
      <c r="A139" s="107" t="s">
        <v>547</v>
      </c>
      <c r="B139" s="107" t="s">
        <v>548</v>
      </c>
    </row>
    <row r="140" spans="1:2">
      <c r="A140" s="107" t="s">
        <v>549</v>
      </c>
      <c r="B140" s="107" t="s">
        <v>550</v>
      </c>
    </row>
    <row r="141" spans="1:2">
      <c r="A141" s="107" t="s">
        <v>551</v>
      </c>
      <c r="B141" s="109" t="s">
        <v>552</v>
      </c>
    </row>
    <row r="142" spans="1:2">
      <c r="A142" s="107" t="s">
        <v>553</v>
      </c>
      <c r="B142" s="107" t="s">
        <v>554</v>
      </c>
    </row>
    <row r="143" spans="1:2">
      <c r="A143" s="107" t="s">
        <v>555</v>
      </c>
      <c r="B143" s="107" t="s">
        <v>556</v>
      </c>
    </row>
    <row r="144" spans="1:2">
      <c r="A144" s="107" t="s">
        <v>557</v>
      </c>
      <c r="B144" s="107" t="s">
        <v>558</v>
      </c>
    </row>
    <row r="145" spans="1:2">
      <c r="A145" s="107" t="s">
        <v>559</v>
      </c>
      <c r="B145" s="107" t="s">
        <v>560</v>
      </c>
    </row>
    <row r="146" spans="1:2">
      <c r="A146" s="107" t="s">
        <v>561</v>
      </c>
      <c r="B146" s="107" t="s">
        <v>562</v>
      </c>
    </row>
    <row r="147" spans="1:2">
      <c r="A147" s="107" t="s">
        <v>563</v>
      </c>
      <c r="B147" s="107" t="s">
        <v>564</v>
      </c>
    </row>
    <row r="148" spans="1:2">
      <c r="A148" s="107" t="s">
        <v>565</v>
      </c>
      <c r="B148" s="107" t="s">
        <v>566</v>
      </c>
    </row>
    <row r="149" spans="1:2">
      <c r="A149" s="107" t="s">
        <v>567</v>
      </c>
      <c r="B149" s="107" t="s">
        <v>568</v>
      </c>
    </row>
    <row r="150" spans="1:2">
      <c r="A150" s="107" t="s">
        <v>569</v>
      </c>
      <c r="B150" s="107" t="s">
        <v>570</v>
      </c>
    </row>
    <row r="151" spans="1:2">
      <c r="A151" s="107" t="s">
        <v>571</v>
      </c>
      <c r="B151" s="107" t="s">
        <v>572</v>
      </c>
    </row>
    <row r="152" spans="1:2">
      <c r="A152" s="107" t="s">
        <v>573</v>
      </c>
      <c r="B152" s="107" t="s">
        <v>574</v>
      </c>
    </row>
    <row r="153" spans="1:2">
      <c r="A153" s="107" t="s">
        <v>575</v>
      </c>
      <c r="B153" s="107" t="s">
        <v>576</v>
      </c>
    </row>
    <row r="154" spans="1:2">
      <c r="A154" s="107" t="s">
        <v>577</v>
      </c>
      <c r="B154" s="107" t="s">
        <v>578</v>
      </c>
    </row>
    <row r="155" spans="1:2">
      <c r="A155" s="107" t="s">
        <v>579</v>
      </c>
      <c r="B155" s="109" t="s">
        <v>580</v>
      </c>
    </row>
    <row r="156" spans="1:2">
      <c r="A156" s="107" t="s">
        <v>581</v>
      </c>
      <c r="B156" s="107" t="s">
        <v>582</v>
      </c>
    </row>
    <row r="157" spans="1:2">
      <c r="A157" s="107" t="s">
        <v>583</v>
      </c>
      <c r="B157" s="107" t="s">
        <v>584</v>
      </c>
    </row>
    <row r="158" spans="1:2">
      <c r="A158" s="107" t="s">
        <v>585</v>
      </c>
      <c r="B158" s="107" t="s">
        <v>586</v>
      </c>
    </row>
    <row r="159" spans="1:2">
      <c r="A159" s="107" t="s">
        <v>587</v>
      </c>
      <c r="B159" s="107" t="s">
        <v>588</v>
      </c>
    </row>
    <row r="160" spans="1:2">
      <c r="A160" s="107" t="s">
        <v>589</v>
      </c>
      <c r="B160" s="107" t="s">
        <v>590</v>
      </c>
    </row>
    <row r="161" spans="1:2">
      <c r="A161" s="107" t="s">
        <v>591</v>
      </c>
      <c r="B161" s="107" t="s">
        <v>592</v>
      </c>
    </row>
    <row r="162" spans="1:2">
      <c r="A162" s="107" t="s">
        <v>593</v>
      </c>
      <c r="B162" s="107" t="s">
        <v>594</v>
      </c>
    </row>
    <row r="163" spans="1:2">
      <c r="A163" s="107" t="s">
        <v>595</v>
      </c>
      <c r="B163" s="107" t="s">
        <v>596</v>
      </c>
    </row>
    <row r="164" spans="1:2">
      <c r="A164" s="107" t="s">
        <v>597</v>
      </c>
      <c r="B164" s="107" t="s">
        <v>598</v>
      </c>
    </row>
    <row r="165" spans="1:2">
      <c r="A165" s="107" t="s">
        <v>599</v>
      </c>
      <c r="B165" s="107" t="s">
        <v>600</v>
      </c>
    </row>
    <row r="166" spans="1:2">
      <c r="A166" s="107" t="s">
        <v>601</v>
      </c>
      <c r="B166" s="107" t="s">
        <v>602</v>
      </c>
    </row>
    <row r="167" spans="1:2">
      <c r="A167" s="107" t="s">
        <v>603</v>
      </c>
      <c r="B167" s="107" t="s">
        <v>604</v>
      </c>
    </row>
    <row r="168" spans="1:2">
      <c r="A168" s="107" t="s">
        <v>605</v>
      </c>
      <c r="B168" s="107" t="s">
        <v>606</v>
      </c>
    </row>
    <row r="169" spans="1:2">
      <c r="A169" s="107" t="s">
        <v>607</v>
      </c>
      <c r="B169" s="107" t="s">
        <v>608</v>
      </c>
    </row>
    <row r="170" spans="1:2">
      <c r="A170" s="107" t="s">
        <v>609</v>
      </c>
      <c r="B170" s="107" t="s">
        <v>610</v>
      </c>
    </row>
    <row r="171" spans="1:2">
      <c r="A171" s="107" t="s">
        <v>611</v>
      </c>
      <c r="B171" s="107" t="s">
        <v>612</v>
      </c>
    </row>
    <row r="172" spans="1:2">
      <c r="A172" s="107" t="s">
        <v>613</v>
      </c>
      <c r="B172" s="107" t="s">
        <v>614</v>
      </c>
    </row>
    <row r="173" spans="1:2">
      <c r="A173" s="107" t="s">
        <v>615</v>
      </c>
      <c r="B173" s="107" t="s">
        <v>616</v>
      </c>
    </row>
    <row r="174" spans="1:2">
      <c r="A174" s="107" t="s">
        <v>617</v>
      </c>
      <c r="B174" s="107" t="s">
        <v>618</v>
      </c>
    </row>
    <row r="175" spans="1:2">
      <c r="A175" s="107" t="s">
        <v>619</v>
      </c>
      <c r="B175" s="107" t="s">
        <v>620</v>
      </c>
    </row>
    <row r="176" spans="1:2">
      <c r="A176" s="107" t="s">
        <v>621</v>
      </c>
      <c r="B176" s="107" t="s">
        <v>622</v>
      </c>
    </row>
    <row r="177" spans="1:2">
      <c r="A177" s="112" t="s">
        <v>623</v>
      </c>
      <c r="B177" s="107" t="s">
        <v>624</v>
      </c>
    </row>
    <row r="178" spans="1:2">
      <c r="A178" s="112" t="s">
        <v>625</v>
      </c>
      <c r="B178" s="107" t="s">
        <v>626</v>
      </c>
    </row>
    <row r="179" spans="1:2">
      <c r="A179" s="107" t="s">
        <v>163</v>
      </c>
      <c r="B179" s="107" t="s">
        <v>627</v>
      </c>
    </row>
    <row r="180" spans="1:2">
      <c r="A180" s="107" t="s">
        <v>628</v>
      </c>
      <c r="B180" s="107" t="s">
        <v>629</v>
      </c>
    </row>
    <row r="181" spans="1:2">
      <c r="A181" s="107" t="s">
        <v>630</v>
      </c>
      <c r="B181" s="107" t="s">
        <v>631</v>
      </c>
    </row>
    <row r="182" spans="1:2">
      <c r="A182" s="107" t="s">
        <v>259</v>
      </c>
      <c r="B182" s="107" t="s">
        <v>632</v>
      </c>
    </row>
    <row r="183" spans="1:2">
      <c r="A183" s="107" t="s">
        <v>633</v>
      </c>
      <c r="B183" s="107" t="s">
        <v>634</v>
      </c>
    </row>
    <row r="184" spans="1:2">
      <c r="A184" s="107" t="s">
        <v>635</v>
      </c>
      <c r="B184" s="107" t="s">
        <v>636</v>
      </c>
    </row>
    <row r="185" spans="1:2">
      <c r="A185" s="107" t="s">
        <v>637</v>
      </c>
      <c r="B185" s="107" t="s">
        <v>638</v>
      </c>
    </row>
    <row r="186" spans="1:2">
      <c r="A186" s="107" t="s">
        <v>639</v>
      </c>
      <c r="B186" s="107" t="s">
        <v>640</v>
      </c>
    </row>
    <row r="187" spans="1:2">
      <c r="A187" s="107" t="s">
        <v>641</v>
      </c>
      <c r="B187" s="107" t="s">
        <v>642</v>
      </c>
    </row>
    <row r="188" spans="1:2">
      <c r="A188" s="107" t="s">
        <v>643</v>
      </c>
      <c r="B188" s="107" t="s">
        <v>644</v>
      </c>
    </row>
    <row r="189" spans="1:2">
      <c r="A189" s="107" t="s">
        <v>645</v>
      </c>
      <c r="B189" s="107" t="s">
        <v>646</v>
      </c>
    </row>
    <row r="190" spans="1:2">
      <c r="A190" s="107" t="s">
        <v>647</v>
      </c>
      <c r="B190" s="107" t="s">
        <v>648</v>
      </c>
    </row>
    <row r="191" spans="1:2">
      <c r="A191" s="107" t="s">
        <v>161</v>
      </c>
      <c r="B191" s="107" t="s">
        <v>649</v>
      </c>
    </row>
    <row r="192" spans="1:2">
      <c r="A192" s="107" t="s">
        <v>650</v>
      </c>
      <c r="B192" s="107" t="s">
        <v>651</v>
      </c>
    </row>
    <row r="193" spans="1:2">
      <c r="A193" s="107" t="s">
        <v>652</v>
      </c>
      <c r="B193" s="107" t="s">
        <v>653</v>
      </c>
    </row>
    <row r="194" spans="1:2">
      <c r="A194" s="107" t="s">
        <v>654</v>
      </c>
      <c r="B194" s="109" t="s">
        <v>655</v>
      </c>
    </row>
    <row r="195" spans="1:2">
      <c r="A195" s="107" t="s">
        <v>656</v>
      </c>
      <c r="B195" s="107" t="s">
        <v>657</v>
      </c>
    </row>
    <row r="196" spans="1:2">
      <c r="A196" s="107" t="s">
        <v>658</v>
      </c>
      <c r="B196" s="109" t="s">
        <v>659</v>
      </c>
    </row>
    <row r="197" spans="1:2">
      <c r="A197" s="107" t="s">
        <v>660</v>
      </c>
      <c r="B197" s="109" t="s">
        <v>661</v>
      </c>
    </row>
    <row r="198" spans="1:2">
      <c r="A198" s="107" t="s">
        <v>662</v>
      </c>
      <c r="B198" s="107" t="s">
        <v>663</v>
      </c>
    </row>
    <row r="199" spans="1:2">
      <c r="A199" s="107" t="s">
        <v>664</v>
      </c>
      <c r="B199" s="107" t="s">
        <v>665</v>
      </c>
    </row>
    <row r="200" spans="1:2">
      <c r="A200" s="107" t="s">
        <v>666</v>
      </c>
      <c r="B200" s="107" t="s">
        <v>667</v>
      </c>
    </row>
    <row r="201" spans="1:2">
      <c r="A201" s="107" t="s">
        <v>668</v>
      </c>
      <c r="B201" s="107" t="s">
        <v>669</v>
      </c>
    </row>
    <row r="202" spans="1:2">
      <c r="A202" s="107" t="s">
        <v>222</v>
      </c>
      <c r="B202" s="107" t="s">
        <v>670</v>
      </c>
    </row>
    <row r="203" spans="1:2">
      <c r="A203" s="107" t="s">
        <v>671</v>
      </c>
      <c r="B203" s="109" t="s">
        <v>672</v>
      </c>
    </row>
    <row r="204" spans="1:2">
      <c r="A204" s="107" t="s">
        <v>673</v>
      </c>
      <c r="B204" s="109" t="s">
        <v>674</v>
      </c>
    </row>
    <row r="205" spans="1:2">
      <c r="A205" s="107" t="s">
        <v>675</v>
      </c>
      <c r="B205" s="109" t="s">
        <v>676</v>
      </c>
    </row>
    <row r="206" spans="1:2">
      <c r="A206" s="107" t="s">
        <v>677</v>
      </c>
      <c r="B206" s="107" t="s">
        <v>678</v>
      </c>
    </row>
    <row r="207" spans="1:2">
      <c r="A207" s="107" t="s">
        <v>679</v>
      </c>
      <c r="B207" s="109" t="s">
        <v>680</v>
      </c>
    </row>
    <row r="208" spans="1:2">
      <c r="A208" s="107" t="s">
        <v>681</v>
      </c>
      <c r="B208" s="109" t="s">
        <v>682</v>
      </c>
    </row>
    <row r="209" spans="1:2">
      <c r="A209" s="107" t="s">
        <v>683</v>
      </c>
      <c r="B209" s="107" t="s">
        <v>684</v>
      </c>
    </row>
    <row r="210" spans="1:2">
      <c r="A210" s="107" t="s">
        <v>685</v>
      </c>
      <c r="B210" s="107" t="s">
        <v>686</v>
      </c>
    </row>
    <row r="211" spans="1:2">
      <c r="A211" s="107" t="s">
        <v>687</v>
      </c>
      <c r="B211" s="107" t="s">
        <v>688</v>
      </c>
    </row>
    <row r="212" spans="1:2">
      <c r="A212" s="107" t="s">
        <v>689</v>
      </c>
      <c r="B212" s="107" t="s">
        <v>690</v>
      </c>
    </row>
    <row r="213" spans="1:2">
      <c r="A213" s="107" t="s">
        <v>691</v>
      </c>
      <c r="B213" s="109" t="s">
        <v>692</v>
      </c>
    </row>
    <row r="214" spans="1:2">
      <c r="A214" s="107" t="s">
        <v>693</v>
      </c>
      <c r="B214" s="107" t="s">
        <v>694</v>
      </c>
    </row>
    <row r="215" spans="1:2">
      <c r="A215" s="107" t="s">
        <v>695</v>
      </c>
      <c r="B215" s="107" t="s">
        <v>696</v>
      </c>
    </row>
    <row r="216" spans="1:2">
      <c r="A216" s="107" t="s">
        <v>697</v>
      </c>
      <c r="B216" s="107" t="s">
        <v>698</v>
      </c>
    </row>
    <row r="217" spans="1:2">
      <c r="A217" s="107" t="s">
        <v>699</v>
      </c>
      <c r="B217" s="109" t="s">
        <v>700</v>
      </c>
    </row>
    <row r="218" spans="1:2">
      <c r="A218" s="107" t="s">
        <v>701</v>
      </c>
      <c r="B218" s="107" t="s">
        <v>702</v>
      </c>
    </row>
    <row r="219" spans="1:2">
      <c r="A219" s="107" t="s">
        <v>703</v>
      </c>
      <c r="B219" s="107" t="s">
        <v>704</v>
      </c>
    </row>
    <row r="220" spans="1:2">
      <c r="A220" s="107" t="s">
        <v>705</v>
      </c>
      <c r="B220" s="107" t="s">
        <v>706</v>
      </c>
    </row>
    <row r="221" spans="1:2">
      <c r="A221" s="107" t="s">
        <v>707</v>
      </c>
      <c r="B221" s="107" t="s">
        <v>708</v>
      </c>
    </row>
    <row r="222" spans="1:2">
      <c r="A222" s="107" t="s">
        <v>235</v>
      </c>
      <c r="B222" s="107" t="s">
        <v>709</v>
      </c>
    </row>
    <row r="223" spans="1:2">
      <c r="A223" s="107" t="s">
        <v>710</v>
      </c>
      <c r="B223" s="107" t="s">
        <v>711</v>
      </c>
    </row>
    <row r="224" spans="1:2">
      <c r="A224" s="107" t="s">
        <v>712</v>
      </c>
      <c r="B224" s="107" t="s">
        <v>713</v>
      </c>
    </row>
    <row r="225" spans="1:2">
      <c r="A225" s="107" t="s">
        <v>714</v>
      </c>
      <c r="B225" s="107" t="s">
        <v>715</v>
      </c>
    </row>
    <row r="226" spans="1:2">
      <c r="A226" s="107" t="s">
        <v>716</v>
      </c>
      <c r="B226" s="107" t="s">
        <v>717</v>
      </c>
    </row>
    <row r="227" spans="1:2">
      <c r="A227" s="107" t="s">
        <v>718</v>
      </c>
      <c r="B227" s="107" t="s">
        <v>719</v>
      </c>
    </row>
    <row r="228" spans="1:2">
      <c r="A228" s="107" t="s">
        <v>720</v>
      </c>
      <c r="B228" s="107" t="s">
        <v>721</v>
      </c>
    </row>
    <row r="229" spans="1:2">
      <c r="A229" s="107" t="s">
        <v>722</v>
      </c>
      <c r="B229" s="107" t="s">
        <v>723</v>
      </c>
    </row>
    <row r="230" spans="1:2">
      <c r="A230" s="107" t="s">
        <v>724</v>
      </c>
      <c r="B230" s="107" t="s">
        <v>725</v>
      </c>
    </row>
    <row r="231" spans="1:2">
      <c r="A231" s="107" t="s">
        <v>726</v>
      </c>
      <c r="B231" s="107" t="s">
        <v>727</v>
      </c>
    </row>
    <row r="232" spans="1:2">
      <c r="A232" s="107" t="s">
        <v>728</v>
      </c>
      <c r="B232" s="107" t="s">
        <v>382</v>
      </c>
    </row>
    <row r="233" spans="1:2">
      <c r="A233" s="107" t="s">
        <v>729</v>
      </c>
      <c r="B233" s="107" t="s">
        <v>730</v>
      </c>
    </row>
    <row r="234" spans="1:2">
      <c r="A234" s="107" t="s">
        <v>731</v>
      </c>
      <c r="B234" s="107" t="s">
        <v>732</v>
      </c>
    </row>
    <row r="235" spans="1:2">
      <c r="A235" s="107" t="s">
        <v>192</v>
      </c>
      <c r="B235" s="107" t="s">
        <v>733</v>
      </c>
    </row>
    <row r="236" spans="1:2">
      <c r="A236" s="107" t="s">
        <v>157</v>
      </c>
      <c r="B236" s="107" t="s">
        <v>734</v>
      </c>
    </row>
    <row r="237" spans="1:2">
      <c r="A237" s="107" t="s">
        <v>735</v>
      </c>
      <c r="B237" s="107" t="s">
        <v>736</v>
      </c>
    </row>
    <row r="238" spans="1:2">
      <c r="A238" s="107" t="s">
        <v>737</v>
      </c>
      <c r="B238" s="107" t="s">
        <v>738</v>
      </c>
    </row>
    <row r="239" spans="1:2">
      <c r="A239" s="107" t="s">
        <v>739</v>
      </c>
      <c r="B239" s="107" t="s">
        <v>740</v>
      </c>
    </row>
    <row r="240" spans="1:2">
      <c r="A240" s="107" t="s">
        <v>741</v>
      </c>
      <c r="B240" s="107" t="s">
        <v>742</v>
      </c>
    </row>
    <row r="241" spans="1:2">
      <c r="A241" s="107" t="s">
        <v>743</v>
      </c>
      <c r="B241" s="107" t="s">
        <v>744</v>
      </c>
    </row>
    <row r="242" spans="1:2">
      <c r="A242" s="107" t="s">
        <v>745</v>
      </c>
      <c r="B242" s="107" t="s">
        <v>746</v>
      </c>
    </row>
    <row r="243" spans="1:2">
      <c r="A243" s="107" t="s">
        <v>747</v>
      </c>
      <c r="B243" s="107" t="s">
        <v>748</v>
      </c>
    </row>
    <row r="244" spans="1:2">
      <c r="A244" s="107" t="s">
        <v>749</v>
      </c>
      <c r="B244" s="107" t="s">
        <v>750</v>
      </c>
    </row>
    <row r="245" spans="1:2">
      <c r="A245" s="107" t="s">
        <v>751</v>
      </c>
      <c r="B245" s="107" t="s">
        <v>752</v>
      </c>
    </row>
    <row r="246" spans="1:2">
      <c r="A246" s="107" t="s">
        <v>753</v>
      </c>
      <c r="B246" s="107" t="s">
        <v>754</v>
      </c>
    </row>
    <row r="247" spans="1:2">
      <c r="A247" s="107" t="s">
        <v>755</v>
      </c>
      <c r="B247" s="107" t="s">
        <v>756</v>
      </c>
    </row>
    <row r="248" spans="1:2">
      <c r="A248" s="107" t="s">
        <v>757</v>
      </c>
      <c r="B248" s="107" t="s">
        <v>758</v>
      </c>
    </row>
    <row r="249" spans="1:2">
      <c r="A249" s="107" t="s">
        <v>759</v>
      </c>
      <c r="B249" s="107" t="s">
        <v>760</v>
      </c>
    </row>
    <row r="250" spans="1:2">
      <c r="A250" s="107" t="s">
        <v>761</v>
      </c>
      <c r="B250" s="107" t="s">
        <v>762</v>
      </c>
    </row>
    <row r="251" spans="1:2">
      <c r="A251" s="107" t="s">
        <v>763</v>
      </c>
      <c r="B251" s="107" t="s">
        <v>764</v>
      </c>
    </row>
    <row r="252" spans="1:2">
      <c r="A252" s="107" t="s">
        <v>765</v>
      </c>
      <c r="B252" s="107" t="s">
        <v>766</v>
      </c>
    </row>
    <row r="253" spans="1:2">
      <c r="A253" s="107" t="s">
        <v>767</v>
      </c>
      <c r="B253" s="107" t="s">
        <v>768</v>
      </c>
    </row>
    <row r="254" spans="1:2">
      <c r="A254" s="107" t="s">
        <v>769</v>
      </c>
      <c r="B254" s="107" t="s">
        <v>770</v>
      </c>
    </row>
    <row r="255" spans="1:2">
      <c r="A255" s="107" t="s">
        <v>771</v>
      </c>
      <c r="B255" s="107" t="s">
        <v>772</v>
      </c>
    </row>
    <row r="256" spans="1:2">
      <c r="A256" s="107" t="s">
        <v>773</v>
      </c>
      <c r="B256" s="107" t="s">
        <v>774</v>
      </c>
    </row>
    <row r="257" spans="1:2">
      <c r="A257" s="107" t="s">
        <v>775</v>
      </c>
      <c r="B257" s="107" t="s">
        <v>776</v>
      </c>
    </row>
    <row r="258" spans="1:2">
      <c r="A258" s="107" t="s">
        <v>777</v>
      </c>
      <c r="B258" s="107" t="s">
        <v>778</v>
      </c>
    </row>
    <row r="259" spans="1:2">
      <c r="A259" s="107" t="s">
        <v>779</v>
      </c>
      <c r="B259" s="107" t="s">
        <v>780</v>
      </c>
    </row>
    <row r="260" spans="1:2">
      <c r="A260" s="107" t="s">
        <v>781</v>
      </c>
      <c r="B260" s="107" t="s">
        <v>782</v>
      </c>
    </row>
    <row r="261" spans="1:2">
      <c r="A261" s="107" t="s">
        <v>783</v>
      </c>
      <c r="B261" s="107" t="s">
        <v>784</v>
      </c>
    </row>
    <row r="262" spans="1:2">
      <c r="A262" s="107" t="s">
        <v>785</v>
      </c>
      <c r="B262" s="107" t="s">
        <v>786</v>
      </c>
    </row>
    <row r="263" spans="1:2">
      <c r="A263" s="107" t="s">
        <v>787</v>
      </c>
      <c r="B263" s="107" t="s">
        <v>788</v>
      </c>
    </row>
    <row r="264" spans="1:2">
      <c r="A264" s="107" t="s">
        <v>789</v>
      </c>
      <c r="B264" s="107" t="s">
        <v>790</v>
      </c>
    </row>
    <row r="265" spans="1:2">
      <c r="A265" s="107" t="s">
        <v>791</v>
      </c>
      <c r="B265" s="107" t="s">
        <v>792</v>
      </c>
    </row>
    <row r="266" spans="1:2">
      <c r="A266" s="107" t="s">
        <v>793</v>
      </c>
      <c r="B266" s="107" t="s">
        <v>794</v>
      </c>
    </row>
    <row r="267" spans="1:2">
      <c r="A267" s="107" t="s">
        <v>795</v>
      </c>
      <c r="B267" s="107" t="s">
        <v>796</v>
      </c>
    </row>
    <row r="268" spans="1:2">
      <c r="A268" s="107" t="s">
        <v>797</v>
      </c>
      <c r="B268" s="107" t="s">
        <v>798</v>
      </c>
    </row>
    <row r="269" spans="1:2">
      <c r="A269" s="107" t="s">
        <v>799</v>
      </c>
      <c r="B269" s="107" t="s">
        <v>378</v>
      </c>
    </row>
    <row r="270" spans="1:2">
      <c r="A270" s="107" t="s">
        <v>800</v>
      </c>
      <c r="B270" s="107" t="s">
        <v>801</v>
      </c>
    </row>
    <row r="271" spans="1:2">
      <c r="A271" s="107" t="s">
        <v>802</v>
      </c>
      <c r="B271" s="107" t="s">
        <v>803</v>
      </c>
    </row>
    <row r="272" spans="1:2">
      <c r="A272" s="107" t="s">
        <v>804</v>
      </c>
      <c r="B272" s="107" t="s">
        <v>805</v>
      </c>
    </row>
    <row r="273" spans="1:2">
      <c r="A273" s="107" t="s">
        <v>806</v>
      </c>
      <c r="B273" s="107" t="s">
        <v>807</v>
      </c>
    </row>
    <row r="274" spans="1:2">
      <c r="A274" s="107" t="s">
        <v>808</v>
      </c>
      <c r="B274" s="107" t="s">
        <v>809</v>
      </c>
    </row>
    <row r="275" spans="1:2">
      <c r="A275" s="107" t="s">
        <v>810</v>
      </c>
      <c r="B275" s="107" t="s">
        <v>811</v>
      </c>
    </row>
    <row r="276" spans="1:2">
      <c r="A276" s="107" t="s">
        <v>812</v>
      </c>
      <c r="B276" s="107" t="s">
        <v>813</v>
      </c>
    </row>
    <row r="277" spans="1:2">
      <c r="A277" s="107" t="s">
        <v>814</v>
      </c>
      <c r="B277" s="107" t="s">
        <v>803</v>
      </c>
    </row>
    <row r="278" spans="1:2">
      <c r="A278" s="107" t="s">
        <v>815</v>
      </c>
      <c r="B278" s="107" t="s">
        <v>816</v>
      </c>
    </row>
    <row r="279" spans="1:2">
      <c r="A279" s="107" t="s">
        <v>817</v>
      </c>
      <c r="B279" s="107" t="s">
        <v>818</v>
      </c>
    </row>
    <row r="280" spans="1:2">
      <c r="A280" s="107" t="s">
        <v>819</v>
      </c>
      <c r="B280" s="107" t="s">
        <v>820</v>
      </c>
    </row>
    <row r="281" spans="1:2">
      <c r="A281" s="107" t="s">
        <v>821</v>
      </c>
      <c r="B281" s="107" t="s">
        <v>822</v>
      </c>
    </row>
    <row r="282" spans="1:2">
      <c r="A282" s="107" t="s">
        <v>823</v>
      </c>
      <c r="B282" s="107" t="s">
        <v>824</v>
      </c>
    </row>
    <row r="283" spans="1:2">
      <c r="A283" s="107" t="s">
        <v>825</v>
      </c>
      <c r="B283" s="107" t="s">
        <v>826</v>
      </c>
    </row>
    <row r="284" spans="1:2">
      <c r="A284" s="107" t="s">
        <v>827</v>
      </c>
      <c r="B284" s="107" t="s">
        <v>828</v>
      </c>
    </row>
    <row r="285" spans="1:2">
      <c r="A285" s="107" t="s">
        <v>829</v>
      </c>
      <c r="B285" s="107" t="s">
        <v>830</v>
      </c>
    </row>
    <row r="286" spans="1:2">
      <c r="A286" s="107" t="s">
        <v>831</v>
      </c>
      <c r="B286" s="107" t="s">
        <v>382</v>
      </c>
    </row>
    <row r="287" spans="1:2">
      <c r="A287" s="107" t="s">
        <v>832</v>
      </c>
      <c r="B287" s="107" t="s">
        <v>833</v>
      </c>
    </row>
    <row r="288" spans="1:2">
      <c r="A288" s="107" t="s">
        <v>834</v>
      </c>
      <c r="B288" s="107" t="s">
        <v>835</v>
      </c>
    </row>
    <row r="289" spans="1:2">
      <c r="A289" s="107" t="s">
        <v>836</v>
      </c>
      <c r="B289" s="107" t="s">
        <v>837</v>
      </c>
    </row>
    <row r="290" spans="1:2">
      <c r="A290" s="107" t="s">
        <v>838</v>
      </c>
      <c r="B290" s="107" t="s">
        <v>839</v>
      </c>
    </row>
    <row r="291" spans="1:2">
      <c r="A291" s="107" t="s">
        <v>840</v>
      </c>
      <c r="B291" s="107" t="s">
        <v>841</v>
      </c>
    </row>
    <row r="292" spans="1:2">
      <c r="A292" s="107" t="s">
        <v>842</v>
      </c>
      <c r="B292" s="107" t="s">
        <v>843</v>
      </c>
    </row>
    <row r="293" spans="1:2">
      <c r="A293" s="107" t="s">
        <v>844</v>
      </c>
      <c r="B293" s="107" t="s">
        <v>845</v>
      </c>
    </row>
    <row r="294" spans="1:2">
      <c r="A294" s="107" t="s">
        <v>846</v>
      </c>
      <c r="B294" s="107" t="s">
        <v>835</v>
      </c>
    </row>
    <row r="295" spans="1:2">
      <c r="A295" s="107" t="s">
        <v>847</v>
      </c>
      <c r="B295" s="107" t="s">
        <v>848</v>
      </c>
    </row>
    <row r="296" spans="1:2">
      <c r="A296" s="107" t="s">
        <v>849</v>
      </c>
      <c r="B296" s="107" t="s">
        <v>850</v>
      </c>
    </row>
    <row r="297" spans="1:2">
      <c r="A297" s="107" t="s">
        <v>851</v>
      </c>
      <c r="B297" s="107" t="s">
        <v>852</v>
      </c>
    </row>
    <row r="298" spans="1:2">
      <c r="A298" s="107" t="s">
        <v>853</v>
      </c>
      <c r="B298" s="107" t="s">
        <v>854</v>
      </c>
    </row>
    <row r="299" spans="1:2">
      <c r="A299" s="107" t="s">
        <v>855</v>
      </c>
      <c r="B299" s="107" t="s">
        <v>856</v>
      </c>
    </row>
    <row r="300" spans="1:2">
      <c r="A300" s="107" t="s">
        <v>857</v>
      </c>
      <c r="B300" s="107" t="s">
        <v>858</v>
      </c>
    </row>
    <row r="301" spans="1:2">
      <c r="A301" s="107" t="s">
        <v>859</v>
      </c>
      <c r="B301" s="107" t="s">
        <v>860</v>
      </c>
    </row>
    <row r="302" spans="1:2">
      <c r="A302" s="107" t="s">
        <v>861</v>
      </c>
      <c r="B302" s="107" t="s">
        <v>862</v>
      </c>
    </row>
    <row r="303" spans="1:2">
      <c r="A303" s="107" t="s">
        <v>863</v>
      </c>
      <c r="B303" s="107" t="s">
        <v>864</v>
      </c>
    </row>
    <row r="304" spans="1:2">
      <c r="A304" s="107" t="s">
        <v>865</v>
      </c>
      <c r="B304" s="107" t="s">
        <v>866</v>
      </c>
    </row>
    <row r="305" spans="1:2">
      <c r="A305" s="107" t="s">
        <v>867</v>
      </c>
      <c r="B305" s="107" t="s">
        <v>868</v>
      </c>
    </row>
    <row r="306" spans="1:2">
      <c r="A306" s="107" t="s">
        <v>869</v>
      </c>
      <c r="B306" s="107" t="s">
        <v>870</v>
      </c>
    </row>
    <row r="307" spans="1:2">
      <c r="A307" s="107" t="s">
        <v>871</v>
      </c>
      <c r="B307" s="107" t="s">
        <v>872</v>
      </c>
    </row>
    <row r="308" spans="1:2">
      <c r="A308" s="107" t="s">
        <v>873</v>
      </c>
      <c r="B308" s="107" t="s">
        <v>874</v>
      </c>
    </row>
    <row r="309" spans="1:2">
      <c r="A309" s="107" t="s">
        <v>875</v>
      </c>
      <c r="B309" s="107" t="s">
        <v>876</v>
      </c>
    </row>
    <row r="310" spans="1:2">
      <c r="A310" s="107" t="s">
        <v>877</v>
      </c>
      <c r="B310" s="107" t="s">
        <v>878</v>
      </c>
    </row>
    <row r="311" spans="1:2">
      <c r="A311" s="107" t="s">
        <v>879</v>
      </c>
      <c r="B311" s="107" t="s">
        <v>880</v>
      </c>
    </row>
    <row r="312" spans="1:2">
      <c r="A312" s="107" t="s">
        <v>881</v>
      </c>
      <c r="B312" s="107" t="s">
        <v>882</v>
      </c>
    </row>
    <row r="313" spans="1:2">
      <c r="A313" s="107" t="s">
        <v>883</v>
      </c>
      <c r="B313" s="107" t="s">
        <v>884</v>
      </c>
    </row>
    <row r="314" spans="1:2">
      <c r="A314" s="107" t="s">
        <v>885</v>
      </c>
      <c r="B314" s="107" t="s">
        <v>886</v>
      </c>
    </row>
    <row r="315" spans="1:2">
      <c r="A315" s="107" t="s">
        <v>887</v>
      </c>
      <c r="B315" s="107" t="s">
        <v>432</v>
      </c>
    </row>
    <row r="316" spans="1:2">
      <c r="A316" s="107" t="s">
        <v>888</v>
      </c>
      <c r="B316" s="107" t="s">
        <v>889</v>
      </c>
    </row>
    <row r="317" spans="1:2">
      <c r="A317" s="107" t="s">
        <v>890</v>
      </c>
      <c r="B317" s="229" t="s">
        <v>1355</v>
      </c>
    </row>
    <row r="318" spans="1:2">
      <c r="A318" s="107" t="s">
        <v>891</v>
      </c>
      <c r="B318" s="107" t="s">
        <v>892</v>
      </c>
    </row>
    <row r="319" spans="1:2">
      <c r="A319" s="107" t="s">
        <v>893</v>
      </c>
      <c r="B319" s="107" t="s">
        <v>894</v>
      </c>
    </row>
    <row r="320" spans="1:2">
      <c r="A320" s="107" t="s">
        <v>895</v>
      </c>
      <c r="B320" s="107" t="s">
        <v>896</v>
      </c>
    </row>
    <row r="321" spans="1:2">
      <c r="A321" s="107" t="s">
        <v>897</v>
      </c>
      <c r="B321" s="107" t="s">
        <v>898</v>
      </c>
    </row>
    <row r="322" spans="1:2">
      <c r="A322" s="107" t="s">
        <v>899</v>
      </c>
      <c r="B322" s="107" t="s">
        <v>900</v>
      </c>
    </row>
    <row r="323" spans="1:2">
      <c r="A323" s="107" t="s">
        <v>901</v>
      </c>
      <c r="B323" s="107" t="s">
        <v>902</v>
      </c>
    </row>
    <row r="324" spans="1:2">
      <c r="A324" s="107" t="s">
        <v>903</v>
      </c>
      <c r="B324" s="107" t="s">
        <v>904</v>
      </c>
    </row>
    <row r="325" spans="1:2">
      <c r="A325" s="107" t="s">
        <v>905</v>
      </c>
      <c r="B325" s="107" t="s">
        <v>906</v>
      </c>
    </row>
    <row r="326" spans="1:2">
      <c r="A326" s="107" t="s">
        <v>907</v>
      </c>
      <c r="B326" s="107" t="s">
        <v>908</v>
      </c>
    </row>
    <row r="327" spans="1:2">
      <c r="A327" s="107" t="s">
        <v>909</v>
      </c>
      <c r="B327" s="107" t="s">
        <v>910</v>
      </c>
    </row>
    <row r="328" spans="1:2">
      <c r="A328" s="107" t="s">
        <v>911</v>
      </c>
      <c r="B328" s="107" t="s">
        <v>912</v>
      </c>
    </row>
    <row r="329" spans="1:2">
      <c r="A329" s="107" t="s">
        <v>913</v>
      </c>
      <c r="B329" s="107" t="s">
        <v>914</v>
      </c>
    </row>
    <row r="330" spans="1:2">
      <c r="A330" s="107" t="s">
        <v>915</v>
      </c>
      <c r="B330" s="107" t="s">
        <v>916</v>
      </c>
    </row>
    <row r="331" spans="1:2">
      <c r="A331" s="107" t="s">
        <v>917</v>
      </c>
      <c r="B331" s="107" t="s">
        <v>918</v>
      </c>
    </row>
    <row r="332" spans="1:2">
      <c r="A332" s="107" t="s">
        <v>919</v>
      </c>
      <c r="B332" s="107" t="s">
        <v>920</v>
      </c>
    </row>
    <row r="333" spans="1:2">
      <c r="A333" s="107" t="s">
        <v>921</v>
      </c>
      <c r="B333" s="107" t="s">
        <v>922</v>
      </c>
    </row>
    <row r="334" spans="1:2">
      <c r="A334" s="107" t="s">
        <v>923</v>
      </c>
      <c r="B334" s="107" t="s">
        <v>924</v>
      </c>
    </row>
    <row r="335" spans="1:2">
      <c r="A335" s="107" t="s">
        <v>925</v>
      </c>
      <c r="B335" s="107" t="s">
        <v>926</v>
      </c>
    </row>
    <row r="336" spans="1:2">
      <c r="A336" s="107" t="s">
        <v>927</v>
      </c>
      <c r="B336" s="107" t="s">
        <v>928</v>
      </c>
    </row>
    <row r="337" spans="1:2">
      <c r="A337" s="107" t="s">
        <v>929</v>
      </c>
      <c r="B337" s="107" t="s">
        <v>930</v>
      </c>
    </row>
    <row r="338" spans="1:2">
      <c r="A338" s="107" t="s">
        <v>931</v>
      </c>
      <c r="B338" s="107" t="s">
        <v>932</v>
      </c>
    </row>
    <row r="339" spans="1:2">
      <c r="A339" s="107" t="s">
        <v>933</v>
      </c>
      <c r="B339" s="107" t="s">
        <v>934</v>
      </c>
    </row>
    <row r="340" spans="1:2">
      <c r="A340" s="107" t="s">
        <v>935</v>
      </c>
      <c r="B340" s="107" t="s">
        <v>936</v>
      </c>
    </row>
    <row r="341" spans="1:2">
      <c r="A341" s="107" t="s">
        <v>937</v>
      </c>
      <c r="B341" s="107" t="s">
        <v>938</v>
      </c>
    </row>
    <row r="342" spans="1:2">
      <c r="A342" s="107" t="s">
        <v>939</v>
      </c>
      <c r="B342" s="107" t="s">
        <v>940</v>
      </c>
    </row>
    <row r="343" spans="1:2">
      <c r="A343" s="107" t="s">
        <v>941</v>
      </c>
      <c r="B343" s="107" t="s">
        <v>942</v>
      </c>
    </row>
    <row r="344" spans="1:2">
      <c r="A344" s="107" t="s">
        <v>943</v>
      </c>
      <c r="B344" s="107" t="s">
        <v>944</v>
      </c>
    </row>
    <row r="345" spans="1:2">
      <c r="A345" s="107" t="s">
        <v>945</v>
      </c>
      <c r="B345" s="107" t="s">
        <v>946</v>
      </c>
    </row>
    <row r="346" spans="1:2">
      <c r="A346" s="107" t="s">
        <v>947</v>
      </c>
      <c r="B346" s="107" t="s">
        <v>948</v>
      </c>
    </row>
    <row r="347" spans="1:2">
      <c r="A347" s="107" t="s">
        <v>949</v>
      </c>
      <c r="B347" s="107" t="s">
        <v>950</v>
      </c>
    </row>
    <row r="348" spans="1:2">
      <c r="A348" s="107" t="s">
        <v>951</v>
      </c>
      <c r="B348" s="107" t="s">
        <v>952</v>
      </c>
    </row>
    <row r="349" spans="1:2">
      <c r="A349" s="107" t="s">
        <v>953</v>
      </c>
      <c r="B349" s="107" t="s">
        <v>954</v>
      </c>
    </row>
    <row r="350" spans="1:2">
      <c r="A350" s="107" t="s">
        <v>955</v>
      </c>
      <c r="B350" s="107" t="s">
        <v>956</v>
      </c>
    </row>
    <row r="351" spans="1:2">
      <c r="A351" s="107" t="s">
        <v>957</v>
      </c>
      <c r="B351" s="107" t="s">
        <v>958</v>
      </c>
    </row>
    <row r="352" spans="1:2">
      <c r="A352" s="107" t="s">
        <v>959</v>
      </c>
      <c r="B352" s="107" t="s">
        <v>960</v>
      </c>
    </row>
    <row r="353" spans="1:2">
      <c r="A353" s="107" t="s">
        <v>961</v>
      </c>
      <c r="B353" s="107" t="s">
        <v>962</v>
      </c>
    </row>
    <row r="354" spans="1:2">
      <c r="A354" s="107" t="s">
        <v>963</v>
      </c>
      <c r="B354" s="107" t="s">
        <v>964</v>
      </c>
    </row>
    <row r="355" spans="1:2">
      <c r="A355" s="107" t="s">
        <v>965</v>
      </c>
      <c r="B355" s="107" t="s">
        <v>966</v>
      </c>
    </row>
    <row r="356" spans="1:2">
      <c r="A356" s="107" t="s">
        <v>967</v>
      </c>
      <c r="B356" s="107" t="s">
        <v>968</v>
      </c>
    </row>
    <row r="357" spans="1:2">
      <c r="A357" s="107" t="s">
        <v>969</v>
      </c>
      <c r="B357" s="107" t="s">
        <v>970</v>
      </c>
    </row>
    <row r="358" spans="1:2">
      <c r="A358" s="107" t="s">
        <v>971</v>
      </c>
      <c r="B358" s="107" t="s">
        <v>972</v>
      </c>
    </row>
    <row r="359" spans="1:2">
      <c r="A359" s="107" t="s">
        <v>973</v>
      </c>
      <c r="B359" s="107" t="s">
        <v>974</v>
      </c>
    </row>
    <row r="360" spans="1:2">
      <c r="A360" s="107" t="s">
        <v>975</v>
      </c>
      <c r="B360" s="107" t="s">
        <v>976</v>
      </c>
    </row>
    <row r="361" spans="1:2">
      <c r="A361" s="107" t="s">
        <v>977</v>
      </c>
      <c r="B361" s="107" t="s">
        <v>978</v>
      </c>
    </row>
    <row r="362" spans="1:2">
      <c r="A362" s="107" t="s">
        <v>979</v>
      </c>
      <c r="B362" s="107" t="s">
        <v>980</v>
      </c>
    </row>
    <row r="363" spans="1:2">
      <c r="A363" s="107" t="s">
        <v>981</v>
      </c>
      <c r="B363" s="107" t="s">
        <v>982</v>
      </c>
    </row>
    <row r="364" spans="1:2">
      <c r="A364" s="107" t="s">
        <v>983</v>
      </c>
      <c r="B364" s="107" t="s">
        <v>984</v>
      </c>
    </row>
    <row r="365" spans="1:2">
      <c r="A365" s="107" t="s">
        <v>985</v>
      </c>
      <c r="B365" s="107" t="s">
        <v>986</v>
      </c>
    </row>
    <row r="366" spans="1:2">
      <c r="A366" s="107" t="s">
        <v>987</v>
      </c>
      <c r="B366" s="107" t="s">
        <v>988</v>
      </c>
    </row>
    <row r="367" spans="1:2">
      <c r="A367" s="107" t="s">
        <v>989</v>
      </c>
      <c r="B367" s="107" t="s">
        <v>990</v>
      </c>
    </row>
    <row r="368" spans="1:2">
      <c r="A368" s="107" t="s">
        <v>991</v>
      </c>
      <c r="B368" s="107" t="s">
        <v>992</v>
      </c>
    </row>
    <row r="369" spans="1:2">
      <c r="A369" s="107" t="s">
        <v>993</v>
      </c>
      <c r="B369" s="107" t="s">
        <v>994</v>
      </c>
    </row>
    <row r="370" spans="1:2">
      <c r="A370" s="107" t="s">
        <v>995</v>
      </c>
      <c r="B370" s="107" t="s">
        <v>996</v>
      </c>
    </row>
    <row r="371" spans="1:2">
      <c r="A371" s="107" t="s">
        <v>997</v>
      </c>
      <c r="B371" s="107" t="s">
        <v>998</v>
      </c>
    </row>
    <row r="372" spans="1:2">
      <c r="A372" s="107" t="s">
        <v>999</v>
      </c>
      <c r="B372" s="107" t="s">
        <v>1000</v>
      </c>
    </row>
    <row r="373" spans="1:2">
      <c r="A373" s="107" t="s">
        <v>1001</v>
      </c>
      <c r="B373" s="107" t="s">
        <v>1002</v>
      </c>
    </row>
    <row r="374" spans="1:2">
      <c r="A374" s="107" t="s">
        <v>1003</v>
      </c>
      <c r="B374" s="107" t="s">
        <v>1004</v>
      </c>
    </row>
    <row r="375" spans="1:2">
      <c r="A375" s="107" t="s">
        <v>1005</v>
      </c>
      <c r="B375" s="107" t="s">
        <v>1006</v>
      </c>
    </row>
    <row r="376" spans="1:2">
      <c r="A376" s="107" t="s">
        <v>1007</v>
      </c>
      <c r="B376" s="107" t="s">
        <v>1008</v>
      </c>
    </row>
    <row r="377" spans="1:2">
      <c r="A377" s="107" t="s">
        <v>1009</v>
      </c>
      <c r="B377" s="107" t="s">
        <v>1010</v>
      </c>
    </row>
    <row r="378" spans="1:2">
      <c r="A378" s="107" t="s">
        <v>1011</v>
      </c>
      <c r="B378" s="107" t="s">
        <v>1012</v>
      </c>
    </row>
    <row r="379" spans="1:2">
      <c r="A379" s="107" t="s">
        <v>1013</v>
      </c>
      <c r="B379" s="107" t="s">
        <v>1014</v>
      </c>
    </row>
    <row r="380" spans="1:2">
      <c r="A380" s="107" t="s">
        <v>1015</v>
      </c>
      <c r="B380" s="107" t="s">
        <v>1016</v>
      </c>
    </row>
    <row r="381" spans="1:2">
      <c r="A381" s="107" t="s">
        <v>1017</v>
      </c>
      <c r="B381" s="107" t="s">
        <v>1018</v>
      </c>
    </row>
    <row r="382" spans="1:2">
      <c r="A382" s="107" t="s">
        <v>1019</v>
      </c>
      <c r="B382" s="107" t="s">
        <v>1020</v>
      </c>
    </row>
    <row r="383" spans="1:2">
      <c r="A383" s="107" t="s">
        <v>1021</v>
      </c>
      <c r="B383" s="107" t="s">
        <v>1022</v>
      </c>
    </row>
    <row r="384" spans="1:2">
      <c r="A384" s="107" t="s">
        <v>1023</v>
      </c>
      <c r="B384" s="107" t="s">
        <v>1024</v>
      </c>
    </row>
    <row r="385" spans="1:2">
      <c r="A385" s="107" t="s">
        <v>1025</v>
      </c>
      <c r="B385" s="107" t="s">
        <v>1026</v>
      </c>
    </row>
    <row r="386" spans="1:2">
      <c r="A386" s="107" t="s">
        <v>1027</v>
      </c>
      <c r="B386" s="107" t="s">
        <v>1028</v>
      </c>
    </row>
    <row r="387" spans="1:2">
      <c r="A387" s="107" t="s">
        <v>1029</v>
      </c>
      <c r="B387" s="107" t="s">
        <v>1030</v>
      </c>
    </row>
    <row r="388" spans="1:2">
      <c r="A388" s="107" t="s">
        <v>1031</v>
      </c>
      <c r="B388" s="107" t="s">
        <v>1032</v>
      </c>
    </row>
    <row r="389" spans="1:2">
      <c r="A389" s="107" t="s">
        <v>1033</v>
      </c>
      <c r="B389" s="107" t="s">
        <v>1034</v>
      </c>
    </row>
    <row r="390" spans="1:2">
      <c r="A390" s="107" t="s">
        <v>1035</v>
      </c>
      <c r="B390" s="107" t="s">
        <v>1036</v>
      </c>
    </row>
    <row r="391" spans="1:2">
      <c r="A391" s="107" t="s">
        <v>1037</v>
      </c>
      <c r="B391" s="107" t="s">
        <v>1038</v>
      </c>
    </row>
    <row r="392" spans="1:2">
      <c r="A392" s="107" t="s">
        <v>1039</v>
      </c>
      <c r="B392" s="107" t="s">
        <v>1040</v>
      </c>
    </row>
    <row r="393" spans="1:2">
      <c r="A393" s="107" t="s">
        <v>1041</v>
      </c>
      <c r="B393" s="107" t="s">
        <v>1042</v>
      </c>
    </row>
    <row r="394" spans="1:2">
      <c r="A394" s="107" t="s">
        <v>1043</v>
      </c>
      <c r="B394" s="107" t="s">
        <v>1044</v>
      </c>
    </row>
    <row r="395" spans="1:2">
      <c r="A395" s="107" t="s">
        <v>1045</v>
      </c>
      <c r="B395" s="107" t="s">
        <v>1046</v>
      </c>
    </row>
    <row r="396" spans="1:2">
      <c r="A396" s="107" t="s">
        <v>1047</v>
      </c>
      <c r="B396" s="107" t="s">
        <v>1048</v>
      </c>
    </row>
    <row r="397" spans="1:2">
      <c r="A397" s="107" t="s">
        <v>1049</v>
      </c>
      <c r="B397" s="107" t="s">
        <v>1050</v>
      </c>
    </row>
    <row r="398" spans="1:2">
      <c r="A398" s="107" t="s">
        <v>1051</v>
      </c>
      <c r="B398" s="107" t="s">
        <v>1052</v>
      </c>
    </row>
    <row r="399" spans="1:2">
      <c r="A399" s="107" t="s">
        <v>1053</v>
      </c>
      <c r="B399" s="107" t="s">
        <v>1054</v>
      </c>
    </row>
    <row r="400" spans="1:2">
      <c r="A400" s="107" t="s">
        <v>1055</v>
      </c>
      <c r="B400" s="107" t="s">
        <v>1056</v>
      </c>
    </row>
    <row r="401" spans="1:2">
      <c r="A401" s="107" t="s">
        <v>1057</v>
      </c>
      <c r="B401" s="107" t="s">
        <v>1058</v>
      </c>
    </row>
    <row r="402" spans="1:2">
      <c r="A402" s="107" t="s">
        <v>1059</v>
      </c>
      <c r="B402" s="107" t="s">
        <v>1060</v>
      </c>
    </row>
    <row r="403" spans="1:2">
      <c r="A403" s="107" t="s">
        <v>1061</v>
      </c>
      <c r="B403" s="107" t="s">
        <v>1062</v>
      </c>
    </row>
    <row r="404" spans="1:2">
      <c r="A404" s="107" t="s">
        <v>1063</v>
      </c>
      <c r="B404" s="107" t="s">
        <v>1064</v>
      </c>
    </row>
    <row r="405" spans="1:2">
      <c r="A405" s="107" t="s">
        <v>1065</v>
      </c>
      <c r="B405" s="107" t="s">
        <v>1066</v>
      </c>
    </row>
    <row r="406" spans="1:2">
      <c r="A406" s="107" t="s">
        <v>1067</v>
      </c>
      <c r="B406" s="107" t="s">
        <v>1068</v>
      </c>
    </row>
    <row r="407" spans="1:2">
      <c r="A407" s="107" t="s">
        <v>1069</v>
      </c>
      <c r="B407" s="107" t="s">
        <v>1070</v>
      </c>
    </row>
    <row r="408" spans="1:2">
      <c r="A408" s="107" t="s">
        <v>1071</v>
      </c>
      <c r="B408" s="107" t="s">
        <v>1072</v>
      </c>
    </row>
    <row r="409" spans="1:2">
      <c r="A409" s="107" t="s">
        <v>1073</v>
      </c>
      <c r="B409" s="107" t="s">
        <v>1074</v>
      </c>
    </row>
    <row r="410" spans="1:2">
      <c r="A410" s="107" t="s">
        <v>1075</v>
      </c>
      <c r="B410" s="107" t="s">
        <v>1076</v>
      </c>
    </row>
    <row r="411" spans="1:2">
      <c r="A411" s="107" t="s">
        <v>1077</v>
      </c>
      <c r="B411" s="107" t="s">
        <v>1078</v>
      </c>
    </row>
    <row r="412" spans="1:2">
      <c r="A412" s="107" t="s">
        <v>1079</v>
      </c>
      <c r="B412" s="107" t="s">
        <v>1080</v>
      </c>
    </row>
    <row r="413" spans="1:2">
      <c r="A413" s="107" t="s">
        <v>1081</v>
      </c>
      <c r="B413" s="107" t="s">
        <v>1082</v>
      </c>
    </row>
    <row r="414" spans="1:2">
      <c r="A414" s="107" t="s">
        <v>1083</v>
      </c>
      <c r="B414" s="107" t="s">
        <v>1084</v>
      </c>
    </row>
    <row r="415" spans="1:2">
      <c r="A415" s="107" t="s">
        <v>1085</v>
      </c>
      <c r="B415" s="107" t="s">
        <v>1086</v>
      </c>
    </row>
    <row r="416" spans="1:2">
      <c r="A416" s="107" t="s">
        <v>1087</v>
      </c>
      <c r="B416" s="107" t="s">
        <v>1088</v>
      </c>
    </row>
    <row r="417" spans="1:2">
      <c r="A417" s="107" t="s">
        <v>1089</v>
      </c>
      <c r="B417" s="107" t="s">
        <v>1090</v>
      </c>
    </row>
    <row r="418" spans="1:2">
      <c r="A418" s="107" t="s">
        <v>1091</v>
      </c>
      <c r="B418" s="107" t="s">
        <v>1092</v>
      </c>
    </row>
    <row r="419" spans="1:2">
      <c r="A419" s="107" t="s">
        <v>1093</v>
      </c>
      <c r="B419" s="107" t="s">
        <v>1094</v>
      </c>
    </row>
    <row r="420" spans="1:2">
      <c r="A420" s="107" t="s">
        <v>1095</v>
      </c>
      <c r="B420" s="107" t="s">
        <v>1096</v>
      </c>
    </row>
    <row r="421" spans="1:2">
      <c r="A421" s="113" t="s">
        <v>1097</v>
      </c>
      <c r="B421" s="107" t="s">
        <v>1098</v>
      </c>
    </row>
    <row r="422" spans="1:2">
      <c r="A422" s="107" t="s">
        <v>1099</v>
      </c>
      <c r="B422" s="107" t="s">
        <v>1100</v>
      </c>
    </row>
    <row r="423" spans="1:2">
      <c r="A423" s="107" t="s">
        <v>1101</v>
      </c>
      <c r="B423" s="107" t="s">
        <v>1102</v>
      </c>
    </row>
    <row r="424" spans="1:2">
      <c r="A424" s="107" t="s">
        <v>1103</v>
      </c>
      <c r="B424" s="107" t="s">
        <v>1104</v>
      </c>
    </row>
    <row r="425" spans="1:2">
      <c r="A425" s="107" t="s">
        <v>1105</v>
      </c>
      <c r="B425" s="107" t="s">
        <v>1106</v>
      </c>
    </row>
    <row r="426" spans="1:2">
      <c r="A426" s="107" t="s">
        <v>1107</v>
      </c>
      <c r="B426" s="107" t="s">
        <v>1108</v>
      </c>
    </row>
    <row r="427" spans="1:2">
      <c r="A427" s="107" t="s">
        <v>1109</v>
      </c>
      <c r="B427" s="107" t="s">
        <v>1110</v>
      </c>
    </row>
    <row r="428" spans="1:2">
      <c r="A428" s="107" t="s">
        <v>1111</v>
      </c>
      <c r="B428" s="107" t="s">
        <v>1112</v>
      </c>
    </row>
    <row r="429" spans="1:2">
      <c r="A429" s="107" t="s">
        <v>1113</v>
      </c>
      <c r="B429" s="107" t="s">
        <v>1114</v>
      </c>
    </row>
    <row r="430" spans="1:2">
      <c r="A430" s="107" t="s">
        <v>1115</v>
      </c>
      <c r="B430" s="107" t="s">
        <v>1116</v>
      </c>
    </row>
    <row r="431" spans="1:2">
      <c r="A431" s="107" t="s">
        <v>1117</v>
      </c>
      <c r="B431" s="107" t="s">
        <v>1118</v>
      </c>
    </row>
    <row r="432" spans="1:2">
      <c r="A432" s="107" t="s">
        <v>1119</v>
      </c>
      <c r="B432" s="107" t="s">
        <v>655</v>
      </c>
    </row>
    <row r="433" spans="1:2">
      <c r="A433" s="107" t="s">
        <v>1120</v>
      </c>
      <c r="B433" s="107" t="s">
        <v>1121</v>
      </c>
    </row>
    <row r="434" spans="1:2">
      <c r="A434" s="107" t="s">
        <v>1122</v>
      </c>
      <c r="B434" s="107" t="s">
        <v>1123</v>
      </c>
    </row>
    <row r="435" spans="1:2">
      <c r="A435" s="107" t="s">
        <v>1124</v>
      </c>
      <c r="B435" s="107" t="s">
        <v>1125</v>
      </c>
    </row>
    <row r="436" spans="1:2">
      <c r="A436" s="107" t="s">
        <v>1126</v>
      </c>
      <c r="B436" s="107" t="s">
        <v>1127</v>
      </c>
    </row>
    <row r="437" spans="1:2">
      <c r="A437" s="107" t="s">
        <v>1128</v>
      </c>
      <c r="B437" s="107" t="s">
        <v>1129</v>
      </c>
    </row>
    <row r="438" spans="1:2">
      <c r="A438" s="107" t="s">
        <v>1130</v>
      </c>
      <c r="B438" s="107" t="s">
        <v>1131</v>
      </c>
    </row>
    <row r="439" spans="1:2">
      <c r="A439" s="107" t="s">
        <v>1132</v>
      </c>
      <c r="B439" s="107" t="s">
        <v>1133</v>
      </c>
    </row>
    <row r="440" spans="1:2">
      <c r="A440" s="107" t="s">
        <v>1134</v>
      </c>
      <c r="B440" s="107" t="s">
        <v>1135</v>
      </c>
    </row>
    <row r="441" spans="1:2">
      <c r="A441" s="107" t="s">
        <v>1136</v>
      </c>
      <c r="B441" s="107" t="s">
        <v>1137</v>
      </c>
    </row>
    <row r="442" spans="1:2">
      <c r="A442" s="107" t="s">
        <v>1138</v>
      </c>
      <c r="B442" s="107" t="s">
        <v>1139</v>
      </c>
    </row>
    <row r="443" spans="1:2">
      <c r="A443" s="107" t="s">
        <v>1140</v>
      </c>
      <c r="B443" s="107" t="s">
        <v>1141</v>
      </c>
    </row>
    <row r="444" spans="1:2">
      <c r="A444" s="107" t="s">
        <v>1142</v>
      </c>
      <c r="B444" s="107" t="s">
        <v>1143</v>
      </c>
    </row>
    <row r="445" spans="1:2">
      <c r="A445" s="107" t="s">
        <v>1144</v>
      </c>
      <c r="B445" s="107" t="s">
        <v>1145</v>
      </c>
    </row>
    <row r="446" spans="1:2">
      <c r="A446" s="107" t="s">
        <v>1146</v>
      </c>
      <c r="B446" s="107" t="s">
        <v>1147</v>
      </c>
    </row>
    <row r="447" spans="1:2">
      <c r="A447" s="107" t="s">
        <v>1148</v>
      </c>
      <c r="B447" s="107" t="s">
        <v>1149</v>
      </c>
    </row>
    <row r="448" spans="1:2">
      <c r="A448" s="107" t="s">
        <v>1150</v>
      </c>
      <c r="B448" s="107" t="s">
        <v>1151</v>
      </c>
    </row>
    <row r="449" spans="1:2">
      <c r="A449" s="107" t="s">
        <v>1152</v>
      </c>
      <c r="B449" s="107" t="s">
        <v>1153</v>
      </c>
    </row>
    <row r="450" spans="1:2">
      <c r="A450" s="107" t="s">
        <v>1154</v>
      </c>
      <c r="B450" s="107" t="s">
        <v>1155</v>
      </c>
    </row>
    <row r="451" spans="1:2">
      <c r="A451" s="107" t="s">
        <v>1156</v>
      </c>
      <c r="B451" s="107" t="s">
        <v>1157</v>
      </c>
    </row>
    <row r="452" spans="1:2">
      <c r="A452" s="107" t="s">
        <v>1158</v>
      </c>
      <c r="B452" s="107" t="s">
        <v>1159</v>
      </c>
    </row>
    <row r="453" spans="1:2">
      <c r="A453" s="107" t="s">
        <v>1160</v>
      </c>
      <c r="B453" s="107" t="s">
        <v>1161</v>
      </c>
    </row>
    <row r="454" spans="1:2">
      <c r="A454" s="107" t="s">
        <v>1162</v>
      </c>
      <c r="B454" s="107" t="s">
        <v>1163</v>
      </c>
    </row>
    <row r="455" spans="1:2">
      <c r="A455" s="107" t="s">
        <v>1164</v>
      </c>
      <c r="B455" s="107" t="s">
        <v>1165</v>
      </c>
    </row>
    <row r="456" spans="1:2">
      <c r="A456" s="107" t="s">
        <v>1166</v>
      </c>
      <c r="B456" s="107" t="s">
        <v>1167</v>
      </c>
    </row>
    <row r="457" spans="1:2">
      <c r="A457" s="107" t="s">
        <v>1168</v>
      </c>
      <c r="B457" s="107" t="s">
        <v>1169</v>
      </c>
    </row>
    <row r="458" spans="1:2">
      <c r="A458" s="35" t="s">
        <v>1337</v>
      </c>
      <c r="B458" s="226" t="s">
        <v>1339</v>
      </c>
    </row>
    <row r="459" spans="1:2">
      <c r="A459" s="35" t="s">
        <v>1338</v>
      </c>
      <c r="B459" s="226" t="s">
        <v>1340</v>
      </c>
    </row>
    <row r="460" spans="1:2">
      <c r="A460" s="35" t="s">
        <v>1316</v>
      </c>
      <c r="B460" s="218" t="s">
        <v>1324</v>
      </c>
    </row>
    <row r="461" spans="1:2">
      <c r="A461" s="17" t="s">
        <v>1172</v>
      </c>
      <c r="B461" s="246" t="s">
        <v>1325</v>
      </c>
    </row>
    <row r="462" spans="1:2">
      <c r="A462" s="17" t="s">
        <v>229</v>
      </c>
      <c r="B462" s="218" t="s">
        <v>1326</v>
      </c>
    </row>
    <row r="463" spans="1:2">
      <c r="A463" s="17" t="s">
        <v>225</v>
      </c>
      <c r="B463" s="218" t="s">
        <v>1327</v>
      </c>
    </row>
    <row r="464" spans="1:2">
      <c r="A464" s="17" t="s">
        <v>227</v>
      </c>
      <c r="B464" s="218" t="s">
        <v>1328</v>
      </c>
    </row>
    <row r="465" spans="1:2">
      <c r="A465" s="17" t="s">
        <v>1173</v>
      </c>
      <c r="B465" s="218" t="s">
        <v>1329</v>
      </c>
    </row>
    <row r="466" spans="1:2">
      <c r="A466" s="17" t="s">
        <v>1174</v>
      </c>
      <c r="B466" s="218" t="s">
        <v>1330</v>
      </c>
    </row>
    <row r="467" spans="1:2">
      <c r="A467" s="17" t="s">
        <v>1175</v>
      </c>
      <c r="B467" s="218" t="s">
        <v>1331</v>
      </c>
    </row>
    <row r="468" spans="1:2">
      <c r="A468" s="17" t="s">
        <v>1176</v>
      </c>
      <c r="B468" s="218" t="s">
        <v>1332</v>
      </c>
    </row>
    <row r="469" spans="1:2">
      <c r="A469" s="17" t="s">
        <v>1177</v>
      </c>
      <c r="B469" s="218" t="s">
        <v>1333</v>
      </c>
    </row>
    <row r="470" spans="1:2">
      <c r="A470" s="17" t="s">
        <v>1342</v>
      </c>
      <c r="B470" s="228" t="s">
        <v>1343</v>
      </c>
    </row>
    <row r="471" spans="1:2">
      <c r="A471" s="228" t="s">
        <v>1344</v>
      </c>
      <c r="B471" s="228" t="s">
        <v>1345</v>
      </c>
    </row>
    <row r="472" spans="1:2">
      <c r="A472" s="228" t="s">
        <v>1346</v>
      </c>
      <c r="B472" s="228" t="s">
        <v>1347</v>
      </c>
    </row>
    <row r="473" spans="1:2">
      <c r="A473" s="230" t="s">
        <v>1356</v>
      </c>
      <c r="B473" s="230" t="s">
        <v>1357</v>
      </c>
    </row>
    <row r="474" spans="1:2">
      <c r="A474" s="245" t="s">
        <v>1367</v>
      </c>
      <c r="B474" s="245" t="s">
        <v>1368</v>
      </c>
    </row>
    <row r="475" spans="1:2">
      <c r="A475" s="266" t="s">
        <v>1382</v>
      </c>
      <c r="B475" s="266" t="s">
        <v>1383</v>
      </c>
    </row>
    <row r="476" spans="1:2">
      <c r="A476" s="292" t="s">
        <v>1732</v>
      </c>
      <c r="B476" s="292" t="s">
        <v>1733</v>
      </c>
    </row>
  </sheetData>
  <autoFilter ref="A1:B250"/>
  <phoneticPr fontId="12"/>
  <hyperlinks>
    <hyperlink ref="D2" r:id="rId1"/>
  </hyperlinks>
  <pageMargins left="0.7" right="0.7" top="0.75" bottom="0.75" header="0.3" footer="0.3"/>
  <pageSetup paperSize="9" orientation="portrait" r:id="rId2"/>
  <headerFooter>
    <oddFooter>&amp;C -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Props1.xml><?xml version="1.0" encoding="utf-8"?>
<ds:datastoreItem xmlns:ds="http://schemas.openxmlformats.org/officeDocument/2006/customXml" ds:itemID="{F6856948-2FC2-4DAB-8CA3-3E6502188B8D}"/>
</file>

<file path=customXml/itemProps2.xml><?xml version="1.0" encoding="utf-8"?>
<ds:datastoreItem xmlns:ds="http://schemas.openxmlformats.org/officeDocument/2006/customXml" ds:itemID="{E59FDC25-F219-4CF1-9CC3-FB740DF8AE1F}"/>
</file>

<file path=customXml/itemProps3.xml><?xml version="1.0" encoding="utf-8"?>
<ds:datastoreItem xmlns:ds="http://schemas.openxmlformats.org/officeDocument/2006/customXml" ds:itemID="{D674B87E-888B-4443-B88B-09E784B68BE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8</vt:i4>
      </vt:variant>
    </vt:vector>
  </HeadingPairs>
  <TitlesOfParts>
    <vt:vector size="35" baseType="lpstr">
      <vt:lpstr>マクロ</vt:lpstr>
      <vt:lpstr>実行シート</vt:lpstr>
      <vt:lpstr>テーブル一覧</vt:lpstr>
      <vt:lpstr>製品在庫データのイメージ</vt:lpstr>
      <vt:lpstr>資材在庫データのイメージ(原本)</vt:lpstr>
      <vt:lpstr>製品在庫データのイメージ_原本</vt:lpstr>
      <vt:lpstr>資材在庫データのイメージ</vt:lpstr>
      <vt:lpstr>棚卸情報</vt:lpstr>
      <vt:lpstr>棚卸中製品在庫情報</vt:lpstr>
      <vt:lpstr>棚卸実績情報</vt:lpstr>
      <vt:lpstr>製品在庫情報</vt:lpstr>
      <vt:lpstr>製品在庫予定情報</vt:lpstr>
      <vt:lpstr>製品在庫実績情報</vt:lpstr>
      <vt:lpstr>製品在庫月末情報</vt:lpstr>
      <vt:lpstr>パレット在庫情報</vt:lpstr>
      <vt:lpstr>ロットトレース情報</vt:lpstr>
      <vt:lpstr>資材在庫情報</vt:lpstr>
      <vt:lpstr>資材在庫月末情報</vt:lpstr>
      <vt:lpstr>資材在庫月別受払情報 </vt:lpstr>
      <vt:lpstr>資材在庫予定情報</vt:lpstr>
      <vt:lpstr>資材在庫実績情報</vt:lpstr>
      <vt:lpstr>資材在庫実績情報_一時退避</vt:lpstr>
      <vt:lpstr>資材在庫受払情報</vt:lpstr>
      <vt:lpstr>資材在庫受払伝票情報</vt:lpstr>
      <vt:lpstr>項目一覧</vt:lpstr>
      <vt:lpstr>項目一覧 (項目別)</vt:lpstr>
      <vt:lpstr>Sheet1</vt:lpstr>
      <vt:lpstr>テーブル一覧!Print_Titles</vt:lpstr>
      <vt:lpstr>パレット在庫情報!Print_Titles</vt:lpstr>
      <vt:lpstr>資材在庫実績情報!Print_Titles</vt:lpstr>
      <vt:lpstr>製品在庫実績情報!Print_Titles</vt:lpstr>
      <vt:lpstr>製品在庫情報!Print_Titles</vt:lpstr>
      <vt:lpstr>製品在庫予定情報!Print_Titles</vt:lpstr>
      <vt:lpstr>棚卸情報!Print_Titles</vt:lpstr>
      <vt:lpstr>棚卸中製品在庫情報!Print_Titles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末永 健治</dc:creator>
  <cp:lastModifiedBy>末永 健治</cp:lastModifiedBy>
  <cp:lastPrinted>2023-11-17T07:53:38Z</cp:lastPrinted>
  <dcterms:created xsi:type="dcterms:W3CDTF">2020-07-03T02:02:56Z</dcterms:created>
  <dcterms:modified xsi:type="dcterms:W3CDTF">2023-11-17T08:48:09Z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